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-105" yWindow="-105" windowWidth="23250" windowHeight="12450" tabRatio="629"/>
  </bookViews>
  <sheets>
    <sheet name="To Do List" sheetId="1" r:id="rId1"/>
    <sheet name="Munka4" sheetId="20" state="hidden" r:id="rId2"/>
    <sheet name="Munka1" sheetId="6" state="hidden" r:id="rId3"/>
    <sheet name="copy" sheetId="3" state="hidden" r:id="rId4"/>
    <sheet name="Po Igazolás" sheetId="5" r:id="rId5"/>
    <sheet name="2024 Heineken Po" sheetId="12" r:id="rId6"/>
    <sheet name="lista2" sheetId="4" state="hidden" r:id="rId7"/>
    <sheet name="2024 szoftver állítás" sheetId="18" state="hidden" r:id="rId8"/>
    <sheet name="Szervíz" sheetId="7" r:id="rId9"/>
    <sheet name="Szimering csere 2024" sheetId="14" state="hidden" r:id="rId10"/>
    <sheet name="Tűzoltó készülék!" sheetId="16" state="hidden" r:id="rId11"/>
    <sheet name="Kamerák és Monitorok" sheetId="15" state="hidden" r:id="rId12"/>
    <sheet name="Új abroncs" sheetId="17" r:id="rId13"/>
    <sheet name="Lista" sheetId="2" r:id="rId14"/>
    <sheet name="2024" sheetId="11" state="hidden" r:id="rId15"/>
    <sheet name="2023" sheetId="10" state="hidden" r:id="rId16"/>
    <sheet name="2023 Heineken Po" sheetId="9" state="hidden" r:id="rId17"/>
    <sheet name="Munka2" sheetId="13" state="hidden" r:id="rId18"/>
    <sheet name="To Do List (2)" sheetId="8" state="hidden" r:id="rId19"/>
  </sheets>
  <functionGroups builtInGroupCount="18"/>
  <definedNames>
    <definedName name="_xlnm._FilterDatabase" localSheetId="4" hidden="1">'Po Igazolás'!$A$15:$H$18</definedName>
    <definedName name="_xlnm._FilterDatabase" localSheetId="0" hidden="1">'To Do List'!$A$1:$O$1335</definedName>
    <definedName name="_xlnm._FilterDatabase" localSheetId="18" hidden="1">'To Do List (2)'!$A$1:$H$532</definedName>
    <definedName name="akklist" localSheetId="18">'To Do List (2)'!$N$1:$P$100</definedName>
    <definedName name="akklist">'To Do List'!$Q$1:$S$52</definedName>
    <definedName name="battery">Lista!#REF!,Lista!#REF!</definedName>
    <definedName name="flt">Lista!#REF!,Lista!$B$127:$B$131</definedName>
    <definedName name="List">Lista!$B$3:$B$165</definedName>
    <definedName name="list01" localSheetId="15">Lista!$B$1:$B$153</definedName>
    <definedName name="list01" localSheetId="16">Lista!$B$1:$B$153</definedName>
    <definedName name="list01" localSheetId="14">Lista!$B$1:$B$153</definedName>
    <definedName name="list01" localSheetId="5">Lista!$B$1:$B$153</definedName>
    <definedName name="list01">Lista!$B$1:$B$165</definedName>
    <definedName name="okvsnok">Lista!$D$34:$D$35</definedName>
    <definedName name="podone">'2024 Heineken Po'!$A:$A</definedName>
    <definedName name="ponope">'2024 Heineken Po'!$B:$B</definedName>
    <definedName name="poprice">'Po Igazolás'!$E:$H</definedName>
    <definedName name="targlist">lista2!$A:$A</definedName>
    <definedName name="targlist02">lista2!$A:$C</definedName>
    <definedName name="targoncalista">lista2!$C$2:$C$44</definedName>
    <definedName name="targoncalista2">lista2!$A$2:$A$44</definedName>
    <definedName name="targoncalista3">lista2!#REF!</definedName>
    <definedName name="time">'2024 Heineken Po'!$F$1</definedName>
    <definedName name="todo">Lista!$D$13:$D$14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  <c r="J2" i="1"/>
  <c r="F2" i="1"/>
  <c r="F32" i="5" l="1"/>
  <c r="K1336" i="1"/>
  <c r="J1336" i="1"/>
  <c r="F1336" i="1"/>
  <c r="K3" i="1"/>
  <c r="J3" i="1"/>
  <c r="F3" i="1"/>
  <c r="K9" i="1"/>
  <c r="J9" i="1"/>
  <c r="F9" i="1"/>
  <c r="K10" i="1"/>
  <c r="J10" i="1"/>
  <c r="F10" i="1"/>
  <c r="K11" i="1"/>
  <c r="J11" i="1"/>
  <c r="F11" i="1"/>
  <c r="K12" i="1"/>
  <c r="J12" i="1"/>
  <c r="F12" i="1"/>
  <c r="K13" i="1"/>
  <c r="J13" i="1"/>
  <c r="F13" i="1"/>
  <c r="K8" i="1"/>
  <c r="J8" i="1"/>
  <c r="F8" i="1"/>
  <c r="K4" i="1"/>
  <c r="J4" i="1"/>
  <c r="F4" i="1"/>
  <c r="K5" i="1"/>
  <c r="J5" i="1"/>
  <c r="F5" i="1"/>
  <c r="K6" i="1"/>
  <c r="J6" i="1"/>
  <c r="F6" i="1"/>
  <c r="K7" i="1"/>
  <c r="J7" i="1"/>
  <c r="F7" i="1"/>
  <c r="F2" i="5"/>
  <c r="F12" i="5"/>
  <c r="F3" i="5"/>
  <c r="F5" i="5"/>
  <c r="F4" i="5"/>
  <c r="F11" i="5"/>
  <c r="F10" i="5"/>
  <c r="F9" i="5"/>
  <c r="F8" i="5"/>
  <c r="F7" i="5"/>
  <c r="K16" i="1"/>
  <c r="F6" i="5"/>
  <c r="F18" i="5"/>
  <c r="F16" i="5"/>
  <c r="F17" i="5"/>
  <c r="J35" i="1"/>
  <c r="F35" i="1"/>
  <c r="J14" i="1"/>
  <c r="F14" i="1"/>
  <c r="J15" i="1"/>
  <c r="F15" i="1"/>
  <c r="J16" i="1"/>
  <c r="F16" i="1"/>
  <c r="J17" i="1"/>
  <c r="F17" i="1"/>
  <c r="J18" i="1"/>
  <c r="F18" i="1"/>
  <c r="J19" i="1"/>
  <c r="F19" i="1"/>
  <c r="J20" i="1"/>
  <c r="F20" i="1"/>
  <c r="J21" i="1"/>
  <c r="F21" i="1"/>
  <c r="J22" i="1"/>
  <c r="F22" i="1"/>
  <c r="J23" i="1"/>
  <c r="F23" i="1"/>
  <c r="J24" i="1"/>
  <c r="F24" i="1"/>
  <c r="J25" i="1"/>
  <c r="F25" i="1"/>
  <c r="J26" i="1"/>
  <c r="F26" i="1"/>
  <c r="J27" i="1"/>
  <c r="F27" i="1"/>
  <c r="J28" i="1"/>
  <c r="F28" i="1"/>
  <c r="J29" i="1"/>
  <c r="F29" i="1"/>
  <c r="J30" i="1"/>
  <c r="F30" i="1"/>
  <c r="J31" i="1"/>
  <c r="F31" i="1"/>
  <c r="J32" i="1"/>
  <c r="F32" i="1"/>
  <c r="J33" i="1"/>
  <c r="F33" i="1"/>
  <c r="J34" i="1"/>
  <c r="F34" i="1"/>
  <c r="J36" i="1"/>
  <c r="F36" i="1"/>
  <c r="J37" i="1"/>
  <c r="F37" i="1"/>
  <c r="J38" i="1"/>
  <c r="F38" i="1"/>
  <c r="J39" i="1"/>
  <c r="F39" i="1"/>
  <c r="J40" i="1"/>
  <c r="F40" i="1"/>
  <c r="J41" i="1"/>
  <c r="F41" i="1"/>
  <c r="J42" i="1"/>
  <c r="F42" i="1"/>
  <c r="J43" i="1"/>
  <c r="F43" i="1"/>
  <c r="J44" i="1"/>
  <c r="F44" i="1"/>
  <c r="J45" i="1"/>
  <c r="F45" i="1"/>
  <c r="J46" i="1"/>
  <c r="F46" i="1"/>
  <c r="J47" i="1"/>
  <c r="F47" i="1"/>
  <c r="J48" i="1"/>
  <c r="F48" i="1"/>
  <c r="J49" i="1"/>
  <c r="F49" i="1"/>
  <c r="J50" i="1"/>
  <c r="F50" i="1"/>
  <c r="J51" i="1"/>
  <c r="F51" i="1"/>
  <c r="J52" i="1"/>
  <c r="F52" i="1"/>
  <c r="J53" i="1"/>
  <c r="F53" i="1"/>
  <c r="J54" i="1"/>
  <c r="F54" i="1"/>
  <c r="J55" i="1"/>
  <c r="F55" i="1"/>
  <c r="F35" i="5"/>
  <c r="F38" i="5"/>
  <c r="F21" i="5"/>
  <c r="K40" i="1" l="1"/>
  <c r="K51" i="1"/>
  <c r="K39" i="1"/>
  <c r="K26" i="1"/>
  <c r="K55" i="1"/>
  <c r="K43" i="1"/>
  <c r="K30" i="1"/>
  <c r="K47" i="1"/>
  <c r="K34" i="1"/>
  <c r="K48" i="1"/>
  <c r="K50" i="1"/>
  <c r="K42" i="1"/>
  <c r="K33" i="1"/>
  <c r="K29" i="1"/>
  <c r="K52" i="1"/>
  <c r="K46" i="1"/>
  <c r="K38" i="1"/>
  <c r="K25" i="1"/>
  <c r="K53" i="1"/>
  <c r="K41" i="1"/>
  <c r="K24" i="1"/>
  <c r="K54" i="1"/>
  <c r="K45" i="1"/>
  <c r="K32" i="1"/>
  <c r="K44" i="1"/>
  <c r="K49" i="1"/>
  <c r="K37" i="1"/>
  <c r="K28" i="1"/>
  <c r="K36" i="1"/>
  <c r="K31" i="1"/>
  <c r="K27" i="1"/>
  <c r="K15" i="1"/>
  <c r="K23" i="1"/>
  <c r="K19" i="1"/>
  <c r="K18" i="1"/>
  <c r="K14" i="1"/>
  <c r="K22" i="1"/>
  <c r="K17" i="1"/>
  <c r="K35" i="1"/>
  <c r="K21" i="1"/>
  <c r="K20" i="1"/>
  <c r="F31" i="5"/>
  <c r="F30" i="5"/>
  <c r="F29" i="5"/>
  <c r="F33" i="5"/>
  <c r="F34" i="5"/>
  <c r="F36" i="5"/>
  <c r="F37" i="5"/>
  <c r="F22" i="5"/>
  <c r="F23" i="5"/>
  <c r="F24" i="5"/>
  <c r="F25" i="5"/>
  <c r="F27" i="5"/>
  <c r="F26" i="5"/>
  <c r="F28" i="5"/>
  <c r="K56" i="1"/>
  <c r="J56" i="1"/>
  <c r="F56" i="1"/>
  <c r="K57" i="1"/>
  <c r="J57" i="1"/>
  <c r="F57" i="1"/>
  <c r="K58" i="1"/>
  <c r="J58" i="1"/>
  <c r="F58" i="1"/>
  <c r="K59" i="1"/>
  <c r="J59" i="1"/>
  <c r="F59" i="1"/>
  <c r="K60" i="1"/>
  <c r="J60" i="1"/>
  <c r="F60" i="1"/>
  <c r="K61" i="1"/>
  <c r="J61" i="1"/>
  <c r="F61" i="1"/>
  <c r="K62" i="1"/>
  <c r="J62" i="1"/>
  <c r="F62" i="1"/>
  <c r="K63" i="1"/>
  <c r="J63" i="1"/>
  <c r="F63" i="1"/>
  <c r="K64" i="1"/>
  <c r="J64" i="1"/>
  <c r="F64" i="1"/>
  <c r="K65" i="1"/>
  <c r="J65" i="1"/>
  <c r="F65" i="1"/>
  <c r="K66" i="1"/>
  <c r="J66" i="1"/>
  <c r="F66" i="1"/>
  <c r="K67" i="1"/>
  <c r="J67" i="1"/>
  <c r="F67" i="1"/>
  <c r="K68" i="1"/>
  <c r="J68" i="1"/>
  <c r="F68" i="1"/>
  <c r="K69" i="1"/>
  <c r="J69" i="1"/>
  <c r="F69" i="1"/>
  <c r="K70" i="1"/>
  <c r="J70" i="1"/>
  <c r="F70" i="1"/>
  <c r="K71" i="1"/>
  <c r="J71" i="1"/>
  <c r="F71" i="1"/>
  <c r="K72" i="1"/>
  <c r="J72" i="1"/>
  <c r="F72" i="1"/>
  <c r="K82" i="1"/>
  <c r="J82" i="1"/>
  <c r="F82" i="1"/>
  <c r="K83" i="1"/>
  <c r="J83" i="1"/>
  <c r="F83" i="1"/>
  <c r="K73" i="1"/>
  <c r="J73" i="1"/>
  <c r="F73" i="1"/>
  <c r="K74" i="1"/>
  <c r="J74" i="1"/>
  <c r="F74" i="1"/>
  <c r="K75" i="1"/>
  <c r="J75" i="1"/>
  <c r="F75" i="1"/>
  <c r="K76" i="1"/>
  <c r="J76" i="1"/>
  <c r="F76" i="1"/>
  <c r="K77" i="1"/>
  <c r="J77" i="1"/>
  <c r="F77" i="1"/>
  <c r="K78" i="1"/>
  <c r="J78" i="1"/>
  <c r="F78" i="1"/>
  <c r="K79" i="1"/>
  <c r="J79" i="1"/>
  <c r="F79" i="1"/>
  <c r="K80" i="1"/>
  <c r="J80" i="1"/>
  <c r="F80" i="1"/>
  <c r="K84" i="1"/>
  <c r="J84" i="1"/>
  <c r="F84" i="1"/>
  <c r="K85" i="1"/>
  <c r="J85" i="1"/>
  <c r="F85" i="1"/>
  <c r="K86" i="1"/>
  <c r="J86" i="1"/>
  <c r="F86" i="1"/>
  <c r="K87" i="1"/>
  <c r="J87" i="1"/>
  <c r="F87" i="1"/>
  <c r="K88" i="1"/>
  <c r="J88" i="1"/>
  <c r="F88" i="1"/>
  <c r="K89" i="1"/>
  <c r="J89" i="1"/>
  <c r="F89" i="1"/>
  <c r="K81" i="1"/>
  <c r="J81" i="1"/>
  <c r="F81" i="1"/>
  <c r="K90" i="1"/>
  <c r="J90" i="1"/>
  <c r="F90" i="1"/>
  <c r="K91" i="1"/>
  <c r="J91" i="1"/>
  <c r="F91" i="1"/>
  <c r="K92" i="1"/>
  <c r="J92" i="1"/>
  <c r="F92" i="1"/>
  <c r="K93" i="1"/>
  <c r="J93" i="1"/>
  <c r="F93" i="1"/>
  <c r="K94" i="1"/>
  <c r="J94" i="1"/>
  <c r="F94" i="1"/>
  <c r="K95" i="1"/>
  <c r="J95" i="1"/>
  <c r="F95" i="1"/>
  <c r="K96" i="1"/>
  <c r="J96" i="1"/>
  <c r="F96" i="1"/>
  <c r="K97" i="1"/>
  <c r="J97" i="1"/>
  <c r="F97" i="1"/>
  <c r="K98" i="1"/>
  <c r="J98" i="1"/>
  <c r="F98" i="1"/>
  <c r="K99" i="1"/>
  <c r="J99" i="1"/>
  <c r="F99" i="1"/>
  <c r="K102" i="1"/>
  <c r="J102" i="1"/>
  <c r="F102" i="1"/>
  <c r="K100" i="1"/>
  <c r="J100" i="1"/>
  <c r="F100" i="1"/>
  <c r="K101" i="1"/>
  <c r="J101" i="1"/>
  <c r="F101" i="1"/>
  <c r="K103" i="1"/>
  <c r="J103" i="1"/>
  <c r="F103" i="1"/>
  <c r="K104" i="1"/>
  <c r="J104" i="1"/>
  <c r="F104" i="1"/>
  <c r="K105" i="1"/>
  <c r="J105" i="1"/>
  <c r="F105" i="1"/>
  <c r="K106" i="1"/>
  <c r="J106" i="1"/>
  <c r="F106" i="1"/>
  <c r="K107" i="1"/>
  <c r="J107" i="1"/>
  <c r="F107" i="1"/>
  <c r="K108" i="1"/>
  <c r="J108" i="1"/>
  <c r="F108" i="1"/>
  <c r="K109" i="1"/>
  <c r="J109" i="1"/>
  <c r="F109" i="1"/>
  <c r="K110" i="1"/>
  <c r="J110" i="1"/>
  <c r="F110" i="1"/>
  <c r="K111" i="1"/>
  <c r="J111" i="1"/>
  <c r="F111" i="1"/>
  <c r="K112" i="1"/>
  <c r="J112" i="1"/>
  <c r="F112" i="1"/>
  <c r="K113" i="1"/>
  <c r="J113" i="1"/>
  <c r="F113" i="1"/>
  <c r="K114" i="1"/>
  <c r="J114" i="1"/>
  <c r="F114" i="1"/>
  <c r="K115" i="1"/>
  <c r="J115" i="1"/>
  <c r="F115" i="1"/>
  <c r="K116" i="1"/>
  <c r="J116" i="1"/>
  <c r="F116" i="1"/>
  <c r="K117" i="1"/>
  <c r="J117" i="1"/>
  <c r="F117" i="1"/>
  <c r="K118" i="1"/>
  <c r="J118" i="1"/>
  <c r="F118" i="1"/>
  <c r="K142" i="1"/>
  <c r="J142" i="1"/>
  <c r="F142" i="1"/>
  <c r="K119" i="1"/>
  <c r="J119" i="1"/>
  <c r="F119" i="1"/>
  <c r="K120" i="1"/>
  <c r="J120" i="1"/>
  <c r="F120" i="1"/>
  <c r="K121" i="1"/>
  <c r="J121" i="1"/>
  <c r="F121" i="1"/>
  <c r="K122" i="1"/>
  <c r="J122" i="1"/>
  <c r="F122" i="1"/>
  <c r="K123" i="1"/>
  <c r="J123" i="1"/>
  <c r="F123" i="1"/>
  <c r="K124" i="1"/>
  <c r="J124" i="1"/>
  <c r="F124" i="1"/>
  <c r="K125" i="1"/>
  <c r="J125" i="1"/>
  <c r="F125" i="1"/>
  <c r="K129" i="1"/>
  <c r="J129" i="1"/>
  <c r="F129" i="1"/>
  <c r="K126" i="1"/>
  <c r="J126" i="1"/>
  <c r="F126" i="1"/>
  <c r="K127" i="1"/>
  <c r="J127" i="1"/>
  <c r="F127" i="1"/>
  <c r="K128" i="1"/>
  <c r="J128" i="1"/>
  <c r="F128" i="1"/>
  <c r="K130" i="1"/>
  <c r="J130" i="1"/>
  <c r="F130" i="1"/>
  <c r="K131" i="1"/>
  <c r="J131" i="1"/>
  <c r="F131" i="1"/>
  <c r="K132" i="1"/>
  <c r="J132" i="1"/>
  <c r="F132" i="1"/>
  <c r="K133" i="1"/>
  <c r="J133" i="1"/>
  <c r="F133" i="1"/>
  <c r="K134" i="1"/>
  <c r="J134" i="1"/>
  <c r="F134" i="1"/>
  <c r="K135" i="1"/>
  <c r="J135" i="1"/>
  <c r="F135" i="1"/>
  <c r="K136" i="1"/>
  <c r="J136" i="1"/>
  <c r="F136" i="1"/>
  <c r="K137" i="1"/>
  <c r="J137" i="1"/>
  <c r="F137" i="1"/>
  <c r="K138" i="1"/>
  <c r="J138" i="1"/>
  <c r="F138" i="1"/>
  <c r="K139" i="1"/>
  <c r="J139" i="1"/>
  <c r="F139" i="1"/>
  <c r="K140" i="1"/>
  <c r="J140" i="1"/>
  <c r="F140" i="1"/>
  <c r="K141" i="1"/>
  <c r="J141" i="1"/>
  <c r="F141" i="1"/>
  <c r="K143" i="1"/>
  <c r="J143" i="1"/>
  <c r="F143" i="1"/>
  <c r="K144" i="1"/>
  <c r="J144" i="1"/>
  <c r="F144" i="1"/>
  <c r="K145" i="1"/>
  <c r="J145" i="1"/>
  <c r="F145" i="1"/>
  <c r="K146" i="1"/>
  <c r="J146" i="1"/>
  <c r="F146" i="1"/>
  <c r="K147" i="1"/>
  <c r="J147" i="1"/>
  <c r="F147" i="1"/>
  <c r="K148" i="1"/>
  <c r="J148" i="1"/>
  <c r="F148" i="1"/>
  <c r="K149" i="1"/>
  <c r="J149" i="1"/>
  <c r="F149" i="1"/>
  <c r="K150" i="1"/>
  <c r="J150" i="1"/>
  <c r="F150" i="1"/>
  <c r="K151" i="1"/>
  <c r="J151" i="1"/>
  <c r="F151" i="1"/>
  <c r="K152" i="1"/>
  <c r="J152" i="1"/>
  <c r="F152" i="1"/>
  <c r="K153" i="1"/>
  <c r="J153" i="1"/>
  <c r="F153" i="1"/>
  <c r="K154" i="1"/>
  <c r="J154" i="1"/>
  <c r="F154" i="1"/>
  <c r="K155" i="1"/>
  <c r="J155" i="1"/>
  <c r="F155" i="1"/>
  <c r="K156" i="1"/>
  <c r="J156" i="1"/>
  <c r="F156" i="1"/>
  <c r="K157" i="1"/>
  <c r="J157" i="1"/>
  <c r="F157" i="1"/>
  <c r="K158" i="1"/>
  <c r="J158" i="1"/>
  <c r="F158" i="1"/>
  <c r="K159" i="1"/>
  <c r="J159" i="1"/>
  <c r="F159" i="1"/>
  <c r="K160" i="1"/>
  <c r="J160" i="1"/>
  <c r="F160" i="1"/>
  <c r="K161" i="1"/>
  <c r="J161" i="1"/>
  <c r="F161" i="1"/>
  <c r="K162" i="1"/>
  <c r="J162" i="1"/>
  <c r="F162" i="1"/>
  <c r="K163" i="1"/>
  <c r="J163" i="1"/>
  <c r="F163" i="1"/>
  <c r="K164" i="1"/>
  <c r="J164" i="1"/>
  <c r="F164" i="1"/>
  <c r="K165" i="1"/>
  <c r="J165" i="1"/>
  <c r="F165" i="1"/>
  <c r="K166" i="1"/>
  <c r="J166" i="1"/>
  <c r="F166" i="1"/>
  <c r="K167" i="1"/>
  <c r="J167" i="1"/>
  <c r="F167" i="1"/>
  <c r="K168" i="1"/>
  <c r="J168" i="1"/>
  <c r="F168" i="1"/>
  <c r="K169" i="1"/>
  <c r="J169" i="1"/>
  <c r="F169" i="1"/>
  <c r="K170" i="1"/>
  <c r="J170" i="1"/>
  <c r="F170" i="1"/>
  <c r="K171" i="1"/>
  <c r="J171" i="1"/>
  <c r="F171" i="1"/>
  <c r="K172" i="1"/>
  <c r="J172" i="1"/>
  <c r="F172" i="1"/>
  <c r="K173" i="1"/>
  <c r="J173" i="1"/>
  <c r="F173" i="1"/>
  <c r="K174" i="1"/>
  <c r="J174" i="1"/>
  <c r="F174" i="1"/>
  <c r="K175" i="1"/>
  <c r="J175" i="1"/>
  <c r="F175" i="1"/>
  <c r="K176" i="1"/>
  <c r="J176" i="1"/>
  <c r="F176" i="1"/>
  <c r="F47" i="5"/>
  <c r="F46" i="5"/>
  <c r="F45" i="5"/>
  <c r="F44" i="5"/>
  <c r="K177" i="1"/>
  <c r="J177" i="1"/>
  <c r="F177" i="1"/>
  <c r="K178" i="1"/>
  <c r="J178" i="1"/>
  <c r="F178" i="1"/>
  <c r="K179" i="1"/>
  <c r="J179" i="1"/>
  <c r="F179" i="1"/>
  <c r="K180" i="1"/>
  <c r="J180" i="1"/>
  <c r="F180" i="1"/>
  <c r="K181" i="1"/>
  <c r="J181" i="1"/>
  <c r="F181" i="1"/>
  <c r="K182" i="1"/>
  <c r="J182" i="1"/>
  <c r="F182" i="1"/>
  <c r="K183" i="1"/>
  <c r="J183" i="1"/>
  <c r="F183" i="1"/>
  <c r="K184" i="1"/>
  <c r="J184" i="1"/>
  <c r="F184" i="1"/>
  <c r="K185" i="1"/>
  <c r="J185" i="1"/>
  <c r="F185" i="1"/>
  <c r="K186" i="1"/>
  <c r="J186" i="1"/>
  <c r="F186" i="1"/>
  <c r="K187" i="1"/>
  <c r="J187" i="1"/>
  <c r="F187" i="1"/>
  <c r="K188" i="1"/>
  <c r="J188" i="1"/>
  <c r="F188" i="1"/>
  <c r="K189" i="1"/>
  <c r="J189" i="1"/>
  <c r="F189" i="1"/>
  <c r="K190" i="1"/>
  <c r="J190" i="1"/>
  <c r="F190" i="1"/>
  <c r="K191" i="1"/>
  <c r="J191" i="1"/>
  <c r="F191" i="1"/>
  <c r="K192" i="1"/>
  <c r="J192" i="1"/>
  <c r="F192" i="1"/>
  <c r="K193" i="1"/>
  <c r="J193" i="1"/>
  <c r="F193" i="1"/>
  <c r="K194" i="1"/>
  <c r="J194" i="1"/>
  <c r="F194" i="1"/>
  <c r="K195" i="1"/>
  <c r="J195" i="1"/>
  <c r="F195" i="1"/>
  <c r="K196" i="1"/>
  <c r="J196" i="1"/>
  <c r="F196" i="1"/>
  <c r="K197" i="1"/>
  <c r="J197" i="1"/>
  <c r="F197" i="1"/>
  <c r="K198" i="1"/>
  <c r="J198" i="1"/>
  <c r="F198" i="1"/>
  <c r="K199" i="1"/>
  <c r="J199" i="1"/>
  <c r="F199" i="1"/>
  <c r="K200" i="1"/>
  <c r="J200" i="1"/>
  <c r="F200" i="1"/>
  <c r="K201" i="1"/>
  <c r="J201" i="1"/>
  <c r="F201" i="1"/>
  <c r="K202" i="1"/>
  <c r="J202" i="1"/>
  <c r="F202" i="1"/>
  <c r="K203" i="1"/>
  <c r="J203" i="1"/>
  <c r="F203" i="1"/>
  <c r="K204" i="1"/>
  <c r="J204" i="1"/>
  <c r="F204" i="1"/>
  <c r="H1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F13" i="20"/>
  <c r="F12" i="20"/>
  <c r="F11" i="20"/>
  <c r="F6" i="20"/>
  <c r="F5" i="20"/>
  <c r="F4" i="20"/>
  <c r="F3" i="20"/>
  <c r="F2" i="20"/>
  <c r="K205" i="1"/>
  <c r="J205" i="1"/>
  <c r="F205" i="1"/>
  <c r="K206" i="1"/>
  <c r="J206" i="1"/>
  <c r="F206" i="1"/>
  <c r="K207" i="1"/>
  <c r="J207" i="1"/>
  <c r="F207" i="1"/>
  <c r="K208" i="1"/>
  <c r="J208" i="1"/>
  <c r="F208" i="1"/>
  <c r="K209" i="1"/>
  <c r="J209" i="1"/>
  <c r="F209" i="1"/>
  <c r="K210" i="1"/>
  <c r="J210" i="1"/>
  <c r="F210" i="1"/>
  <c r="J211" i="1"/>
  <c r="F211" i="1"/>
  <c r="K212" i="1"/>
  <c r="J212" i="1"/>
  <c r="F212" i="1"/>
  <c r="K213" i="1"/>
  <c r="J213" i="1"/>
  <c r="F213" i="1"/>
  <c r="K214" i="1"/>
  <c r="J214" i="1"/>
  <c r="F214" i="1"/>
  <c r="K215" i="1"/>
  <c r="J215" i="1"/>
  <c r="F215" i="1"/>
  <c r="K216" i="1"/>
  <c r="J216" i="1"/>
  <c r="F216" i="1"/>
  <c r="K217" i="1"/>
  <c r="J217" i="1"/>
  <c r="F217" i="1"/>
  <c r="K218" i="1"/>
  <c r="J218" i="1"/>
  <c r="F218" i="1"/>
  <c r="K219" i="1"/>
  <c r="J219" i="1"/>
  <c r="F219" i="1"/>
  <c r="K220" i="1"/>
  <c r="J220" i="1"/>
  <c r="F220" i="1"/>
  <c r="K221" i="1"/>
  <c r="J221" i="1"/>
  <c r="F221" i="1"/>
  <c r="K222" i="1"/>
  <c r="J222" i="1"/>
  <c r="F222" i="1"/>
  <c r="K223" i="1"/>
  <c r="J223" i="1"/>
  <c r="F223" i="1"/>
  <c r="K224" i="1"/>
  <c r="J224" i="1"/>
  <c r="F224" i="1"/>
  <c r="K225" i="1"/>
  <c r="J225" i="1"/>
  <c r="F225" i="1"/>
  <c r="K226" i="1"/>
  <c r="J226" i="1"/>
  <c r="F226" i="1"/>
  <c r="J227" i="1"/>
  <c r="F227" i="1"/>
  <c r="K228" i="1"/>
  <c r="J228" i="1"/>
  <c r="F228" i="1"/>
  <c r="F62" i="5"/>
  <c r="F61" i="5"/>
  <c r="F60" i="5"/>
  <c r="F59" i="5"/>
  <c r="F58" i="5"/>
  <c r="F57" i="5"/>
  <c r="F56" i="5"/>
  <c r="F55" i="5"/>
  <c r="K284" i="1"/>
  <c r="F54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J229" i="1"/>
  <c r="F229" i="1"/>
  <c r="K230" i="1"/>
  <c r="J230" i="1"/>
  <c r="F230" i="1"/>
  <c r="J231" i="1"/>
  <c r="F231" i="1"/>
  <c r="J232" i="1"/>
  <c r="F232" i="1"/>
  <c r="J233" i="1"/>
  <c r="F233" i="1"/>
  <c r="K234" i="1"/>
  <c r="J234" i="1"/>
  <c r="F234" i="1"/>
  <c r="J235" i="1"/>
  <c r="F235" i="1"/>
  <c r="J236" i="1"/>
  <c r="F236" i="1"/>
  <c r="J237" i="1"/>
  <c r="F237" i="1"/>
  <c r="K238" i="1"/>
  <c r="J238" i="1"/>
  <c r="F238" i="1"/>
  <c r="J239" i="1"/>
  <c r="F239" i="1"/>
  <c r="J240" i="1"/>
  <c r="F240" i="1"/>
  <c r="K241" i="1"/>
  <c r="J241" i="1"/>
  <c r="F241" i="1"/>
  <c r="K242" i="1"/>
  <c r="J242" i="1"/>
  <c r="F242" i="1"/>
  <c r="K243" i="1"/>
  <c r="J243" i="1"/>
  <c r="F243" i="1"/>
  <c r="K244" i="1"/>
  <c r="J244" i="1"/>
  <c r="F244" i="1"/>
  <c r="K245" i="1"/>
  <c r="J245" i="1"/>
  <c r="F245" i="1"/>
  <c r="K246" i="1"/>
  <c r="J246" i="1"/>
  <c r="F246" i="1"/>
  <c r="K247" i="1"/>
  <c r="J247" i="1"/>
  <c r="F247" i="1"/>
  <c r="K248" i="1"/>
  <c r="J248" i="1"/>
  <c r="F248" i="1"/>
  <c r="K249" i="1"/>
  <c r="J249" i="1"/>
  <c r="F249" i="1"/>
  <c r="K250" i="1"/>
  <c r="J250" i="1"/>
  <c r="F250" i="1"/>
  <c r="K251" i="1"/>
  <c r="J251" i="1"/>
  <c r="F251" i="1"/>
  <c r="K252" i="1"/>
  <c r="J252" i="1"/>
  <c r="F252" i="1"/>
  <c r="K253" i="1"/>
  <c r="J253" i="1"/>
  <c r="F253" i="1"/>
  <c r="K272" i="1"/>
  <c r="J272" i="1"/>
  <c r="F272" i="1"/>
  <c r="K254" i="1"/>
  <c r="J254" i="1"/>
  <c r="F254" i="1"/>
  <c r="K255" i="1"/>
  <c r="J255" i="1"/>
  <c r="F255" i="1"/>
  <c r="K256" i="1"/>
  <c r="J256" i="1"/>
  <c r="F256" i="1"/>
  <c r="K257" i="1"/>
  <c r="J257" i="1"/>
  <c r="F257" i="1"/>
  <c r="K258" i="1"/>
  <c r="J258" i="1"/>
  <c r="F258" i="1"/>
  <c r="K259" i="1"/>
  <c r="J259" i="1"/>
  <c r="F259" i="1"/>
  <c r="K260" i="1"/>
  <c r="J260" i="1"/>
  <c r="F260" i="1"/>
  <c r="K261" i="1"/>
  <c r="J261" i="1"/>
  <c r="F261" i="1"/>
  <c r="K262" i="1"/>
  <c r="J262" i="1"/>
  <c r="F262" i="1"/>
  <c r="K263" i="1"/>
  <c r="J263" i="1"/>
  <c r="F263" i="1"/>
  <c r="K264" i="1"/>
  <c r="J264" i="1"/>
  <c r="F264" i="1"/>
  <c r="K265" i="1"/>
  <c r="J265" i="1"/>
  <c r="F265" i="1"/>
  <c r="K266" i="1"/>
  <c r="J266" i="1"/>
  <c r="F266" i="1"/>
  <c r="K267" i="1"/>
  <c r="J267" i="1"/>
  <c r="F267" i="1"/>
  <c r="K268" i="1"/>
  <c r="J268" i="1"/>
  <c r="F268" i="1"/>
  <c r="J269" i="1"/>
  <c r="F269" i="1"/>
  <c r="K270" i="1"/>
  <c r="J270" i="1"/>
  <c r="F270" i="1"/>
  <c r="K271" i="1"/>
  <c r="J271" i="1"/>
  <c r="F271" i="1"/>
  <c r="K273" i="1"/>
  <c r="J273" i="1"/>
  <c r="F273" i="1"/>
  <c r="K274" i="1"/>
  <c r="J274" i="1"/>
  <c r="F274" i="1"/>
  <c r="K275" i="1"/>
  <c r="J275" i="1"/>
  <c r="F275" i="1"/>
  <c r="K276" i="1"/>
  <c r="J276" i="1"/>
  <c r="F276" i="1"/>
  <c r="K277" i="1"/>
  <c r="J277" i="1"/>
  <c r="F277" i="1"/>
  <c r="K278" i="1"/>
  <c r="J278" i="1"/>
  <c r="F278" i="1"/>
  <c r="K279" i="1"/>
  <c r="J279" i="1"/>
  <c r="F279" i="1"/>
  <c r="K280" i="1"/>
  <c r="J280" i="1"/>
  <c r="F280" i="1"/>
  <c r="K281" i="1"/>
  <c r="J281" i="1"/>
  <c r="F281" i="1"/>
  <c r="K282" i="1"/>
  <c r="J282" i="1"/>
  <c r="F282" i="1"/>
  <c r="F107" i="5"/>
  <c r="F106" i="5"/>
  <c r="F105" i="5"/>
  <c r="F104" i="5"/>
  <c r="F103" i="5"/>
  <c r="F102" i="5"/>
  <c r="F101" i="5"/>
  <c r="F100" i="5"/>
  <c r="F99" i="5"/>
  <c r="F98" i="5"/>
  <c r="F97" i="5"/>
  <c r="K283" i="1"/>
  <c r="J283" i="1"/>
  <c r="F283" i="1"/>
  <c r="J284" i="1"/>
  <c r="F284" i="1"/>
  <c r="J285" i="1"/>
  <c r="F285" i="1"/>
  <c r="K286" i="1"/>
  <c r="J286" i="1"/>
  <c r="F286" i="1"/>
  <c r="K287" i="1"/>
  <c r="J287" i="1"/>
  <c r="F287" i="1"/>
  <c r="J288" i="1"/>
  <c r="F288" i="1"/>
  <c r="J289" i="1"/>
  <c r="F289" i="1"/>
  <c r="K290" i="1"/>
  <c r="J290" i="1"/>
  <c r="F290" i="1"/>
  <c r="K291" i="1"/>
  <c r="J291" i="1"/>
  <c r="F291" i="1"/>
  <c r="J292" i="1"/>
  <c r="F292" i="1"/>
  <c r="J293" i="1"/>
  <c r="F293" i="1"/>
  <c r="K294" i="1"/>
  <c r="J294" i="1"/>
  <c r="F294" i="1"/>
  <c r="K295" i="1"/>
  <c r="J295" i="1"/>
  <c r="F295" i="1"/>
  <c r="K296" i="1"/>
  <c r="J296" i="1"/>
  <c r="F296" i="1"/>
  <c r="K297" i="1"/>
  <c r="J297" i="1"/>
  <c r="F297" i="1"/>
  <c r="K298" i="1"/>
  <c r="J298" i="1"/>
  <c r="F298" i="1"/>
  <c r="K299" i="1"/>
  <c r="J299" i="1"/>
  <c r="F299" i="1"/>
  <c r="K300" i="1"/>
  <c r="J300" i="1"/>
  <c r="F300" i="1"/>
  <c r="K301" i="1"/>
  <c r="J301" i="1"/>
  <c r="F301" i="1"/>
  <c r="K302" i="1"/>
  <c r="J302" i="1"/>
  <c r="F302" i="1"/>
  <c r="K303" i="1"/>
  <c r="J303" i="1"/>
  <c r="F303" i="1"/>
  <c r="K304" i="1"/>
  <c r="J304" i="1"/>
  <c r="F304" i="1"/>
  <c r="K305" i="1"/>
  <c r="J305" i="1"/>
  <c r="F305" i="1"/>
  <c r="K335" i="1"/>
  <c r="J335" i="1"/>
  <c r="F335" i="1"/>
  <c r="K336" i="1"/>
  <c r="J336" i="1"/>
  <c r="F336" i="1"/>
  <c r="K337" i="1"/>
  <c r="J337" i="1"/>
  <c r="F337" i="1"/>
  <c r="K338" i="1"/>
  <c r="J338" i="1"/>
  <c r="F338" i="1"/>
  <c r="K339" i="1"/>
  <c r="J339" i="1"/>
  <c r="F339" i="1"/>
  <c r="K340" i="1"/>
  <c r="J340" i="1"/>
  <c r="F340" i="1"/>
  <c r="K332" i="1"/>
  <c r="J332" i="1"/>
  <c r="F332" i="1"/>
  <c r="K333" i="1"/>
  <c r="J333" i="1"/>
  <c r="F333" i="1"/>
  <c r="K334" i="1"/>
  <c r="J334" i="1"/>
  <c r="F334" i="1"/>
  <c r="K326" i="1"/>
  <c r="J326" i="1"/>
  <c r="F326" i="1"/>
  <c r="K327" i="1"/>
  <c r="J327" i="1"/>
  <c r="F327" i="1"/>
  <c r="K328" i="1"/>
  <c r="J328" i="1"/>
  <c r="F328" i="1"/>
  <c r="K329" i="1"/>
  <c r="J329" i="1"/>
  <c r="F329" i="1"/>
  <c r="K330" i="1"/>
  <c r="J330" i="1"/>
  <c r="F330" i="1"/>
  <c r="K331" i="1"/>
  <c r="J331" i="1"/>
  <c r="F331" i="1"/>
  <c r="K324" i="1"/>
  <c r="J324" i="1"/>
  <c r="F324" i="1"/>
  <c r="K318" i="1"/>
  <c r="J318" i="1"/>
  <c r="F318" i="1"/>
  <c r="K319" i="1"/>
  <c r="J319" i="1"/>
  <c r="F319" i="1"/>
  <c r="K320" i="1"/>
  <c r="J320" i="1"/>
  <c r="F320" i="1"/>
  <c r="K321" i="1"/>
  <c r="J321" i="1"/>
  <c r="F321" i="1"/>
  <c r="K322" i="1"/>
  <c r="J322" i="1"/>
  <c r="F322" i="1"/>
  <c r="J323" i="1"/>
  <c r="F323" i="1"/>
  <c r="K325" i="1"/>
  <c r="J325" i="1"/>
  <c r="F325" i="1"/>
  <c r="K312" i="1"/>
  <c r="J312" i="1"/>
  <c r="F312" i="1"/>
  <c r="K313" i="1"/>
  <c r="J313" i="1"/>
  <c r="F313" i="1"/>
  <c r="K314" i="1"/>
  <c r="J314" i="1"/>
  <c r="F314" i="1"/>
  <c r="K315" i="1"/>
  <c r="J315" i="1"/>
  <c r="F315" i="1"/>
  <c r="K316" i="1"/>
  <c r="J316" i="1"/>
  <c r="F316" i="1"/>
  <c r="K317" i="1"/>
  <c r="J317" i="1"/>
  <c r="F317" i="1"/>
  <c r="K306" i="1"/>
  <c r="J306" i="1"/>
  <c r="F306" i="1"/>
  <c r="K307" i="1"/>
  <c r="J307" i="1"/>
  <c r="F307" i="1"/>
  <c r="K308" i="1"/>
  <c r="J308" i="1"/>
  <c r="F308" i="1"/>
  <c r="K309" i="1"/>
  <c r="J309" i="1"/>
  <c r="F309" i="1"/>
  <c r="K310" i="1"/>
  <c r="J310" i="1"/>
  <c r="F310" i="1"/>
  <c r="K311" i="1"/>
  <c r="J311" i="1"/>
  <c r="F311" i="1"/>
  <c r="K341" i="1"/>
  <c r="J341" i="1"/>
  <c r="F341" i="1"/>
  <c r="K342" i="1"/>
  <c r="J342" i="1"/>
  <c r="F342" i="1"/>
  <c r="K343" i="1"/>
  <c r="J343" i="1"/>
  <c r="F343" i="1"/>
  <c r="K346" i="1"/>
  <c r="J346" i="1"/>
  <c r="F346" i="1"/>
  <c r="K347" i="1"/>
  <c r="J347" i="1"/>
  <c r="F347" i="1"/>
  <c r="K344" i="1"/>
  <c r="J344" i="1"/>
  <c r="F344" i="1"/>
  <c r="K345" i="1"/>
  <c r="J345" i="1"/>
  <c r="F345" i="1"/>
  <c r="K348" i="1"/>
  <c r="J348" i="1"/>
  <c r="F348" i="1"/>
  <c r="K349" i="1"/>
  <c r="J349" i="1"/>
  <c r="F349" i="1"/>
  <c r="K350" i="1"/>
  <c r="J350" i="1"/>
  <c r="F350" i="1"/>
  <c r="K351" i="1"/>
  <c r="J351" i="1"/>
  <c r="F351" i="1"/>
  <c r="K352" i="1"/>
  <c r="J352" i="1"/>
  <c r="F352" i="1"/>
  <c r="K353" i="1"/>
  <c r="J353" i="1"/>
  <c r="F353" i="1"/>
  <c r="K354" i="1"/>
  <c r="J354" i="1"/>
  <c r="F354" i="1"/>
  <c r="K355" i="1"/>
  <c r="J355" i="1"/>
  <c r="F355" i="1"/>
  <c r="K356" i="1"/>
  <c r="J356" i="1"/>
  <c r="F356" i="1"/>
  <c r="K357" i="1"/>
  <c r="J357" i="1"/>
  <c r="F357" i="1"/>
  <c r="K358" i="1"/>
  <c r="J358" i="1"/>
  <c r="F358" i="1"/>
  <c r="K359" i="1"/>
  <c r="J359" i="1"/>
  <c r="F359" i="1"/>
  <c r="K360" i="1"/>
  <c r="J360" i="1"/>
  <c r="F360" i="1"/>
  <c r="K361" i="1"/>
  <c r="J361" i="1"/>
  <c r="F361" i="1"/>
  <c r="K362" i="1"/>
  <c r="J362" i="1"/>
  <c r="F362" i="1"/>
  <c r="K367" i="1"/>
  <c r="J367" i="1"/>
  <c r="F367" i="1"/>
  <c r="K368" i="1"/>
  <c r="J368" i="1"/>
  <c r="F368" i="1"/>
  <c r="K364" i="1"/>
  <c r="J364" i="1"/>
  <c r="F364" i="1"/>
  <c r="K365" i="1"/>
  <c r="J365" i="1"/>
  <c r="F365" i="1"/>
  <c r="K366" i="1"/>
  <c r="J366" i="1"/>
  <c r="F366" i="1"/>
  <c r="K363" i="1"/>
  <c r="J363" i="1"/>
  <c r="F363" i="1"/>
  <c r="K369" i="1"/>
  <c r="J369" i="1"/>
  <c r="F369" i="1"/>
  <c r="K370" i="1"/>
  <c r="J370" i="1"/>
  <c r="F370" i="1"/>
  <c r="K371" i="1"/>
  <c r="J371" i="1"/>
  <c r="F371" i="1"/>
  <c r="K372" i="1"/>
  <c r="J372" i="1"/>
  <c r="F372" i="1"/>
  <c r="K373" i="1"/>
  <c r="J373" i="1"/>
  <c r="F373" i="1"/>
  <c r="K381" i="1"/>
  <c r="J381" i="1"/>
  <c r="F381" i="1"/>
  <c r="K382" i="1"/>
  <c r="J382" i="1"/>
  <c r="F382" i="1"/>
  <c r="K383" i="1"/>
  <c r="J383" i="1"/>
  <c r="F383" i="1"/>
  <c r="K384" i="1"/>
  <c r="J384" i="1"/>
  <c r="F384" i="1"/>
  <c r="K385" i="1"/>
  <c r="J385" i="1"/>
  <c r="F385" i="1"/>
  <c r="K374" i="1"/>
  <c r="J374" i="1"/>
  <c r="F374" i="1"/>
  <c r="K375" i="1"/>
  <c r="J375" i="1"/>
  <c r="F375" i="1"/>
  <c r="K376" i="1"/>
  <c r="J376" i="1"/>
  <c r="F376" i="1"/>
  <c r="K386" i="1"/>
  <c r="J386" i="1"/>
  <c r="F386" i="1"/>
  <c r="K387" i="1"/>
  <c r="J387" i="1"/>
  <c r="F387" i="1"/>
  <c r="K388" i="1"/>
  <c r="J388" i="1"/>
  <c r="F388" i="1"/>
  <c r="K377" i="1"/>
  <c r="J377" i="1"/>
  <c r="F377" i="1"/>
  <c r="K378" i="1"/>
  <c r="J378" i="1"/>
  <c r="F378" i="1"/>
  <c r="J379" i="1"/>
  <c r="F379" i="1"/>
  <c r="K380" i="1"/>
  <c r="J380" i="1"/>
  <c r="F380" i="1"/>
  <c r="K389" i="1"/>
  <c r="J389" i="1"/>
  <c r="F389" i="1"/>
  <c r="K390" i="1"/>
  <c r="J390" i="1"/>
  <c r="F390" i="1"/>
  <c r="K391" i="1"/>
  <c r="J391" i="1"/>
  <c r="F391" i="1"/>
  <c r="K392" i="1"/>
  <c r="J392" i="1"/>
  <c r="F392" i="1"/>
  <c r="K393" i="1"/>
  <c r="J393" i="1"/>
  <c r="F393" i="1"/>
  <c r="K394" i="1"/>
  <c r="J394" i="1"/>
  <c r="F394" i="1"/>
  <c r="K395" i="1"/>
  <c r="J395" i="1"/>
  <c r="F395" i="1"/>
  <c r="K396" i="1"/>
  <c r="J396" i="1"/>
  <c r="F396" i="1"/>
  <c r="K397" i="1"/>
  <c r="J397" i="1"/>
  <c r="F397" i="1"/>
  <c r="K398" i="1"/>
  <c r="J398" i="1"/>
  <c r="F398" i="1"/>
  <c r="K399" i="1"/>
  <c r="J399" i="1"/>
  <c r="F399" i="1"/>
  <c r="K400" i="1"/>
  <c r="J400" i="1"/>
  <c r="F400" i="1"/>
  <c r="K401" i="1"/>
  <c r="J401" i="1"/>
  <c r="F401" i="1"/>
  <c r="K403" i="1"/>
  <c r="J403" i="1"/>
  <c r="F403" i="1"/>
  <c r="K402" i="1"/>
  <c r="J402" i="1"/>
  <c r="F402" i="1"/>
  <c r="K404" i="1"/>
  <c r="J404" i="1"/>
  <c r="F404" i="1"/>
  <c r="K405" i="1"/>
  <c r="J405" i="1"/>
  <c r="F405" i="1"/>
  <c r="K406" i="1"/>
  <c r="J406" i="1"/>
  <c r="F406" i="1"/>
  <c r="K407" i="1"/>
  <c r="J407" i="1"/>
  <c r="F407" i="1"/>
  <c r="K408" i="1"/>
  <c r="J408" i="1"/>
  <c r="F408" i="1"/>
  <c r="H7" i="17"/>
  <c r="H6" i="17"/>
  <c r="F117" i="5"/>
  <c r="F116" i="5"/>
  <c r="F115" i="5"/>
  <c r="K499" i="1"/>
  <c r="F114" i="5"/>
  <c r="F113" i="5"/>
  <c r="J573" i="1"/>
  <c r="F573" i="1"/>
  <c r="J409" i="1"/>
  <c r="F409" i="1"/>
  <c r="K410" i="1"/>
  <c r="J410" i="1"/>
  <c r="F410" i="1"/>
  <c r="K412" i="1"/>
  <c r="J412" i="1"/>
  <c r="F412" i="1"/>
  <c r="J413" i="1"/>
  <c r="F413" i="1"/>
  <c r="J414" i="1"/>
  <c r="F414" i="1"/>
  <c r="K415" i="1"/>
  <c r="J415" i="1"/>
  <c r="F415" i="1"/>
  <c r="K416" i="1"/>
  <c r="J416" i="1"/>
  <c r="F416" i="1"/>
  <c r="J417" i="1"/>
  <c r="F417" i="1"/>
  <c r="J426" i="1"/>
  <c r="F426" i="1"/>
  <c r="K419" i="1"/>
  <c r="J419" i="1"/>
  <c r="F419" i="1"/>
  <c r="J420" i="1"/>
  <c r="F420" i="1"/>
  <c r="J418" i="1"/>
  <c r="F418" i="1"/>
  <c r="J421" i="1"/>
  <c r="F421" i="1"/>
  <c r="K422" i="1"/>
  <c r="J422" i="1"/>
  <c r="F422" i="1"/>
  <c r="K423" i="1"/>
  <c r="J423" i="1"/>
  <c r="F423" i="1"/>
  <c r="J427" i="1"/>
  <c r="F427" i="1"/>
  <c r="J428" i="1"/>
  <c r="F428" i="1"/>
  <c r="K411" i="1"/>
  <c r="J411" i="1"/>
  <c r="F411" i="1"/>
  <c r="I2" i="15"/>
  <c r="H2" i="15"/>
  <c r="J2" i="15"/>
  <c r="L2" i="15"/>
  <c r="J433" i="1"/>
  <c r="F433" i="1"/>
  <c r="J424" i="1"/>
  <c r="F424" i="1"/>
  <c r="J425" i="1"/>
  <c r="F425" i="1"/>
  <c r="J429" i="1"/>
  <c r="F429" i="1"/>
  <c r="J430" i="1"/>
  <c r="F430" i="1"/>
  <c r="J431" i="1"/>
  <c r="F431" i="1"/>
  <c r="J432" i="1"/>
  <c r="F432" i="1"/>
  <c r="J435" i="1"/>
  <c r="F435" i="1"/>
  <c r="J436" i="1"/>
  <c r="F436" i="1"/>
  <c r="J437" i="1"/>
  <c r="F437" i="1"/>
  <c r="J438" i="1"/>
  <c r="F438" i="1"/>
  <c r="J439" i="1"/>
  <c r="F439" i="1"/>
  <c r="J440" i="1"/>
  <c r="F440" i="1"/>
  <c r="J441" i="1"/>
  <c r="F441" i="1"/>
  <c r="J434" i="1"/>
  <c r="F434" i="1"/>
  <c r="J542" i="1"/>
  <c r="F542" i="1"/>
  <c r="J543" i="1"/>
  <c r="F543" i="1"/>
  <c r="J442" i="1"/>
  <c r="F442" i="1"/>
  <c r="J443" i="1"/>
  <c r="F443" i="1"/>
  <c r="J444" i="1"/>
  <c r="F444" i="1"/>
  <c r="J445" i="1"/>
  <c r="F445" i="1"/>
  <c r="J446" i="1"/>
  <c r="F446" i="1"/>
  <c r="J447" i="1"/>
  <c r="F447" i="1"/>
  <c r="J448" i="1"/>
  <c r="F448" i="1"/>
  <c r="J449" i="1"/>
  <c r="F449" i="1"/>
  <c r="J450" i="1"/>
  <c r="F450" i="1"/>
  <c r="J451" i="1"/>
  <c r="F451" i="1"/>
  <c r="J462" i="1"/>
  <c r="F462" i="1"/>
  <c r="K463" i="1"/>
  <c r="J463" i="1"/>
  <c r="F463" i="1"/>
  <c r="J464" i="1"/>
  <c r="F464" i="1"/>
  <c r="K465" i="1"/>
  <c r="J465" i="1"/>
  <c r="F465" i="1"/>
  <c r="K468" i="1"/>
  <c r="J468" i="1"/>
  <c r="F468" i="1"/>
  <c r="K452" i="1"/>
  <c r="J452" i="1"/>
  <c r="F452" i="1"/>
  <c r="J453" i="1"/>
  <c r="F453" i="1"/>
  <c r="J454" i="1"/>
  <c r="F454" i="1"/>
  <c r="J455" i="1"/>
  <c r="F455" i="1"/>
  <c r="K456" i="1"/>
  <c r="J456" i="1"/>
  <c r="F456" i="1"/>
  <c r="J457" i="1"/>
  <c r="F457" i="1"/>
  <c r="K458" i="1"/>
  <c r="J458" i="1"/>
  <c r="F458" i="1"/>
  <c r="K459" i="1"/>
  <c r="J459" i="1"/>
  <c r="F459" i="1"/>
  <c r="K460" i="1"/>
  <c r="J460" i="1"/>
  <c r="F460" i="1"/>
  <c r="K461" i="1"/>
  <c r="J461" i="1"/>
  <c r="F461" i="1"/>
  <c r="K469" i="1"/>
  <c r="J469" i="1"/>
  <c r="F469" i="1"/>
  <c r="K466" i="1"/>
  <c r="J466" i="1"/>
  <c r="F466" i="1"/>
  <c r="K467" i="1"/>
  <c r="J467" i="1"/>
  <c r="F467" i="1"/>
  <c r="K470" i="1"/>
  <c r="J470" i="1"/>
  <c r="F470" i="1"/>
  <c r="K471" i="1"/>
  <c r="J471" i="1"/>
  <c r="F471" i="1"/>
  <c r="K472" i="1"/>
  <c r="J472" i="1"/>
  <c r="F472" i="1"/>
  <c r="K474" i="1"/>
  <c r="J474" i="1"/>
  <c r="F474" i="1"/>
  <c r="K473" i="1"/>
  <c r="J473" i="1"/>
  <c r="F473" i="1"/>
  <c r="K475" i="1"/>
  <c r="J475" i="1"/>
  <c r="F475" i="1"/>
  <c r="K478" i="1"/>
  <c r="J478" i="1"/>
  <c r="F478" i="1"/>
  <c r="K476" i="1"/>
  <c r="J476" i="1"/>
  <c r="F476" i="1"/>
  <c r="K479" i="1"/>
  <c r="J479" i="1"/>
  <c r="F479" i="1"/>
  <c r="K477" i="1"/>
  <c r="J477" i="1"/>
  <c r="F477" i="1"/>
  <c r="J480" i="1"/>
  <c r="F480" i="1"/>
  <c r="K481" i="1"/>
  <c r="J481" i="1"/>
  <c r="F481" i="1"/>
  <c r="J482" i="1"/>
  <c r="F482" i="1"/>
  <c r="K483" i="1"/>
  <c r="J483" i="1"/>
  <c r="F483" i="1"/>
  <c r="K484" i="1"/>
  <c r="J484" i="1"/>
  <c r="F484" i="1"/>
  <c r="K485" i="1"/>
  <c r="J485" i="1"/>
  <c r="F485" i="1"/>
  <c r="K486" i="1"/>
  <c r="J486" i="1"/>
  <c r="F486" i="1"/>
  <c r="K487" i="1"/>
  <c r="J487" i="1"/>
  <c r="F487" i="1"/>
  <c r="K488" i="1"/>
  <c r="J488" i="1"/>
  <c r="F488" i="1"/>
  <c r="K489" i="1"/>
  <c r="J489" i="1"/>
  <c r="F489" i="1"/>
  <c r="K490" i="1"/>
  <c r="J490" i="1"/>
  <c r="F490" i="1"/>
  <c r="K491" i="1"/>
  <c r="J491" i="1"/>
  <c r="F491" i="1"/>
  <c r="K493" i="1"/>
  <c r="J493" i="1"/>
  <c r="F493" i="1"/>
  <c r="K494" i="1"/>
  <c r="J494" i="1"/>
  <c r="F494" i="1"/>
  <c r="K495" i="1"/>
  <c r="J495" i="1"/>
  <c r="F495" i="1"/>
  <c r="K502" i="1"/>
  <c r="J502" i="1"/>
  <c r="F502" i="1"/>
  <c r="K503" i="1"/>
  <c r="J503" i="1"/>
  <c r="F503" i="1"/>
  <c r="K504" i="1"/>
  <c r="J504" i="1"/>
  <c r="F504" i="1"/>
  <c r="K505" i="1"/>
  <c r="J505" i="1"/>
  <c r="F505" i="1"/>
  <c r="K507" i="1"/>
  <c r="J507" i="1"/>
  <c r="F507" i="1"/>
  <c r="K508" i="1"/>
  <c r="J508" i="1"/>
  <c r="F508" i="1"/>
  <c r="K509" i="1"/>
  <c r="J509" i="1"/>
  <c r="F509" i="1"/>
  <c r="K513" i="1"/>
  <c r="J513" i="1"/>
  <c r="F513" i="1"/>
  <c r="K514" i="1"/>
  <c r="J514" i="1"/>
  <c r="F514" i="1"/>
  <c r="K515" i="1"/>
  <c r="J515" i="1"/>
  <c r="F515" i="1"/>
  <c r="K516" i="1"/>
  <c r="J516" i="1"/>
  <c r="F516" i="1"/>
  <c r="K517" i="1"/>
  <c r="J517" i="1"/>
  <c r="F517" i="1"/>
  <c r="K518" i="1"/>
  <c r="J518" i="1"/>
  <c r="F518" i="1"/>
  <c r="K532" i="1"/>
  <c r="J532" i="1"/>
  <c r="F532" i="1"/>
  <c r="K492" i="1"/>
  <c r="J492" i="1"/>
  <c r="F492" i="1"/>
  <c r="K496" i="1"/>
  <c r="J496" i="1"/>
  <c r="F496" i="1"/>
  <c r="K497" i="1"/>
  <c r="J497" i="1"/>
  <c r="F497" i="1"/>
  <c r="K498" i="1"/>
  <c r="J498" i="1"/>
  <c r="F498" i="1"/>
  <c r="F130" i="5"/>
  <c r="F129" i="5"/>
  <c r="F128" i="5"/>
  <c r="F127" i="5"/>
  <c r="F126" i="5"/>
  <c r="F125" i="5"/>
  <c r="F124" i="5"/>
  <c r="F123" i="5"/>
  <c r="K506" i="1"/>
  <c r="J506" i="1"/>
  <c r="F506" i="1"/>
  <c r="J499" i="1"/>
  <c r="F499" i="1"/>
  <c r="J500" i="1"/>
  <c r="F500" i="1"/>
  <c r="J501" i="1"/>
  <c r="F501" i="1"/>
  <c r="K510" i="1"/>
  <c r="J510" i="1"/>
  <c r="F510" i="1"/>
  <c r="J511" i="1"/>
  <c r="F511" i="1"/>
  <c r="J512" i="1"/>
  <c r="F512" i="1"/>
  <c r="J519" i="1"/>
  <c r="F519" i="1"/>
  <c r="K520" i="1"/>
  <c r="J520" i="1"/>
  <c r="F520" i="1"/>
  <c r="J521" i="1"/>
  <c r="F521" i="1"/>
  <c r="J522" i="1"/>
  <c r="F522" i="1"/>
  <c r="J523" i="1"/>
  <c r="F523" i="1"/>
  <c r="K524" i="1"/>
  <c r="J524" i="1"/>
  <c r="F524" i="1"/>
  <c r="J525" i="1"/>
  <c r="F525" i="1"/>
  <c r="J526" i="1"/>
  <c r="F526" i="1"/>
  <c r="J527" i="1"/>
  <c r="F527" i="1"/>
  <c r="K528" i="1"/>
  <c r="J528" i="1"/>
  <c r="F528" i="1"/>
  <c r="J529" i="1"/>
  <c r="F529" i="1"/>
  <c r="J530" i="1"/>
  <c r="F530" i="1"/>
  <c r="K531" i="1"/>
  <c r="J531" i="1"/>
  <c r="F531" i="1"/>
  <c r="K533" i="1"/>
  <c r="J533" i="1"/>
  <c r="F533" i="1"/>
  <c r="K534" i="1"/>
  <c r="J534" i="1"/>
  <c r="F534" i="1"/>
  <c r="K535" i="1"/>
  <c r="J535" i="1"/>
  <c r="F535" i="1"/>
  <c r="K536" i="1"/>
  <c r="J536" i="1"/>
  <c r="F536" i="1"/>
  <c r="K537" i="1"/>
  <c r="J537" i="1"/>
  <c r="F537" i="1"/>
  <c r="K538" i="1"/>
  <c r="J538" i="1"/>
  <c r="F538" i="1"/>
  <c r="K539" i="1"/>
  <c r="J539" i="1"/>
  <c r="F539" i="1"/>
  <c r="K540" i="1"/>
  <c r="J540" i="1"/>
  <c r="F540" i="1"/>
  <c r="F134" i="5"/>
  <c r="J1" i="3"/>
  <c r="K1" i="3"/>
  <c r="J541" i="1"/>
  <c r="K559" i="1"/>
  <c r="K561" i="1"/>
  <c r="K562" i="1"/>
  <c r="K564" i="1"/>
  <c r="K565" i="1"/>
  <c r="K566" i="1"/>
  <c r="K567" i="1"/>
  <c r="K568" i="1"/>
  <c r="K569" i="1"/>
  <c r="K570" i="1"/>
  <c r="K571" i="1"/>
  <c r="K575" i="1"/>
  <c r="K596" i="1"/>
  <c r="K597" i="1"/>
  <c r="K576" i="1"/>
  <c r="K577" i="1"/>
  <c r="K578" i="1"/>
  <c r="K579" i="1"/>
  <c r="K580" i="1"/>
  <c r="K581" i="1"/>
  <c r="K582" i="1"/>
  <c r="K583" i="1"/>
  <c r="K598" i="1"/>
  <c r="K572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600" i="1"/>
  <c r="K601" i="1"/>
  <c r="K602" i="1"/>
  <c r="K599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8" i="1"/>
  <c r="K616" i="1"/>
  <c r="K619" i="1"/>
  <c r="K617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6" i="1"/>
  <c r="K644" i="1"/>
  <c r="K645" i="1"/>
  <c r="K650" i="1"/>
  <c r="K647" i="1"/>
  <c r="K648" i="1"/>
  <c r="K649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541" i="1"/>
  <c r="K545" i="1"/>
  <c r="K546" i="1"/>
  <c r="K544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4" i="1"/>
  <c r="J575" i="1"/>
  <c r="J596" i="1"/>
  <c r="J597" i="1"/>
  <c r="J576" i="1"/>
  <c r="J577" i="1"/>
  <c r="J578" i="1"/>
  <c r="J579" i="1"/>
  <c r="J580" i="1"/>
  <c r="J581" i="1"/>
  <c r="J582" i="1"/>
  <c r="J583" i="1"/>
  <c r="J598" i="1"/>
  <c r="J572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600" i="1"/>
  <c r="J601" i="1"/>
  <c r="J602" i="1"/>
  <c r="J599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8" i="1"/>
  <c r="J616" i="1"/>
  <c r="J619" i="1"/>
  <c r="J617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6" i="1"/>
  <c r="J644" i="1"/>
  <c r="J645" i="1"/>
  <c r="J650" i="1"/>
  <c r="J647" i="1"/>
  <c r="J648" i="1"/>
  <c r="J649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545" i="1"/>
  <c r="J546" i="1"/>
  <c r="J544" i="1"/>
  <c r="J547" i="1"/>
  <c r="J548" i="1"/>
  <c r="F541" i="1"/>
  <c r="F545" i="1"/>
  <c r="F546" i="1"/>
  <c r="F544" i="1"/>
  <c r="F547" i="1"/>
  <c r="F548" i="1"/>
  <c r="F549" i="1"/>
  <c r="F550" i="1"/>
  <c r="F551" i="1"/>
  <c r="F552" i="1"/>
  <c r="F553" i="1"/>
  <c r="F554" i="1"/>
  <c r="F555" i="1"/>
  <c r="F556" i="1"/>
  <c r="F151" i="5"/>
  <c r="F150" i="5"/>
  <c r="F149" i="5"/>
  <c r="F148" i="5"/>
  <c r="F147" i="5"/>
  <c r="F146" i="5"/>
  <c r="F145" i="5"/>
  <c r="F144" i="5"/>
  <c r="F143" i="5"/>
  <c r="F820" i="1"/>
  <c r="F821" i="1"/>
  <c r="F142" i="5"/>
  <c r="F827" i="1"/>
  <c r="F141" i="5"/>
  <c r="F140" i="5"/>
  <c r="F139" i="5"/>
  <c r="F736" i="1"/>
  <c r="F138" i="5"/>
  <c r="F137" i="5"/>
  <c r="F557" i="1"/>
  <c r="F558" i="1"/>
  <c r="F559" i="1"/>
  <c r="F560" i="1"/>
  <c r="F561" i="1"/>
  <c r="F562" i="1"/>
  <c r="F563" i="1"/>
  <c r="F564" i="1"/>
  <c r="C9" i="12"/>
  <c r="F9" i="12" s="1"/>
  <c r="C10" i="12"/>
  <c r="C11" i="12"/>
  <c r="C12" i="12"/>
  <c r="C13" i="12"/>
  <c r="C8" i="12"/>
  <c r="F8" i="12" s="1"/>
  <c r="C14" i="12"/>
  <c r="C7" i="12"/>
  <c r="C6" i="12"/>
  <c r="F6" i="12" s="1"/>
  <c r="C5" i="12"/>
  <c r="C15" i="12"/>
  <c r="C16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F10" i="12"/>
  <c r="F1" i="12"/>
  <c r="F565" i="1"/>
  <c r="F566" i="1"/>
  <c r="F567" i="1"/>
  <c r="F568" i="1"/>
  <c r="F569" i="1"/>
  <c r="F570" i="1"/>
  <c r="F571" i="1"/>
  <c r="F574" i="1"/>
  <c r="F575" i="1"/>
  <c r="F596" i="1"/>
  <c r="F597" i="1"/>
  <c r="F576" i="1"/>
  <c r="F577" i="1"/>
  <c r="F578" i="1"/>
  <c r="F579" i="1"/>
  <c r="F580" i="1"/>
  <c r="F581" i="1"/>
  <c r="F582" i="1"/>
  <c r="F583" i="1"/>
  <c r="F598" i="1"/>
  <c r="F572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684" i="1"/>
  <c r="F685" i="1"/>
  <c r="F670" i="1"/>
  <c r="F668" i="1"/>
  <c r="F669" i="1"/>
  <c r="F159" i="5"/>
  <c r="F600" i="1"/>
  <c r="F601" i="1"/>
  <c r="F602" i="1"/>
  <c r="F599" i="1"/>
  <c r="F603" i="1"/>
  <c r="F604" i="1"/>
  <c r="F158" i="5"/>
  <c r="F157" i="5"/>
  <c r="F156" i="5"/>
  <c r="F155" i="5"/>
  <c r="F154" i="5"/>
  <c r="H286" i="5"/>
  <c r="F273" i="5"/>
  <c r="F264" i="5"/>
  <c r="F206" i="5"/>
  <c r="F605" i="1"/>
  <c r="F606" i="1"/>
  <c r="F607" i="1"/>
  <c r="F608" i="1"/>
  <c r="F609" i="1"/>
  <c r="F610" i="1"/>
  <c r="F611" i="1"/>
  <c r="F612" i="1"/>
  <c r="F613" i="1"/>
  <c r="F614" i="1"/>
  <c r="F615" i="1"/>
  <c r="F618" i="1"/>
  <c r="F616" i="1"/>
  <c r="F619" i="1"/>
  <c r="F617" i="1"/>
  <c r="F620" i="1"/>
  <c r="F621" i="1"/>
  <c r="F622" i="1"/>
  <c r="F623" i="1"/>
  <c r="F624" i="1"/>
  <c r="F625" i="1"/>
  <c r="F626" i="1"/>
  <c r="F627" i="1"/>
  <c r="F643" i="1"/>
  <c r="F646" i="1"/>
  <c r="F644" i="1"/>
  <c r="F645" i="1"/>
  <c r="F275" i="5"/>
  <c r="F274" i="5"/>
  <c r="F272" i="5"/>
  <c r="F271" i="5"/>
  <c r="F270" i="5"/>
  <c r="F269" i="5"/>
  <c r="F268" i="5"/>
  <c r="F267" i="5"/>
  <c r="F266" i="5"/>
  <c r="F265" i="5"/>
  <c r="F259" i="5"/>
  <c r="F260" i="5"/>
  <c r="F261" i="5"/>
  <c r="F276" i="5"/>
  <c r="F214" i="5"/>
  <c r="F166" i="5"/>
  <c r="F165" i="5"/>
  <c r="F164" i="5"/>
  <c r="F163" i="5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50" i="1"/>
  <c r="F647" i="1"/>
  <c r="F648" i="1"/>
  <c r="F649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6" i="1"/>
  <c r="F687" i="1"/>
  <c r="F688" i="1"/>
  <c r="F689" i="1"/>
  <c r="F690" i="1"/>
  <c r="F691" i="1"/>
  <c r="F692" i="1"/>
  <c r="F693" i="1"/>
  <c r="F694" i="1"/>
  <c r="F695" i="1"/>
  <c r="F700" i="1"/>
  <c r="F701" i="1"/>
  <c r="F702" i="1"/>
  <c r="F703" i="1"/>
  <c r="F704" i="1"/>
  <c r="F696" i="1"/>
  <c r="F697" i="1"/>
  <c r="F698" i="1"/>
  <c r="F175" i="5"/>
  <c r="F705" i="1"/>
  <c r="F174" i="5"/>
  <c r="F173" i="5"/>
  <c r="F172" i="5"/>
  <c r="F171" i="5"/>
  <c r="F170" i="5"/>
  <c r="F699" i="1"/>
  <c r="F729" i="1"/>
  <c r="F706" i="1"/>
  <c r="F707" i="1"/>
  <c r="F708" i="1"/>
  <c r="F709" i="1"/>
  <c r="F710" i="1"/>
  <c r="F711" i="1"/>
  <c r="F712" i="1"/>
  <c r="F716" i="1"/>
  <c r="F717" i="1"/>
  <c r="F718" i="1"/>
  <c r="F713" i="1"/>
  <c r="F714" i="1"/>
  <c r="F719" i="1"/>
  <c r="F720" i="1"/>
  <c r="F721" i="1"/>
  <c r="F722" i="1"/>
  <c r="F715" i="1"/>
  <c r="F723" i="1"/>
  <c r="F724" i="1"/>
  <c r="F725" i="1"/>
  <c r="F726" i="1"/>
  <c r="F727" i="1"/>
  <c r="F728" i="1"/>
  <c r="F730" i="1"/>
  <c r="F731" i="1"/>
  <c r="F732" i="1"/>
  <c r="F733" i="1"/>
  <c r="F734" i="1"/>
  <c r="F735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5" i="1"/>
  <c r="F782" i="1"/>
  <c r="F783" i="1"/>
  <c r="F784" i="1"/>
  <c r="F792" i="1"/>
  <c r="F786" i="1"/>
  <c r="F793" i="1"/>
  <c r="F794" i="1"/>
  <c r="F795" i="1"/>
  <c r="F796" i="1"/>
  <c r="F797" i="1"/>
  <c r="F798" i="1"/>
  <c r="F799" i="1"/>
  <c r="F787" i="1"/>
  <c r="F800" i="1"/>
  <c r="F801" i="1"/>
  <c r="F802" i="1"/>
  <c r="F813" i="1"/>
  <c r="F814" i="1"/>
  <c r="F815" i="1"/>
  <c r="F816" i="1"/>
  <c r="F817" i="1"/>
  <c r="F818" i="1"/>
  <c r="F819" i="1"/>
  <c r="F828" i="1"/>
  <c r="F822" i="1"/>
  <c r="F788" i="1"/>
  <c r="F532" i="8"/>
  <c r="F531" i="8"/>
  <c r="F530" i="8"/>
  <c r="F529" i="8"/>
  <c r="F528" i="8"/>
  <c r="F527" i="8"/>
  <c r="F526" i="8"/>
  <c r="F525" i="8"/>
  <c r="F524" i="8"/>
  <c r="F523" i="8"/>
  <c r="F522" i="8"/>
  <c r="F521" i="8"/>
  <c r="F520" i="8"/>
  <c r="F519" i="8"/>
  <c r="F518" i="8"/>
  <c r="F517" i="8"/>
  <c r="F516" i="8"/>
  <c r="F515" i="8"/>
  <c r="F514" i="8"/>
  <c r="F513" i="8"/>
  <c r="F512" i="8"/>
  <c r="F511" i="8"/>
  <c r="F510" i="8"/>
  <c r="F509" i="8"/>
  <c r="F508" i="8"/>
  <c r="F507" i="8"/>
  <c r="F506" i="8"/>
  <c r="F505" i="8"/>
  <c r="F504" i="8"/>
  <c r="F503" i="8"/>
  <c r="F502" i="8"/>
  <c r="F501" i="8"/>
  <c r="F500" i="8"/>
  <c r="F499" i="8"/>
  <c r="F498" i="8"/>
  <c r="F497" i="8"/>
  <c r="F496" i="8"/>
  <c r="F495" i="8"/>
  <c r="F494" i="8"/>
  <c r="F493" i="8"/>
  <c r="F492" i="8"/>
  <c r="F491" i="8"/>
  <c r="F490" i="8"/>
  <c r="F489" i="8"/>
  <c r="F488" i="8"/>
  <c r="F487" i="8"/>
  <c r="F486" i="8"/>
  <c r="F485" i="8"/>
  <c r="F484" i="8"/>
  <c r="F483" i="8"/>
  <c r="F482" i="8"/>
  <c r="F481" i="8"/>
  <c r="F480" i="8"/>
  <c r="F479" i="8"/>
  <c r="F478" i="8"/>
  <c r="F477" i="8"/>
  <c r="F476" i="8"/>
  <c r="F475" i="8"/>
  <c r="F474" i="8"/>
  <c r="F473" i="8"/>
  <c r="F472" i="8"/>
  <c r="F471" i="8"/>
  <c r="F470" i="8"/>
  <c r="F469" i="8"/>
  <c r="F468" i="8"/>
  <c r="F467" i="8"/>
  <c r="F466" i="8"/>
  <c r="F465" i="8"/>
  <c r="F464" i="8"/>
  <c r="F463" i="8"/>
  <c r="F462" i="8"/>
  <c r="F461" i="8"/>
  <c r="F460" i="8"/>
  <c r="F459" i="8"/>
  <c r="F458" i="8"/>
  <c r="F457" i="8"/>
  <c r="F456" i="8"/>
  <c r="F455" i="8"/>
  <c r="F454" i="8"/>
  <c r="F453" i="8"/>
  <c r="F452" i="8"/>
  <c r="F451" i="8"/>
  <c r="F450" i="8"/>
  <c r="F449" i="8"/>
  <c r="F448" i="8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3" i="8"/>
  <c r="F352" i="8"/>
  <c r="F351" i="8"/>
  <c r="F350" i="8"/>
  <c r="F349" i="8"/>
  <c r="F348" i="8"/>
  <c r="F347" i="8"/>
  <c r="F346" i="8"/>
  <c r="F345" i="8"/>
  <c r="F344" i="8"/>
  <c r="F343" i="8"/>
  <c r="F342" i="8"/>
  <c r="F341" i="8"/>
  <c r="F340" i="8"/>
  <c r="F339" i="8"/>
  <c r="F338" i="8"/>
  <c r="F337" i="8"/>
  <c r="F336" i="8"/>
  <c r="F335" i="8"/>
  <c r="F334" i="8"/>
  <c r="F333" i="8"/>
  <c r="F332" i="8"/>
  <c r="F331" i="8"/>
  <c r="F330" i="8"/>
  <c r="F329" i="8"/>
  <c r="F328" i="8"/>
  <c r="F327" i="8"/>
  <c r="F326" i="8"/>
  <c r="F324" i="8"/>
  <c r="F323" i="8"/>
  <c r="F322" i="8"/>
  <c r="F321" i="8"/>
  <c r="F320" i="8"/>
  <c r="F319" i="8"/>
  <c r="F318" i="8"/>
  <c r="F317" i="8"/>
  <c r="F316" i="8"/>
  <c r="F315" i="8"/>
  <c r="F314" i="8"/>
  <c r="F313" i="8"/>
  <c r="F312" i="8"/>
  <c r="F311" i="8"/>
  <c r="F310" i="8"/>
  <c r="F309" i="8"/>
  <c r="F308" i="8"/>
  <c r="F307" i="8"/>
  <c r="F306" i="8"/>
  <c r="F305" i="8"/>
  <c r="F304" i="8"/>
  <c r="F303" i="8"/>
  <c r="F302" i="8"/>
  <c r="F301" i="8"/>
  <c r="F300" i="8"/>
  <c r="F299" i="8"/>
  <c r="F298" i="8"/>
  <c r="F297" i="8"/>
  <c r="F296" i="8"/>
  <c r="F295" i="8"/>
  <c r="F294" i="8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L1" i="8"/>
  <c r="J1" i="8"/>
  <c r="F789" i="1"/>
  <c r="F823" i="1"/>
  <c r="F790" i="1"/>
  <c r="F791" i="1"/>
  <c r="F803" i="1"/>
  <c r="F804" i="1"/>
  <c r="F805" i="1"/>
  <c r="F806" i="1"/>
  <c r="F807" i="1"/>
  <c r="F808" i="1"/>
  <c r="F809" i="1"/>
  <c r="F810" i="1"/>
  <c r="F811" i="1"/>
  <c r="F812" i="1"/>
  <c r="F181" i="5"/>
  <c r="F180" i="5"/>
  <c r="F824" i="1"/>
  <c r="F825" i="1"/>
  <c r="F826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7" i="1"/>
  <c r="F188" i="5"/>
  <c r="F187" i="5"/>
  <c r="F186" i="5"/>
  <c r="F185" i="5"/>
  <c r="F1118" i="1"/>
  <c r="F864" i="1"/>
  <c r="F865" i="1"/>
  <c r="F866" i="1"/>
  <c r="F863" i="1"/>
  <c r="F862" i="1"/>
  <c r="F868" i="1"/>
  <c r="F869" i="1"/>
  <c r="F870" i="1"/>
  <c r="F871" i="1"/>
  <c r="F872" i="1"/>
  <c r="F873" i="1"/>
  <c r="F874" i="1"/>
  <c r="F875" i="1"/>
  <c r="F876" i="1"/>
  <c r="F877" i="1"/>
  <c r="F881" i="1"/>
  <c r="F878" i="1"/>
  <c r="F879" i="1"/>
  <c r="F882" i="1"/>
  <c r="F883" i="1"/>
  <c r="F884" i="1"/>
  <c r="F880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199" i="5"/>
  <c r="F198" i="5"/>
  <c r="F197" i="5"/>
  <c r="F195" i="5"/>
  <c r="F196" i="5"/>
  <c r="F193" i="5"/>
  <c r="F194" i="5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204" i="5"/>
  <c r="F203" i="5"/>
  <c r="F202" i="5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J6" i="7"/>
  <c r="M6" i="7"/>
  <c r="K6" i="7"/>
  <c r="J10" i="7"/>
  <c r="M10" i="7"/>
  <c r="K10" i="7"/>
  <c r="J14" i="7"/>
  <c r="M14" i="7"/>
  <c r="K14" i="7"/>
  <c r="F1025" i="1"/>
  <c r="F1026" i="1"/>
  <c r="F1027" i="1"/>
  <c r="F1028" i="1"/>
  <c r="J20" i="7"/>
  <c r="M20" i="7"/>
  <c r="K20" i="7"/>
  <c r="J21" i="7"/>
  <c r="M21" i="7"/>
  <c r="K21" i="7"/>
  <c r="J22" i="7"/>
  <c r="M22" i="7"/>
  <c r="K22" i="7"/>
  <c r="J23" i="7"/>
  <c r="M23" i="7"/>
  <c r="K23" i="7"/>
  <c r="J24" i="7"/>
  <c r="M24" i="7"/>
  <c r="K24" i="7"/>
  <c r="J25" i="7"/>
  <c r="M25" i="7"/>
  <c r="K25" i="7"/>
  <c r="J26" i="7"/>
  <c r="M26" i="7"/>
  <c r="K26" i="7"/>
  <c r="J2" i="7"/>
  <c r="M2" i="7"/>
  <c r="K2" i="7"/>
  <c r="J3" i="7"/>
  <c r="M3" i="7"/>
  <c r="K3" i="7"/>
  <c r="J4" i="7"/>
  <c r="M4" i="7"/>
  <c r="K4" i="7"/>
  <c r="J5" i="7"/>
  <c r="M5" i="7"/>
  <c r="K5" i="7"/>
  <c r="J7" i="7"/>
  <c r="M7" i="7"/>
  <c r="K7" i="7"/>
  <c r="J8" i="7"/>
  <c r="M8" i="7"/>
  <c r="K8" i="7"/>
  <c r="J9" i="7"/>
  <c r="M9" i="7"/>
  <c r="K9" i="7"/>
  <c r="J11" i="7"/>
  <c r="M11" i="7"/>
  <c r="K11" i="7"/>
  <c r="J12" i="7"/>
  <c r="M12" i="7"/>
  <c r="K12" i="7"/>
  <c r="J13" i="7"/>
  <c r="M13" i="7"/>
  <c r="K13" i="7"/>
  <c r="J15" i="7"/>
  <c r="M15" i="7"/>
  <c r="K15" i="7"/>
  <c r="J16" i="7"/>
  <c r="M16" i="7"/>
  <c r="K16" i="7"/>
  <c r="J17" i="7"/>
  <c r="M17" i="7"/>
  <c r="K17" i="7"/>
  <c r="J18" i="7"/>
  <c r="M18" i="7"/>
  <c r="K18" i="7"/>
  <c r="F1029" i="1"/>
  <c r="F1030" i="1"/>
  <c r="F1031" i="1"/>
  <c r="F1032" i="1"/>
  <c r="F1033" i="1"/>
  <c r="F1034" i="1"/>
  <c r="J19" i="7"/>
  <c r="M19" i="7"/>
  <c r="K19" i="7"/>
  <c r="F1035" i="1"/>
  <c r="F1036" i="1"/>
  <c r="F1037" i="1"/>
  <c r="F1038" i="1"/>
  <c r="F1145" i="1"/>
  <c r="F1039" i="1"/>
  <c r="F1040" i="1"/>
  <c r="F1041" i="1"/>
  <c r="F1042" i="1"/>
  <c r="F1043" i="1"/>
  <c r="F1044" i="1"/>
  <c r="F1045" i="1"/>
  <c r="F1046" i="1"/>
  <c r="F1047" i="1"/>
  <c r="F1048" i="1"/>
  <c r="F1049" i="1"/>
  <c r="F1054" i="1"/>
  <c r="F1050" i="1"/>
  <c r="F213" i="5"/>
  <c r="F1103" i="1"/>
  <c r="F1051" i="1"/>
  <c r="F1052" i="1"/>
  <c r="F1053" i="1"/>
  <c r="F212" i="5"/>
  <c r="F211" i="5"/>
  <c r="F210" i="5"/>
  <c r="F209" i="5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90" i="1"/>
  <c r="F1091" i="1"/>
  <c r="F1089" i="1"/>
  <c r="F1092" i="1"/>
  <c r="F1093" i="1"/>
  <c r="F1094" i="1"/>
  <c r="F1095" i="1"/>
  <c r="F1096" i="1"/>
  <c r="F1099" i="1"/>
  <c r="F1100" i="1"/>
  <c r="F1101" i="1"/>
  <c r="F1102" i="1"/>
  <c r="F1105" i="1"/>
  <c r="F1106" i="1"/>
  <c r="F1107" i="1"/>
  <c r="F1114" i="1"/>
  <c r="F1086" i="1"/>
  <c r="F1087" i="1"/>
  <c r="F1088" i="1"/>
  <c r="F1097" i="1"/>
  <c r="F1098" i="1"/>
  <c r="F1104" i="1"/>
  <c r="F220" i="5"/>
  <c r="F219" i="5"/>
  <c r="F222" i="5"/>
  <c r="F1117" i="1"/>
  <c r="F224" i="5"/>
  <c r="F1112" i="1"/>
  <c r="F223" i="5"/>
  <c r="F1113" i="1"/>
  <c r="F1108" i="1"/>
  <c r="F1109" i="1"/>
  <c r="F1110" i="1"/>
  <c r="F1111" i="1"/>
  <c r="F1115" i="1"/>
  <c r="F1116" i="1"/>
  <c r="F1119" i="1"/>
  <c r="F1120" i="1"/>
  <c r="F1121" i="1"/>
  <c r="F1122" i="1"/>
  <c r="F1123" i="1"/>
  <c r="F1124" i="1"/>
  <c r="F1125" i="1"/>
  <c r="F1126" i="1"/>
  <c r="F1127" i="1"/>
  <c r="F1129" i="1"/>
  <c r="F1130" i="1"/>
  <c r="F1131" i="1"/>
  <c r="F1132" i="1"/>
  <c r="F1133" i="1"/>
  <c r="F1134" i="1"/>
  <c r="F1135" i="1"/>
  <c r="F1136" i="1"/>
  <c r="F1137" i="1"/>
  <c r="F1138" i="1"/>
  <c r="F1139" i="1"/>
  <c r="F1148" i="1"/>
  <c r="F1140" i="1"/>
  <c r="F1141" i="1"/>
  <c r="F1142" i="1"/>
  <c r="F1143" i="1"/>
  <c r="F1146" i="1"/>
  <c r="F1144" i="1"/>
  <c r="F1147" i="1"/>
  <c r="F1149" i="1"/>
  <c r="F1150" i="1"/>
  <c r="F1151" i="1"/>
  <c r="F1152" i="1"/>
  <c r="F1153" i="1"/>
  <c r="F1154" i="1"/>
  <c r="F1155" i="1"/>
  <c r="F1156" i="1"/>
  <c r="F1158" i="1"/>
  <c r="F1159" i="1"/>
  <c r="F1160" i="1"/>
  <c r="F240" i="5"/>
  <c r="F239" i="5"/>
  <c r="F238" i="5"/>
  <c r="F237" i="5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246" i="5"/>
  <c r="F245" i="5"/>
  <c r="F244" i="5"/>
  <c r="F1178" i="1"/>
  <c r="F1179" i="1"/>
  <c r="F1180" i="1"/>
  <c r="F1181" i="1"/>
  <c r="F1182" i="1"/>
  <c r="F1183" i="1"/>
  <c r="F1177" i="1"/>
  <c r="F1184" i="1"/>
  <c r="F1185" i="1"/>
  <c r="F1188" i="1"/>
  <c r="F1186" i="1"/>
  <c r="F255" i="5"/>
  <c r="F254" i="5"/>
  <c r="F253" i="5"/>
  <c r="F252" i="5"/>
  <c r="F1226" i="1"/>
  <c r="F1187" i="1"/>
  <c r="F1200" i="1"/>
  <c r="F1189" i="1"/>
  <c r="F1190" i="1"/>
  <c r="F1191" i="1"/>
  <c r="F1" i="3"/>
  <c r="F1193" i="1"/>
  <c r="F1194" i="1"/>
  <c r="F1195" i="1"/>
  <c r="F1196" i="1"/>
  <c r="F1197" i="1"/>
  <c r="F1198" i="1"/>
  <c r="F1199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10" i="1"/>
  <c r="F1309" i="1"/>
  <c r="F1311" i="1"/>
  <c r="F1312" i="1"/>
  <c r="F1313" i="1"/>
  <c r="F1314" i="1"/>
  <c r="F1315" i="1"/>
  <c r="F1317" i="1"/>
  <c r="F1316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192" i="1"/>
  <c r="M1" i="1"/>
  <c r="O1" i="1"/>
  <c r="K462" i="1"/>
  <c r="K448" i="1"/>
  <c r="K444" i="1"/>
  <c r="K542" i="1"/>
  <c r="K439" i="1"/>
  <c r="K435" i="1"/>
  <c r="K451" i="1"/>
  <c r="K447" i="1"/>
  <c r="K443" i="1"/>
  <c r="K434" i="1"/>
  <c r="K438" i="1"/>
  <c r="K432" i="1"/>
  <c r="K425" i="1"/>
  <c r="K527" i="1"/>
  <c r="K523" i="1"/>
  <c r="K519" i="1"/>
  <c r="K501" i="1"/>
  <c r="K563" i="1"/>
  <c r="K428" i="1"/>
  <c r="K421" i="1"/>
  <c r="K426" i="1"/>
  <c r="K414" i="1"/>
  <c r="K409" i="1"/>
  <c r="K457" i="1"/>
  <c r="K453" i="1"/>
  <c r="K464" i="1"/>
  <c r="K450" i="1"/>
  <c r="K446" i="1"/>
  <c r="K442" i="1"/>
  <c r="K441" i="1"/>
  <c r="K437" i="1"/>
  <c r="K431" i="1"/>
  <c r="K424" i="1"/>
  <c r="K530" i="1"/>
  <c r="K526" i="1"/>
  <c r="K522" i="1"/>
  <c r="K512" i="1"/>
  <c r="K500" i="1"/>
  <c r="K574" i="1"/>
  <c r="K560" i="1"/>
  <c r="K418" i="1"/>
  <c r="K417" i="1"/>
  <c r="K413" i="1"/>
  <c r="K573" i="1"/>
  <c r="K449" i="1"/>
  <c r="K445" i="1"/>
  <c r="K543" i="1"/>
  <c r="K440" i="1"/>
  <c r="K436" i="1"/>
  <c r="K433" i="1"/>
  <c r="K529" i="1"/>
  <c r="K525" i="1"/>
  <c r="K521" i="1"/>
  <c r="K511" i="1"/>
  <c r="K239" i="1"/>
  <c r="K235" i="1"/>
  <c r="K231" i="1"/>
  <c r="K455" i="1"/>
  <c r="K237" i="1"/>
  <c r="K233" i="1"/>
  <c r="K229" i="1"/>
  <c r="K293" i="1"/>
  <c r="K289" i="1"/>
  <c r="K285" i="1"/>
  <c r="K454" i="1"/>
  <c r="K420" i="1"/>
  <c r="K240" i="1"/>
  <c r="K236" i="1"/>
  <c r="K232" i="1"/>
  <c r="K292" i="1"/>
  <c r="K288" i="1"/>
  <c r="F16" i="12" l="1"/>
  <c r="F7" i="12"/>
  <c r="F5" i="12"/>
  <c r="F15" i="12"/>
  <c r="F14" i="12"/>
  <c r="F13" i="12"/>
  <c r="F12" i="12"/>
  <c r="F11" i="12"/>
  <c r="F4" i="12"/>
  <c r="F3" i="12"/>
</calcChain>
</file>

<file path=xl/comments1.xml><?xml version="1.0" encoding="utf-8"?>
<comments xmlns="http://schemas.openxmlformats.org/spreadsheetml/2006/main">
  <authors>
    <author>Szerző</author>
  </authors>
  <commentList>
    <comment ref="G8" authorId="0" shapeId="0">
      <text>
        <r>
          <rPr>
            <b/>
            <sz val="9"/>
            <color indexed="81"/>
            <rFont val="Tahoma"/>
            <family val="2"/>
            <charset val="238"/>
          </rPr>
          <t>Szerző:</t>
        </r>
        <r>
          <rPr>
            <sz val="9"/>
            <color indexed="81"/>
            <rFont val="Tahoma"/>
            <family val="2"/>
            <charset val="238"/>
          </rPr>
          <t xml:space="preserve">
Újbóli szétszedés.</t>
        </r>
      </text>
    </comment>
  </commentList>
</comments>
</file>

<file path=xl/sharedStrings.xml><?xml version="1.0" encoding="utf-8"?>
<sst xmlns="http://schemas.openxmlformats.org/spreadsheetml/2006/main" count="10905" uniqueCount="2937">
  <si>
    <t>Bejelentés Dátuma</t>
  </si>
  <si>
    <t>Hiba leírása</t>
  </si>
  <si>
    <t>HNK22-01</t>
  </si>
  <si>
    <t>HNK22-02</t>
  </si>
  <si>
    <t>HNK22-03</t>
  </si>
  <si>
    <t>HNK22-04</t>
  </si>
  <si>
    <t>HNK22-05</t>
  </si>
  <si>
    <t>HNK22-06</t>
  </si>
  <si>
    <t>HNK22-07</t>
  </si>
  <si>
    <t>HNK22-08</t>
  </si>
  <si>
    <t>HNK22-09</t>
  </si>
  <si>
    <t>HNK22-10</t>
  </si>
  <si>
    <t>HNK22-11</t>
  </si>
  <si>
    <t>HNK22-12</t>
  </si>
  <si>
    <t>HNK22-13</t>
  </si>
  <si>
    <t>HNK22-14</t>
  </si>
  <si>
    <t>HNK22-15</t>
  </si>
  <si>
    <t>HNK22-16</t>
  </si>
  <si>
    <t>HNK22-17</t>
  </si>
  <si>
    <t>HNK22-18</t>
  </si>
  <si>
    <t>HNK22-19</t>
  </si>
  <si>
    <t>HNK22-20</t>
  </si>
  <si>
    <t>HNK22-21</t>
  </si>
  <si>
    <t>HNK22-22</t>
  </si>
  <si>
    <t>HNK22-23</t>
  </si>
  <si>
    <t>HNK22-24</t>
  </si>
  <si>
    <t>HNK22-25</t>
  </si>
  <si>
    <t>HNK22-01/1</t>
  </si>
  <si>
    <t>HNK22-02/1</t>
  </si>
  <si>
    <t>HNK22-03/1</t>
  </si>
  <si>
    <t>HNK22-04/1</t>
  </si>
  <si>
    <t>HNK22-05/1</t>
  </si>
  <si>
    <t>HNK22-06/1</t>
  </si>
  <si>
    <t>HNK22-07/1</t>
  </si>
  <si>
    <t>HNK22-08/1</t>
  </si>
  <si>
    <t>HNK22-09/1</t>
  </si>
  <si>
    <t>HNK22-10/1</t>
  </si>
  <si>
    <t>HNK22-11/1</t>
  </si>
  <si>
    <t>HNK22-12/1</t>
  </si>
  <si>
    <t>HNK22-13/1</t>
  </si>
  <si>
    <t>HNK22-14/1</t>
  </si>
  <si>
    <t>HNK22-15/1</t>
  </si>
  <si>
    <t>HNK22-16/1</t>
  </si>
  <si>
    <t>HNK22-17/1</t>
  </si>
  <si>
    <t>HNK22-18/1</t>
  </si>
  <si>
    <t>HNK22-19/1</t>
  </si>
  <si>
    <t>HNK22-20/1</t>
  </si>
  <si>
    <t>HNK22-21/1</t>
  </si>
  <si>
    <t>HNK22-22/1</t>
  </si>
  <si>
    <t>HNK22-23/1</t>
  </si>
  <si>
    <t>HNK22-24/1</t>
  </si>
  <si>
    <t>HNK22-25/1</t>
  </si>
  <si>
    <t>HNK22-01/2</t>
  </si>
  <si>
    <t>HNK22-02/2</t>
  </si>
  <si>
    <t>HNK22-03/2</t>
  </si>
  <si>
    <t>HNK22-04/2</t>
  </si>
  <si>
    <t>HNK22-05/2</t>
  </si>
  <si>
    <t>HNK22-06/2</t>
  </si>
  <si>
    <t>HNK22-07/2</t>
  </si>
  <si>
    <t>HNK22-08/2</t>
  </si>
  <si>
    <t>HNK22-09/2</t>
  </si>
  <si>
    <t>HNK22-10/2</t>
  </si>
  <si>
    <t>HNK22-11/2</t>
  </si>
  <si>
    <t>HNK22-12/2</t>
  </si>
  <si>
    <t>HNK22-13/2</t>
  </si>
  <si>
    <t>HNK22-14/2</t>
  </si>
  <si>
    <t>HNK22-15/2</t>
  </si>
  <si>
    <t>HNK22-16/2</t>
  </si>
  <si>
    <t>HNK22-17/2</t>
  </si>
  <si>
    <t>HNK22-18/2</t>
  </si>
  <si>
    <t>HNK22-19/2</t>
  </si>
  <si>
    <t>HNK22-20/2</t>
  </si>
  <si>
    <t>HNK22-21/2</t>
  </si>
  <si>
    <t>HNK22-22/2</t>
  </si>
  <si>
    <t>HNK22-23/2</t>
  </si>
  <si>
    <t>HNK22-24/2</t>
  </si>
  <si>
    <t>HNK22-25/2</t>
  </si>
  <si>
    <t>Jetsky-01</t>
  </si>
  <si>
    <t>Jetsky-02</t>
  </si>
  <si>
    <t>Jetsky-03</t>
  </si>
  <si>
    <t>Jetsky-04</t>
  </si>
  <si>
    <t>Jetsky-05</t>
  </si>
  <si>
    <t>Jetsky-01/1</t>
  </si>
  <si>
    <t>Jetsky-02/1</t>
  </si>
  <si>
    <t>Jetsky-03/1</t>
  </si>
  <si>
    <t>Jetsky-04/1</t>
  </si>
  <si>
    <t>Jetsky-05/1</t>
  </si>
  <si>
    <t>Jetsky-01/2</t>
  </si>
  <si>
    <t>Jetsky-02/2</t>
  </si>
  <si>
    <t>Jetsky-03/2</t>
  </si>
  <si>
    <t>Jetsky-04/2</t>
  </si>
  <si>
    <t>Jetsky-05/2</t>
  </si>
  <si>
    <t>Állapot</t>
  </si>
  <si>
    <t>Gép/Akkumulátor</t>
  </si>
  <si>
    <t>Szélvédőcsere</t>
  </si>
  <si>
    <t>Kész</t>
  </si>
  <si>
    <t>Folyamatban</t>
  </si>
  <si>
    <t>Vízszivárgás</t>
  </si>
  <si>
    <t>Ajtó nem záródik</t>
  </si>
  <si>
    <t>Üzemképtelen</t>
  </si>
  <si>
    <t>Szigetelőburkolat sérülés</t>
  </si>
  <si>
    <t>Hidraulika süllyedés</t>
  </si>
  <si>
    <t>Poroltó beszerelése</t>
  </si>
  <si>
    <t>Akkumulátor rögzítő retesz csere</t>
  </si>
  <si>
    <t>Akkumulátor levegőcső T csatlakozó törött</t>
  </si>
  <si>
    <t>Akkumulátor vízcsatlakozó deformált</t>
  </si>
  <si>
    <t>Akkumulátor vízcső repedés</t>
  </si>
  <si>
    <t>2 új Led tetőlámpa</t>
  </si>
  <si>
    <t>Akkumulátor burkolat sérült</t>
  </si>
  <si>
    <t>Jetsky</t>
  </si>
  <si>
    <t>FHB35</t>
  </si>
  <si>
    <t>FHB16</t>
  </si>
  <si>
    <t>Akkumulátorok tisztítása</t>
  </si>
  <si>
    <t>Átvizsgálás.Jelezték, hogy hosszabb használat után égett szag jön a targoncából és elől a kerekeknél súrlódó hang hallatszik</t>
  </si>
  <si>
    <t>Első szélvédőmosó cső repedt , használat során az ablakmosó folyadék ömlik a műszerfalból a taposólemezre</t>
  </si>
  <si>
    <t>Világítás nem üzemel</t>
  </si>
  <si>
    <t>1000 üzemórás gépek karbantartásra figyelmeztető jelzés törlése</t>
  </si>
  <si>
    <t>Olajfolyás. Ua mint a 22-esé volt</t>
  </si>
  <si>
    <t>Akkumulátor reteszelő törött</t>
  </si>
  <si>
    <t>Munkalapszám</t>
  </si>
  <si>
    <t>Villa reteszelő javítás</t>
  </si>
  <si>
    <t>SM-2022/13106</t>
  </si>
  <si>
    <t>HNK. Emelőgép villakerekéről a futófelület levállt,a nem megfelelő útviszonyok végett.</t>
  </si>
  <si>
    <t>SM-2022/13105</t>
  </si>
  <si>
    <t>HNK. Első munkalámpa felszerelés a kivánt helyre.</t>
  </si>
  <si>
    <t>SM-2022/12903</t>
  </si>
  <si>
    <t>SM-2022/12907</t>
  </si>
  <si>
    <t>SM-2022/12910</t>
  </si>
  <si>
    <t>Stekker csere</t>
  </si>
  <si>
    <t>Jobb ajtó lötyög</t>
  </si>
  <si>
    <t>Akkumulátor tisztítás</t>
  </si>
  <si>
    <t>Ajtó beakasztó gomb csere</t>
  </si>
  <si>
    <t>Készáru</t>
  </si>
  <si>
    <t>Készáru Töltő</t>
  </si>
  <si>
    <t>Felszakadt akkumulátor állványok visszarögzítése</t>
  </si>
  <si>
    <t>Villamagasító visszahegesztése,megerősítése</t>
  </si>
  <si>
    <t>Felső tetőlámpa újracsavarozása</t>
  </si>
  <si>
    <t>SM-2022/13351</t>
  </si>
  <si>
    <t>SM-2022/13398</t>
  </si>
  <si>
    <t>SM-2022/13399</t>
  </si>
  <si>
    <t>SM-2022/13400</t>
  </si>
  <si>
    <t>Komi-01</t>
  </si>
  <si>
    <t>Komi-02</t>
  </si>
  <si>
    <t>SM-2022/13401</t>
  </si>
  <si>
    <t>POS-RAK. //080167C4799</t>
  </si>
  <si>
    <t>Akkumulátor állapotának meghatározása</t>
  </si>
  <si>
    <t>Gyenge Akkumulátor. Ellenőrzés</t>
  </si>
  <si>
    <t>Jobb oldali Kitámasztókerék ellenőrzés</t>
  </si>
  <si>
    <t>HNK-Akkumulátor-80V</t>
  </si>
  <si>
    <t>Tisztítás</t>
  </si>
  <si>
    <t>SM-2023/82</t>
  </si>
  <si>
    <t xml:space="preserve">HNK. Targonca monitorja leeset a helyéről.
</t>
  </si>
  <si>
    <t xml:space="preserve">SM-2023/181
</t>
  </si>
  <si>
    <t>201595/06 - Fejtői Gyalog</t>
  </si>
  <si>
    <t>HNK.Emelőgép akkutöltője nem tölt,modulhibát jelez.Akku folyadékszint alacsony</t>
  </si>
  <si>
    <t>SM-2023/188</t>
  </si>
  <si>
    <t>SM-2023/187</t>
  </si>
  <si>
    <t>Cserélő-01</t>
  </si>
  <si>
    <t>Cserélő-02</t>
  </si>
  <si>
    <t>Emelőgép ferdén emel.Villatengely törés.Valószinűleg úthibák miatt.</t>
  </si>
  <si>
    <t>SM-2023/186</t>
  </si>
  <si>
    <t>SM-2023/185</t>
  </si>
  <si>
    <t>24 V Töltő</t>
  </si>
  <si>
    <t>Első kerekek cseréje</t>
  </si>
  <si>
    <t>Készáruban a csöveknél lévő töltőből ki lett szerelve az egyik 24 V-os modul mert kellett a fejtői töltőbe. Új beszerzése</t>
  </si>
  <si>
    <t>Kaup leszorító leszerelése</t>
  </si>
  <si>
    <t>Olajfolyás</t>
  </si>
  <si>
    <t>Új Hosszúvillák beszerzése</t>
  </si>
  <si>
    <t>HNK. Targonca villarács magasítása letörött.// Villamagasítás visszahegesztése,megerősítése</t>
  </si>
  <si>
    <t>SM-2023/361</t>
  </si>
  <si>
    <t>Villarács magasítás felhegesztése</t>
  </si>
  <si>
    <t>Villarögzítő eltörött</t>
  </si>
  <si>
    <t>SM-2023/360</t>
  </si>
  <si>
    <t>Akkumulátor ajtó érzékelő hiba</t>
  </si>
  <si>
    <t>SM-2023/359</t>
  </si>
  <si>
    <t>Targonca bal oldali ablak reteszelője szétesett.Első lámpája leesett.</t>
  </si>
  <si>
    <t>SM-2023/358</t>
  </si>
  <si>
    <t>Félreemel. Kerekek ellenőrzése/cseréje</t>
  </si>
  <si>
    <t>Fékfolyadék ellenőrzés hibajelzés</t>
  </si>
  <si>
    <t>Kitámasztó kerék csere</t>
  </si>
  <si>
    <t>Biztonsági öv csat szétesett</t>
  </si>
  <si>
    <t>Hamar lemerül. Ell.</t>
  </si>
  <si>
    <t>SM-2023/593</t>
  </si>
  <si>
    <t>Összeraktam,csere darab kell</t>
  </si>
  <si>
    <t>Emelőkosár</t>
  </si>
  <si>
    <t>Retesz legyártása</t>
  </si>
  <si>
    <t>Alsó Lámpacsavarok kilazultak</t>
  </si>
  <si>
    <t>SM-2023/693</t>
  </si>
  <si>
    <t>Vezerlő panel csere.</t>
  </si>
  <si>
    <t>Ajtócsavar pótlás</t>
  </si>
  <si>
    <t>SM-2023/692</t>
  </si>
  <si>
    <t>Meghúztam</t>
  </si>
  <si>
    <t>Akkumulátor hiba / Saru csere</t>
  </si>
  <si>
    <t>SM-2023/755</t>
  </si>
  <si>
    <t>Szűrő-01</t>
  </si>
  <si>
    <t>Akkumulátor töltő felszerelése</t>
  </si>
  <si>
    <t>SM-2023/811</t>
  </si>
  <si>
    <t>Bal első kerék gumifelülete levált.</t>
  </si>
  <si>
    <t>SM-2023/904</t>
  </si>
  <si>
    <t>SM-2023/810</t>
  </si>
  <si>
    <t>Akkumulátor rögzítő retesz fixálása</t>
  </si>
  <si>
    <t>SM-2023/1030</t>
  </si>
  <si>
    <t>HNK.Targoncára lámpa felszerelése a kivánt helyre.</t>
  </si>
  <si>
    <t>SM-2023/1029</t>
  </si>
  <si>
    <t>SM-2023/1028</t>
  </si>
  <si>
    <t>Blindspot Monitor nem ad képet/Munkahenger eltépte a kábelt</t>
  </si>
  <si>
    <t>SM-2023/1025</t>
  </si>
  <si>
    <t>EUB09D700992</t>
  </si>
  <si>
    <t xml:space="preserve"> SM-2023/911</t>
  </si>
  <si>
    <t>Targonca jobb ajtózárja szétesett.Menet közben kopogó hang hallatszik.</t>
  </si>
  <si>
    <t>SM-2023/950</t>
  </si>
  <si>
    <t>Tetővilágítás ellenőrzés/Beázott</t>
  </si>
  <si>
    <t>Boplen</t>
  </si>
  <si>
    <t>Targoncás kollégák kidöntötték a gyalogos terelő korlátot</t>
  </si>
  <si>
    <t xml:space="preserve"> SM-2023/1137</t>
  </si>
  <si>
    <t xml:space="preserve"> SM-2023/1213</t>
  </si>
  <si>
    <t>Hátsó kerék lődörög a lemezfelnin. Ellenőrzés</t>
  </si>
  <si>
    <t>Jobb első kerék gumifelülete levált</t>
  </si>
  <si>
    <t>Meghajtó kerék</t>
  </si>
  <si>
    <t>Bal hátsó kitámasztó kerék</t>
  </si>
  <si>
    <t>SM-2023/1208</t>
  </si>
  <si>
    <t>SM-2023/1451</t>
  </si>
  <si>
    <t>SM-2023/1450</t>
  </si>
  <si>
    <t>SM-2023/1449</t>
  </si>
  <si>
    <t>Fülkecsavarok kilazultak,csavarok meghúzása</t>
  </si>
  <si>
    <t>SM-2023/1448</t>
  </si>
  <si>
    <t>Csere hosszúvillára</t>
  </si>
  <si>
    <t>SM-2023/1447</t>
  </si>
  <si>
    <t>SM-2023/1561</t>
  </si>
  <si>
    <t>Támasztókerék hiba</t>
  </si>
  <si>
    <t>SM-2023/1560</t>
  </si>
  <si>
    <t>Emelőgép villakerekéről a futófelölet levállt.Támasztókerék ropogó hangot ad</t>
  </si>
  <si>
    <t>SM-2023/1559</t>
  </si>
  <si>
    <t>Kitámasztó kerék feljebb van mint a meghajtó kerék, ezért érezhető üresen billegő érzés</t>
  </si>
  <si>
    <t>Menetrögzítőt kapott</t>
  </si>
  <si>
    <t>Ellenőrízve,ok</t>
  </si>
  <si>
    <t>Jeleztük</t>
  </si>
  <si>
    <t>Kerékhiba,talaj problémák miatt</t>
  </si>
  <si>
    <t>PSH201595/06 fejtői gép ellenőrzése</t>
  </si>
  <si>
    <t>Akkumulátor reteszelő műanyag fogantyúja törött</t>
  </si>
  <si>
    <t>SM-2023/1852</t>
  </si>
  <si>
    <t>HNK: 15/2-es akkumulátor kevés üzemórát bir // Savsürűség ellenőrzése.Cellánként 1,20. Megengedett érték alsó határ</t>
  </si>
  <si>
    <t>SM-2023/1850</t>
  </si>
  <si>
    <t>SM-2023/1849</t>
  </si>
  <si>
    <t>Utas oldaltámaszték hegesztése elengedte magát( Emelőgép deréktámasza letörött a helyéről.)</t>
  </si>
  <si>
    <t>SM-2023/1848</t>
  </si>
  <si>
    <t>SM-2023/2014</t>
  </si>
  <si>
    <t>HNK: Targonca karbantartást igényel.</t>
  </si>
  <si>
    <t>SM-2023/2013</t>
  </si>
  <si>
    <t>Targonca jobb hátsó kerekéről levállt a gumiabroncs. Kerék csere a HNK22-14-es gépről</t>
  </si>
  <si>
    <t>SM-2023/2012</t>
  </si>
  <si>
    <t>Első kerékcsere</t>
  </si>
  <si>
    <t>SM-2023/1734</t>
  </si>
  <si>
    <t>SM-2023/1733</t>
  </si>
  <si>
    <t>Óraszám</t>
  </si>
  <si>
    <t>Kerékhiba</t>
  </si>
  <si>
    <t xml:space="preserve"> Emelőgép deréktámasza letörött a helyéről</t>
  </si>
  <si>
    <t>Baloldali ablakrögzítő csavarok kiestek</t>
  </si>
  <si>
    <t>Pohártartó műanyag konzol rendelése</t>
  </si>
  <si>
    <t>SM-2023/2137</t>
  </si>
  <si>
    <t>Menetmotor csapágycsere</t>
  </si>
  <si>
    <t>SM-2023/2136</t>
  </si>
  <si>
    <t>SM-2023/2135</t>
  </si>
  <si>
    <t>Menetmotor tartócsavarok lazák eltörtrtek.Emelőgép javítása.
Emelőgép karbantartása,kenés</t>
  </si>
  <si>
    <t xml:space="preserve"> Targonca zsírzása, kenése, karbantartása.</t>
  </si>
  <si>
    <t>SM-2023/2085</t>
  </si>
  <si>
    <t>SM-2023/2084</t>
  </si>
  <si>
    <t>SM-2023/2083</t>
  </si>
  <si>
    <t>Enersys ellenőrizte. Ok</t>
  </si>
  <si>
    <t>Kerék ell.</t>
  </si>
  <si>
    <t>HNK: Targonca alatt olajfolás látható</t>
  </si>
  <si>
    <t>SM-2023/2271</t>
  </si>
  <si>
    <t>SM-2023/2269</t>
  </si>
  <si>
    <t>Villaági kerék leszakadt</t>
  </si>
  <si>
    <t>SM-2023/2268</t>
  </si>
  <si>
    <t>Vezérlőegység ventilátor leszakadt</t>
  </si>
  <si>
    <t>SM-2023/2474</t>
  </si>
  <si>
    <t>SM-2023/2530</t>
  </si>
  <si>
    <t>SM-2023/2587</t>
  </si>
  <si>
    <t>Emelőgép akkukiszedő szerkezete rendellenessen működik.</t>
  </si>
  <si>
    <t>SM-2023/2586</t>
  </si>
  <si>
    <t>SM-2023/2585</t>
  </si>
  <si>
    <t>Villaági kerék ledobta magát</t>
  </si>
  <si>
    <t>SM-2023/2584</t>
  </si>
  <si>
    <t>Akkumulátor tálca görgőtartó fül elrepedt</t>
  </si>
  <si>
    <t>Villa rövidítés 200 mm</t>
  </si>
  <si>
    <t>SM-2023/2637</t>
  </si>
  <si>
    <t>Pohártartó eltörött</t>
  </si>
  <si>
    <t>SM-2023/2636</t>
  </si>
  <si>
    <t>SM-2023/2635</t>
  </si>
  <si>
    <t>Szélvédőcsere HNK22-08-ról</t>
  </si>
  <si>
    <t>Villa enged vissza</t>
  </si>
  <si>
    <t>SM-2023/2690</t>
  </si>
  <si>
    <t>Kerékhiba és kikopott perselyprobléma</t>
  </si>
  <si>
    <t>SM-2023/2756</t>
  </si>
  <si>
    <t>SM-2023/2755</t>
  </si>
  <si>
    <t>Emelőgép meghajtókereke elkopott</t>
  </si>
  <si>
    <t>SM-2023/2754</t>
  </si>
  <si>
    <t>Targonca jobb ajtózárja letörött.</t>
  </si>
  <si>
    <t>SM-2023/2753</t>
  </si>
  <si>
    <t>HNK:Emelőgép meghajtó és támasztókerekei elkoptak</t>
  </si>
  <si>
    <t>Jobb Kitámasztókerék ellenőrzés,jav.</t>
  </si>
  <si>
    <t>Nyilvántartási szám</t>
  </si>
  <si>
    <t>TIPUS</t>
  </si>
  <si>
    <t>GYÁRTÁSI SZÁM</t>
  </si>
  <si>
    <t>FB16-E2</t>
  </si>
  <si>
    <t>JA2N1E700427</t>
  </si>
  <si>
    <t>JA2N1E700428</t>
  </si>
  <si>
    <t>FB18-E2</t>
  </si>
  <si>
    <t>JAG2N1E701604</t>
  </si>
  <si>
    <t>JAG2N1E701603</t>
  </si>
  <si>
    <t>FHB35-F1L</t>
  </si>
  <si>
    <t>EUB09D700742</t>
  </si>
  <si>
    <t>EUB09D700743</t>
  </si>
  <si>
    <t>EUB09D700744</t>
  </si>
  <si>
    <t>EUB09D700745</t>
  </si>
  <si>
    <t>EUB09D700794</t>
  </si>
  <si>
    <t>EUB09D700850</t>
  </si>
  <si>
    <t>EUB09D700267</t>
  </si>
  <si>
    <t>EUB09D700268</t>
  </si>
  <si>
    <t>EUB09D700269</t>
  </si>
  <si>
    <t>EUB09D700705</t>
  </si>
  <si>
    <t>EUB09D700851</t>
  </si>
  <si>
    <t>EUB09D700852</t>
  </si>
  <si>
    <t>EUB09D700836</t>
  </si>
  <si>
    <t>EUB09D700832</t>
  </si>
  <si>
    <t>EUB09D700842</t>
  </si>
  <si>
    <t>EUB09D700838</t>
  </si>
  <si>
    <t>EUB09D700740</t>
  </si>
  <si>
    <t>EUB09D700704</t>
  </si>
  <si>
    <t>EUB09D700741</t>
  </si>
  <si>
    <t>EFC09D60002</t>
  </si>
  <si>
    <t>PTP/200R</t>
  </si>
  <si>
    <t>PTP200R239151</t>
  </si>
  <si>
    <t>PTP200R239152</t>
  </si>
  <si>
    <t>PTP200R239153</t>
  </si>
  <si>
    <t>PTP200R239154</t>
  </si>
  <si>
    <t>PTP200R239155</t>
  </si>
  <si>
    <t>TCM LO20N2</t>
  </si>
  <si>
    <t>LO20N2RCB13B00110</t>
  </si>
  <si>
    <t>LO20N2RCB13B00112</t>
  </si>
  <si>
    <t>TLX -20</t>
  </si>
  <si>
    <t>F24537B00021</t>
  </si>
  <si>
    <t>F24537B00022</t>
  </si>
  <si>
    <t>Sopron</t>
  </si>
  <si>
    <t>PAL/200F</t>
  </si>
  <si>
    <t>RCB03A00116</t>
  </si>
  <si>
    <t>SOPRON</t>
  </si>
  <si>
    <t>HELI CDD16</t>
  </si>
  <si>
    <t>080167C4799</t>
  </si>
  <si>
    <t>PLL200</t>
  </si>
  <si>
    <t>PLL219775</t>
  </si>
  <si>
    <t>SOPRON-16</t>
  </si>
  <si>
    <t>PSH160SDTFV480</t>
  </si>
  <si>
    <t>PSH201592/06</t>
  </si>
  <si>
    <t>PSH160STFV360</t>
  </si>
  <si>
    <t>PSH201595/06</t>
  </si>
  <si>
    <t>SRD200/PDP200THP209</t>
  </si>
  <si>
    <t>PDP-242697</t>
  </si>
  <si>
    <t>Alvázszám</t>
  </si>
  <si>
    <t>Kürt beragad</t>
  </si>
  <si>
    <t>Ajtózsanérok csavarjai kicsavarodtak, az ajtó leszakadt</t>
  </si>
  <si>
    <t>SM-2023/2868</t>
  </si>
  <si>
    <t>SM-2023/2867</t>
  </si>
  <si>
    <t>Olajfolyás látható az akkumulátortérben</t>
  </si>
  <si>
    <t>Targonca bal első kerekétől súrlódó hang hallatszik, használat során túlmelegedési hibát jelzett.(Meghajtó motor hiba)</t>
  </si>
  <si>
    <t>Felső tetőablaka berepedt. Pótlás</t>
  </si>
  <si>
    <t>SM-2023/3057</t>
  </si>
  <si>
    <t>Ajtózár hiba</t>
  </si>
  <si>
    <t>SM-2023/3056</t>
  </si>
  <si>
    <t>SM-2023/2991</t>
  </si>
  <si>
    <t>Fordítómű átszerelés hosszúvillára</t>
  </si>
  <si>
    <t>Kitámasztó kerék eltörött</t>
  </si>
  <si>
    <t>SM-2023/3209</t>
  </si>
  <si>
    <t>Kitámasztó kerék kitörött</t>
  </si>
  <si>
    <t>SM-2023/3207</t>
  </si>
  <si>
    <t>Villa belső méreteinek meghatározása // javító elem berendelése</t>
  </si>
  <si>
    <t>Bal oldali ajtókeret megsérült, ellenőrzés.</t>
  </si>
  <si>
    <t>Megjegyzés</t>
  </si>
  <si>
    <t>Motortól kerregő hang hallatszik, és égett szagot lehet érezni</t>
  </si>
  <si>
    <t>SM-2023/3271</t>
  </si>
  <si>
    <t>Félreemel.</t>
  </si>
  <si>
    <t>SM-2023/3270</t>
  </si>
  <si>
    <t>SM-2023/3269</t>
  </si>
  <si>
    <t xml:space="preserve"> SM-2023/3268</t>
  </si>
  <si>
    <t>Szélvédő beszerelése.</t>
  </si>
  <si>
    <t>Kerék ellenrőzés</t>
  </si>
  <si>
    <t>Állás érzékelő csere</t>
  </si>
  <si>
    <t>Bal ajtózár hiba</t>
  </si>
  <si>
    <t>SM-2023/3328</t>
  </si>
  <si>
    <t>SM-2023/3327</t>
  </si>
  <si>
    <t>Támasztó görgő csere</t>
  </si>
  <si>
    <t>SM-2023/3326</t>
  </si>
  <si>
    <t>Kitámasztó kerék hiba,meghajtókerék hiba</t>
  </si>
  <si>
    <t>SM-2023/3271,3208,3272</t>
  </si>
  <si>
    <t>Félreemel</t>
  </si>
  <si>
    <t>Hosszabb használat után teljesítmény csökkenés + égett szag. Ellenőrzés</t>
  </si>
  <si>
    <t>Emelőgép villaperselyei elkoptak,kitöredeztek.</t>
  </si>
  <si>
    <t>SM-2023/3512</t>
  </si>
  <si>
    <t>Meghajtókerék elkopott, cserélve a Jetsky-02-ből</t>
  </si>
  <si>
    <t>SM-2023/3511</t>
  </si>
  <si>
    <t>HNK: Targonca fülkéből kopogó hang hallatszik</t>
  </si>
  <si>
    <t>SM-2023/3510</t>
  </si>
  <si>
    <t>Targonca menet közben váratlanul letilt.</t>
  </si>
  <si>
    <t>SM-2023/3509</t>
  </si>
  <si>
    <t>Hosszúvilla retesz csere</t>
  </si>
  <si>
    <t>Akkumulátor retesz főcsavar laza</t>
  </si>
  <si>
    <t>ventilár zúgás, vezértlőegység ventilátor ell.</t>
  </si>
  <si>
    <t>SM-2023/3666</t>
  </si>
  <si>
    <t>SM-2023/3664</t>
  </si>
  <si>
    <t>Felső tetőlámpa tartó letört.</t>
  </si>
  <si>
    <t>Emelőgép deréktámasza letörött a helyéről</t>
  </si>
  <si>
    <t>Villaági keréktartó elrepedt</t>
  </si>
  <si>
    <t>SM-2023/3849</t>
  </si>
  <si>
    <t>SM-2023/3812</t>
  </si>
  <si>
    <t>Akkumulátortérben lévő ütközővas hegesztése elrepedt</t>
  </si>
  <si>
    <t>Bruttó érték</t>
  </si>
  <si>
    <t>SM-2023/3880</t>
  </si>
  <si>
    <t>Fűtés nem megy</t>
  </si>
  <si>
    <t>Emeléskor akad a villakocsi</t>
  </si>
  <si>
    <t>Kitámasztókerék hiba</t>
  </si>
  <si>
    <t>SM-2023/3997</t>
  </si>
  <si>
    <t>SM-2023/3996</t>
  </si>
  <si>
    <t>SM-2023/3995</t>
  </si>
  <si>
    <t>Ablaktörlő fűtés kontakt - taposólemez</t>
  </si>
  <si>
    <t>Beázik</t>
  </si>
  <si>
    <t>80 V töltő csatlakozó  sérült</t>
  </si>
  <si>
    <t>villogó letört</t>
  </si>
  <si>
    <t>SM-2023/4188</t>
  </si>
  <si>
    <t>SM-2023/4187</t>
  </si>
  <si>
    <t>SM-2023/4185</t>
  </si>
  <si>
    <t>Emelőgép jobb emelővilla hosszabítása eltörött.</t>
  </si>
  <si>
    <t>SM-2023/4264</t>
  </si>
  <si>
    <t>SM-2023/4237</t>
  </si>
  <si>
    <t>SM-2023/4263</t>
  </si>
  <si>
    <t>SM-2023/4262</t>
  </si>
  <si>
    <t>Félreemel, perselycsere</t>
  </si>
  <si>
    <t>SM-2023/4379</t>
  </si>
  <si>
    <t>Villaági kerekek csere</t>
  </si>
  <si>
    <t>SM-2023/4378</t>
  </si>
  <si>
    <t>Targonca hajtómű szimering csere.</t>
  </si>
  <si>
    <t>SM-2023/4377</t>
  </si>
  <si>
    <t>SM-2023/4376</t>
  </si>
  <si>
    <t>SM-2023/4318</t>
  </si>
  <si>
    <t>Olaj és szimeringcsere után kerregő hang a meghajtómű felől</t>
  </si>
  <si>
    <t>perselyek cseréje</t>
  </si>
  <si>
    <t>Kerekek cseréje.</t>
  </si>
  <si>
    <t>Nincs világítás</t>
  </si>
  <si>
    <t>SM-2023/4501</t>
  </si>
  <si>
    <t>2000-es szerviz</t>
  </si>
  <si>
    <t>Nem tudják mi lehet, azt mondták mehet</t>
  </si>
  <si>
    <t>SM-2023/4616</t>
  </si>
  <si>
    <t>SM-2023/4615</t>
  </si>
  <si>
    <t>SM-2023/4614</t>
  </si>
  <si>
    <t>SM-2023/4612</t>
  </si>
  <si>
    <t>Akkumulátor ell. Hamar lemerül</t>
  </si>
  <si>
    <t>Villamagasító hegesztése</t>
  </si>
  <si>
    <t>Targonca elektromos bekötésének ellenőrzése</t>
  </si>
  <si>
    <t>Targonca 3x leállt egymás után. 3. leállás után volt egy kép 2db csatlakozóról!</t>
  </si>
  <si>
    <t xml:space="preserve">Kitámasztó kerék </t>
  </si>
  <si>
    <t>SM-2023/3325</t>
  </si>
  <si>
    <t>SM-2023/4825</t>
  </si>
  <si>
    <t>SM-2023/4824</t>
  </si>
  <si>
    <t>PDS Kamera nem működik + elosztókábel csere</t>
  </si>
  <si>
    <t>Első PDS kamera csere</t>
  </si>
  <si>
    <t>SM-2023/4823</t>
  </si>
  <si>
    <t>SM-2023/4822</t>
  </si>
  <si>
    <t>Valami csöpög belőle.  Olaj vagy Víz?</t>
  </si>
  <si>
    <t>SM-2023/4873</t>
  </si>
  <si>
    <t>Üt a kerék</t>
  </si>
  <si>
    <t>SM-2023/4916</t>
  </si>
  <si>
    <t>Targonca jobb első lámpája letörött, tartókonzol eltörött</t>
  </si>
  <si>
    <t>SM-2023/4914</t>
  </si>
  <si>
    <t>SM-2023/4913</t>
  </si>
  <si>
    <t>Nincs fűtés + ablaktörlő</t>
  </si>
  <si>
    <t>akkumulátor fogantyú törött</t>
  </si>
  <si>
    <t>Túlmelegedés ell</t>
  </si>
  <si>
    <t>SM-2023/5064</t>
  </si>
  <si>
    <t>SM-2023/5063</t>
  </si>
  <si>
    <t>Targonca hátsó munkalámpája letörött.</t>
  </si>
  <si>
    <t>SM-2023/5062</t>
  </si>
  <si>
    <t>SM-2023/5061</t>
  </si>
  <si>
    <t>SM-2023/5060</t>
  </si>
  <si>
    <t>Kerék hiba</t>
  </si>
  <si>
    <t xml:space="preserve"> Targonca akkumulátor rögzítő szerkezete meghibásodott</t>
  </si>
  <si>
    <t>SM-2023/5352</t>
  </si>
  <si>
    <t>SM-2023/5351</t>
  </si>
  <si>
    <t>Meghajtókerék ellenőrzés //  Emelőgép fő tartókonzolja meghibásodott.</t>
  </si>
  <si>
    <t>SM-2023/5222</t>
  </si>
  <si>
    <t>Szélvédő csere, akkumulátor ajtó ell.</t>
  </si>
  <si>
    <t>Teljesítmény csökkentése. Pro Traction,Speed, Maximum B&amp;F:3390 + akkumulátorajtó ell.</t>
  </si>
  <si>
    <t>SM-2023/5502</t>
  </si>
  <si>
    <t>SM-2023/5500</t>
  </si>
  <si>
    <t>SM-2023/5446</t>
  </si>
  <si>
    <t>Villaági kerekek cseréje, + teljes ell.</t>
  </si>
  <si>
    <t xml:space="preserve"> Emelőgép villakerekéről levállt a futófelület. + Ellenőrzés</t>
  </si>
  <si>
    <t>SM-2023/5448</t>
  </si>
  <si>
    <t>Kitámasztó kerekek + villaági kerekek cseréje</t>
  </si>
  <si>
    <t>Emelőgép villakerekéről levállt a fotófelület + Kormány elektronika hiba.</t>
  </si>
  <si>
    <t>SM-2023/5350</t>
  </si>
  <si>
    <t>Hátsó szélvédő csattog, + csavarok átnézése, újrahúzása. Ajtóérzékelő</t>
  </si>
  <si>
    <t>SM-2023/5706</t>
  </si>
  <si>
    <t>Ajtószenzor csere.Akkureteszelő csere. // Targonca akku ajtóérzékelője nem működik.Akku reteszelője eltörött//</t>
  </si>
  <si>
    <t>SM-2023/5705</t>
  </si>
  <si>
    <t>Monitor ell.</t>
  </si>
  <si>
    <t>Targonca kártya nélkül elindul. Pozi relé csatlakozás ell.</t>
  </si>
  <si>
    <t>SM-2023/5449</t>
  </si>
  <si>
    <t>Emelőgép taposó lemez konzolja kiakadt.</t>
  </si>
  <si>
    <t>SM-2023/5447</t>
  </si>
  <si>
    <t>Emelőgép villakerekéről levállt a futófelület</t>
  </si>
  <si>
    <t>Targonca első szélvédője kitörött.Akkuajtó érzékelője meghibásodott</t>
  </si>
  <si>
    <t>HNK: 25/1-es akkumulátor elmondás alapján gyenge.</t>
  </si>
  <si>
    <t>SM-2023/5586</t>
  </si>
  <si>
    <t>Emelőgép tartókonzol persely kicsúszott a helyéről.</t>
  </si>
  <si>
    <t>SM-2023/5585</t>
  </si>
  <si>
    <t>SM-2023/5584</t>
  </si>
  <si>
    <t xml:space="preserve"> Emelőgép támasztókerék perselyei elkoptak,támasztokerékről afutófelület
levállt.Valoszínüleg az úthibák miatt.</t>
  </si>
  <si>
    <t>SM-2023/5657</t>
  </si>
  <si>
    <t>Targonca akkumulátor ajtóérzékelője nem működik.</t>
  </si>
  <si>
    <t>SM-2023/5656</t>
  </si>
  <si>
    <t xml:space="preserve"> Targonca emelővillái hosszúak,elakadnak rakodás közben.Emelővillák rövidítése,jelölése</t>
  </si>
  <si>
    <t>SM-2023/5655</t>
  </si>
  <si>
    <t>Targonca akku ajtóérzékelője nem működik.Vezetőfülkéből csattogó hang hallatszik</t>
  </si>
  <si>
    <t>Targonca akku ajtóérzékelője nem működik.Akku reteszelője eltörött.</t>
  </si>
  <si>
    <t>Targonca menet közben letiltott. megállt.</t>
  </si>
  <si>
    <t>SM-2023/5961</t>
  </si>
  <si>
    <t>Emelőgép meghajtókereke elkopott,valószínüleg az úthibák miatt</t>
  </si>
  <si>
    <t>SM-2023/5960</t>
  </si>
  <si>
    <t>Emelőgép emelővilla konzoljai eltörtek</t>
  </si>
  <si>
    <t>SM-2023/5959</t>
  </si>
  <si>
    <t xml:space="preserve"> Emelőgép Hibakódot jelez.E011; E036; E038; VCM kormány hiba. Főkapcsoló szétszerelése, tisztítása, réz lap kiegyenesítése. VCM újra flashelése</t>
  </si>
  <si>
    <t>SM-2023/6061</t>
  </si>
  <si>
    <t>SM-2023/6135</t>
  </si>
  <si>
    <t>Emelőgép hibakódokat jelez.E011;E036; E038;// Emelőgép javítása,hűttőventillátor beszerelése.</t>
  </si>
  <si>
    <t>Emelőgép támasztókereke kitöredezett,villakonzolja eltörött.Valószínüleg az úthibák
miatt.Nem rendeltetés szerű használat során</t>
  </si>
  <si>
    <t xml:space="preserve"> SM-2023/6060</t>
  </si>
  <si>
    <t>SM-2023/6058</t>
  </si>
  <si>
    <t>Emelőgép emelővilla konzoljai eltőrtek.Rendellenes használat,és az úthibák miatt.</t>
  </si>
  <si>
    <t>Emelőgép hibakódokat jelez.E011;E036; E038//Emelőgép javítása,hűttőventillátor beszerelése.</t>
  </si>
  <si>
    <t>SM-2023/6136</t>
  </si>
  <si>
    <t>Kaup felszerelése</t>
  </si>
  <si>
    <t>SM-2023/6225</t>
  </si>
  <si>
    <t>Ajtózár javítás</t>
  </si>
  <si>
    <t>SM-2023/6223</t>
  </si>
  <si>
    <t xml:space="preserve"> Targonca akkumulátor rögzítője eltörött.</t>
  </si>
  <si>
    <t>Segédmunka 3.0</t>
  </si>
  <si>
    <t>G1Q2E710805</t>
  </si>
  <si>
    <t>TCM-FHB30-E1</t>
  </si>
  <si>
    <t>Targonca akkumulátorja,a kezelő elmondása alapján hamar lemerül.Bal ajtózár
meghibásodott.</t>
  </si>
  <si>
    <t>SM-2023/6222</t>
  </si>
  <si>
    <t>Ajtózár + ajtócsavarok áthúzása pótlása</t>
  </si>
  <si>
    <t>SM-2023/6221</t>
  </si>
  <si>
    <t>Oldaltámaszték visszahegesztése</t>
  </si>
  <si>
    <t>Jobb hátsó abroncs csere</t>
  </si>
  <si>
    <t>Első és hátsó szélvédő csere</t>
  </si>
  <si>
    <t>Index relé</t>
  </si>
  <si>
    <t>Jobb hátsó üveg törött</t>
  </si>
  <si>
    <t>Bal hátsó helyzetjelző</t>
  </si>
  <si>
    <t>Két hátsó abroncs csere</t>
  </si>
  <si>
    <t>Bal emelő mechanika felső rögzítése laza</t>
  </si>
  <si>
    <t>Tető rögzítése</t>
  </si>
  <si>
    <t>Toronymágnes érzékelő törött</t>
  </si>
  <si>
    <t>Kormány szélső helyzetben nem blokkol</t>
  </si>
  <si>
    <t>Emelőgép szerkezet zsírzása</t>
  </si>
  <si>
    <t>Akku csatlakozó fül törött</t>
  </si>
  <si>
    <t>Ventilátor bekötése</t>
  </si>
  <si>
    <t>Emelőgép perselyei kopottak,ferdén emel.Kerekek futófelülete kitöredezett a rendellenes használat során.(Úthibák)
Kerekek cseréje.Perselyek cseréje</t>
  </si>
  <si>
    <t>SM-2023/6291</t>
  </si>
  <si>
    <t>Emelőgép villakerekéről levált a futófelület,a rendellenes használat során.(Úthibák miatt)
Villakerék csere.</t>
  </si>
  <si>
    <t>SM-2023/6292</t>
  </si>
  <si>
    <t>HNK: Emelőgép főkonzol perselye elkopott.Kormánykonzol vezetéke eltörött.</t>
  </si>
  <si>
    <t>SM-2023/6293</t>
  </si>
  <si>
    <t>Hátsó kerékcsere</t>
  </si>
  <si>
    <t>SM-2023/6443</t>
  </si>
  <si>
    <t>Túlmelegszik,letilt. Vezérlőelektronika ventillátorja leesett a helyéről. Hűttőventillátor felszerelése.</t>
  </si>
  <si>
    <t>SM-2023/6441</t>
  </si>
  <si>
    <t>SM-2023/6440</t>
  </si>
  <si>
    <t>Kormány szélső helyzetben nem blokkol. Szoftver újratelepítése.(Jetsky01 néven)</t>
  </si>
  <si>
    <t>Kaup leszerelése</t>
  </si>
  <si>
    <t>Fékrendszer</t>
  </si>
  <si>
    <t>2000 üzemóránként</t>
  </si>
  <si>
    <t>Hajtóműolaj</t>
  </si>
  <si>
    <t>4000 üzemóránként</t>
  </si>
  <si>
    <t>Hidraulika Olaj + Szűrő</t>
  </si>
  <si>
    <t>Fékolaj</t>
  </si>
  <si>
    <t>HNK22-1</t>
  </si>
  <si>
    <t>x</t>
  </si>
  <si>
    <t>HNK22-2</t>
  </si>
  <si>
    <t>HNK22-3</t>
  </si>
  <si>
    <t>HNK22-4</t>
  </si>
  <si>
    <t>HNK22-5</t>
  </si>
  <si>
    <t>√</t>
  </si>
  <si>
    <t>HNK22-6</t>
  </si>
  <si>
    <t>HNK22-7</t>
  </si>
  <si>
    <t>HNK22-8</t>
  </si>
  <si>
    <t>HNK22-9</t>
  </si>
  <si>
    <t>Hátsó letört lámpák pótlása</t>
  </si>
  <si>
    <t>Akkumulátor reteszelő csere</t>
  </si>
  <si>
    <t>PDS Kamera nem működik megfelelően, Vezetékek ellenőrzése, kamera beállítása</t>
  </si>
  <si>
    <t>SM-2023/6550</t>
  </si>
  <si>
    <t>SM-2023/6549</t>
  </si>
  <si>
    <t>SM-2023/6619</t>
  </si>
  <si>
    <t>Emelőgép menet közben letilt,hibakódot jelez.Villaági kerékről levállt a
fotófelület.Valószínüleg az úthibák miatt.Akkumulátor hamar lemerül.</t>
  </si>
  <si>
    <t>SM-2023/6617</t>
  </si>
  <si>
    <t>SM-2023/6618</t>
  </si>
  <si>
    <t>SM-2023/6616</t>
  </si>
  <si>
    <t>SM-2023/6615</t>
  </si>
  <si>
    <t>Ajtózár hiba. Rugó kiakadt a helyéről</t>
  </si>
  <si>
    <t>HNK:Emelő meghajtókerék futófelülete levállt a kerékről.Emelővilla villatengelyei eltörtek.Valószínüleg az úthibák miatt.
Meghajtókerék és tengelyek cseréje.</t>
  </si>
  <si>
    <t>Emelőgép taposólemez érzékelője nem működik.</t>
  </si>
  <si>
    <t>SM-2023/6696</t>
  </si>
  <si>
    <t>SM-2023/6695</t>
  </si>
  <si>
    <t xml:space="preserve"> SM-2023/6694</t>
  </si>
  <si>
    <t>Akkucserélő emelőgép alatt olajfolyás látható.Félre emel.</t>
  </si>
  <si>
    <t xml:space="preserve"> SM-2023/6693</t>
  </si>
  <si>
    <t>Targonca bal oldali ajtózárja nem nyit.</t>
  </si>
  <si>
    <t>Hátsó kerekek cseréi</t>
  </si>
  <si>
    <t>Nem emelt. ( Emelőgomb lefele nyomva tartva 10 mp-ig helyreállt)</t>
  </si>
  <si>
    <t>Fülkecsavarok pótlása,meghúzása.</t>
  </si>
  <si>
    <t>SM-2023/6837</t>
  </si>
  <si>
    <t>SM-2023/6836</t>
  </si>
  <si>
    <t>SM-2023/6748</t>
  </si>
  <si>
    <t>SM-2023/6747</t>
  </si>
  <si>
    <t>Kitámasztó kerék törés</t>
  </si>
  <si>
    <t>Hátsó szélvédő betört ( ideiglenesen hulladék-plexilap lett bevágva)</t>
  </si>
  <si>
    <t>Bal oldali hajtómű szimering csere</t>
  </si>
  <si>
    <t>Hátsó szélvédő csere</t>
  </si>
  <si>
    <t>SM-2023/7000</t>
  </si>
  <si>
    <t>2000 üzemórás szerviz. Következő 5000 üzemóránál</t>
  </si>
  <si>
    <t>SM-2023/6999</t>
  </si>
  <si>
    <t>Zsírzás</t>
  </si>
  <si>
    <t>SM-2023/6998</t>
  </si>
  <si>
    <t>SM-2023/6997</t>
  </si>
  <si>
    <t>SM-2023/6996</t>
  </si>
  <si>
    <t>SM-2023/6931</t>
  </si>
  <si>
    <t>Hátós kerék elkopott</t>
  </si>
  <si>
    <t>Akkumulátor fogantyú letekeredik</t>
  </si>
  <si>
    <t>Hátsó szélvédő csere. (Át lett rakva ebbe a HNK22-08 targoca szélvédője)</t>
  </si>
  <si>
    <t>Perselyek cseréje</t>
  </si>
  <si>
    <t>SM-2023/7108</t>
  </si>
  <si>
    <t>SM-2023/7107</t>
  </si>
  <si>
    <t>SM-2023/7106</t>
  </si>
  <si>
    <t>SM-2023/7105</t>
  </si>
  <si>
    <t>SM-2023/7104</t>
  </si>
  <si>
    <t>Az új abroncs levált a felniről. Csere</t>
  </si>
  <si>
    <t>SM-2023/7103</t>
  </si>
  <si>
    <t>SM-2023/7102</t>
  </si>
  <si>
    <t>Kopogó hang hallatszik hátulról. Bal első villa tengely törés. Meghajtókerék csere</t>
  </si>
  <si>
    <t>Vízfeltöltő cső hiányzik</t>
  </si>
  <si>
    <t>Hátsó kerék szétszakadt</t>
  </si>
  <si>
    <t>SM-2023/7224</t>
  </si>
  <si>
    <t>Targonca bal oldali ajtózsanérja és ajtója eldeformálódott</t>
  </si>
  <si>
    <t>Targonca ajtózárja meghibásodott.</t>
  </si>
  <si>
    <t>SM-2023/7222</t>
  </si>
  <si>
    <t>SM-2023/7220</t>
  </si>
  <si>
    <t>Süllyed vissza a torony</t>
  </si>
  <si>
    <t>Ventilátor</t>
  </si>
  <si>
    <t>Targonca jobb hátsó gumiabroncsa levállt a felniről.</t>
  </si>
  <si>
    <t>SM-2023/7302</t>
  </si>
  <si>
    <t>Targonca hátsó gumiabroncsai leválltak a felniről.</t>
  </si>
  <si>
    <t>SM-2023/7301</t>
  </si>
  <si>
    <t>Targonca szervize esedékessé vállt.</t>
  </si>
  <si>
    <t>SM-2023/7300</t>
  </si>
  <si>
    <t>Targonca jobb hátsó gumiabroncsa levállt a felniről.Szervize esedékessé vállt.</t>
  </si>
  <si>
    <t>SM-2023/7299</t>
  </si>
  <si>
    <t>Szerviz, ventilátor bekötés</t>
  </si>
  <si>
    <t>SM-2023/7426</t>
  </si>
  <si>
    <t>ventilátor bekötés</t>
  </si>
  <si>
    <t>SM-2023/7420</t>
  </si>
  <si>
    <t>Jetsky tiltás. VCM flashelés, kijelző csatlakozó kábeleinek javítása E223, E219, E033</t>
  </si>
  <si>
    <t>SM-2023/7419</t>
  </si>
  <si>
    <t>Olajcsere, Szerviz, ventilátor bekötés, Bal ajtó javítás</t>
  </si>
  <si>
    <t>SM-2023/7510</t>
  </si>
  <si>
    <t>Meghajtókerék elkopott</t>
  </si>
  <si>
    <t>SM-2023/7507</t>
  </si>
  <si>
    <t>SM-2023/7506</t>
  </si>
  <si>
    <t>Ventilátor csapágyas lett. Csere</t>
  </si>
  <si>
    <t>Állás érzékelő javítás</t>
  </si>
  <si>
    <t>Meghajtókerék csere</t>
  </si>
  <si>
    <t>Targonca szervize esedékessé vált.Hátsó üveg kitörött.Monitor nem működik.</t>
  </si>
  <si>
    <t>SM-2023/7567</t>
  </si>
  <si>
    <t>Szerviz Elvégezve</t>
  </si>
  <si>
    <t>Következő Szerviz</t>
  </si>
  <si>
    <t>SM-2023/7566</t>
  </si>
  <si>
    <t>ok</t>
  </si>
  <si>
    <t>SM-2023/7614</t>
  </si>
  <si>
    <t>Kerékszerelés a HNK22-16-os gépre át,majd pótlása ATRA GYŐR gyűrűvel</t>
  </si>
  <si>
    <t>SM-2023/7770</t>
  </si>
  <si>
    <t>Villarács magasítás visszahegesztése</t>
  </si>
  <si>
    <t>SM-2023/7766</t>
  </si>
  <si>
    <t>SM-2023/7864</t>
  </si>
  <si>
    <t>SM-2023/7863</t>
  </si>
  <si>
    <t>villatörés</t>
  </si>
  <si>
    <t>SM-2023/7862</t>
  </si>
  <si>
    <t>SM-2023/7861</t>
  </si>
  <si>
    <t>SM-2023/7974</t>
  </si>
  <si>
    <t>Fordítómű felszerelése</t>
  </si>
  <si>
    <t>SM-2023/7973</t>
  </si>
  <si>
    <t>SM-2023/7972</t>
  </si>
  <si>
    <t>SM-2023/7971</t>
  </si>
  <si>
    <t>SM-2023/8058</t>
  </si>
  <si>
    <t>A bal hátsó gumiabroncs ajak leszakadt, a gumi lejáródott a felniről.</t>
  </si>
  <si>
    <t>SM-2023/8059</t>
  </si>
  <si>
    <t>Targonca ajtókitámasztója meghibásodott.</t>
  </si>
  <si>
    <t>SM-2023/8063</t>
  </si>
  <si>
    <t>Hűttőventillátor szerelés.Villarács magasítás eltörött, lámpa csavarjai elvesztek</t>
  </si>
  <si>
    <t>SM-2023/8062</t>
  </si>
  <si>
    <t>SM-2023/8061</t>
  </si>
  <si>
    <t>Emelőgép kormánygombra nem reagál. (Vezetékszakadás,potméter javítás)</t>
  </si>
  <si>
    <t>SM-2023/8060</t>
  </si>
  <si>
    <t>Szervíz elvégése</t>
  </si>
  <si>
    <t>Gép menet közben letiltott és nem indult újra</t>
  </si>
  <si>
    <t>Targonca szervize esedékessé vállt.Hűttőventillátor beszerelés</t>
  </si>
  <si>
    <t>SM-2023/8100</t>
  </si>
  <si>
    <t>SM-2023/8096</t>
  </si>
  <si>
    <t>Forgató adapter leszerelés.</t>
  </si>
  <si>
    <t>SM-2023/8111</t>
  </si>
  <si>
    <t>2 oldali Ajtóüveg új rögzítési pont kivágása a műanyag reteszelőbe</t>
  </si>
  <si>
    <t>SM-2023/8112</t>
  </si>
  <si>
    <t>HNK:Targonca szervize esedékessé vállt.</t>
  </si>
  <si>
    <t>SM-2023/8179</t>
  </si>
  <si>
    <t>SM-2023/8175</t>
  </si>
  <si>
    <t>Villaági kerékcsere</t>
  </si>
  <si>
    <t>SM-2023/8173</t>
  </si>
  <si>
    <t>Emelőgép meghajtókerék leszoríttó szerkezete szétesett</t>
  </si>
  <si>
    <t>SM-2023/8341</t>
  </si>
  <si>
    <t>Emelőgép támasztókerék futófelülete kitöredezett.</t>
  </si>
  <si>
    <t>SM-2023/8339</t>
  </si>
  <si>
    <t>A villák repedtek,a villaági kerekeknél.</t>
  </si>
  <si>
    <t>SM-2023/8342</t>
  </si>
  <si>
    <t>Villarács magasítás törött.Bal ajtó fellépő letört.</t>
  </si>
  <si>
    <t>SM-2023/8343</t>
  </si>
  <si>
    <t>Targonca szervize esedékessé vállt.Hűttőventillátor szerelés,villarács magasítás letörött</t>
  </si>
  <si>
    <t>SM-2023/8398</t>
  </si>
  <si>
    <t>Emelőgép villakerekéről levállt a futófelület.</t>
  </si>
  <si>
    <t>SM-2023/8396</t>
  </si>
  <si>
    <t>Emelőgép motorokat tartó konzol perselye kiesett a helyéről.</t>
  </si>
  <si>
    <t>Csatlakozó csere</t>
  </si>
  <si>
    <t>menet közben letilt</t>
  </si>
  <si>
    <t>SM-2023/8447</t>
  </si>
  <si>
    <t>Akkumulátor rögzítő csere</t>
  </si>
  <si>
    <t>SM-2023/8445</t>
  </si>
  <si>
    <t>Abroncs csere és gyűrűzés</t>
  </si>
  <si>
    <t>SM-2023/8548</t>
  </si>
  <si>
    <t>Emelőgép villái eltörtek</t>
  </si>
  <si>
    <t>SM-2023/8547</t>
  </si>
  <si>
    <t>Abroncs csere és gyűrűzés + ajtózár javítás</t>
  </si>
  <si>
    <t>SM-2023/8546</t>
  </si>
  <si>
    <t>Ajtó sérülés</t>
  </si>
  <si>
    <t>SM-2023/8542</t>
  </si>
  <si>
    <t>SM-2023/8601</t>
  </si>
  <si>
    <t>Abroncs csere + hátsó szélvédő javítás</t>
  </si>
  <si>
    <t>SM-2023/8649</t>
  </si>
  <si>
    <t>Hátsó abroncsok cseréje + féklámpa javítás</t>
  </si>
  <si>
    <t>SM-2023/8648</t>
  </si>
  <si>
    <t>Hátsó abroncsok cseréje + villarács magasítás hegesztés</t>
  </si>
  <si>
    <t>SM-2023/8647</t>
  </si>
  <si>
    <t>Hátsó abroncsok cseréje + hűtőventilátor beszerelése</t>
  </si>
  <si>
    <t>SM-2023/8646</t>
  </si>
  <si>
    <t>Hátsó Abroncsok cseréje</t>
  </si>
  <si>
    <t>SM-2023/8692</t>
  </si>
  <si>
    <t>SM-2023/8690</t>
  </si>
  <si>
    <t>SM-2023/8688</t>
  </si>
  <si>
    <t>SM-2023/8736</t>
  </si>
  <si>
    <t>Targoncán nem működik az ablaktörlő és a fűtés. 12 v-os Inverter csere</t>
  </si>
  <si>
    <t>SM-2023/8735</t>
  </si>
  <si>
    <t>Emelőgép támasztókerekéről a futófelület levállt.Támasztó csapágyak eltörtek + Oldaltámasz javításra szorul</t>
  </si>
  <si>
    <t>A villák megrepedtek, a támasztó kerekek cseréje</t>
  </si>
  <si>
    <t>A villák megrepedtek, a támasztó kerék ellenőrzés , csere.</t>
  </si>
  <si>
    <t>Ablak elhúzó lecsavarodott</t>
  </si>
  <si>
    <t>Akkumulátor tálca görgő csere</t>
  </si>
  <si>
    <t>Hibakódot ír ki, menet közben letilt</t>
  </si>
  <si>
    <t>SM-2023/8811</t>
  </si>
  <si>
    <t>Nyikorog menet közben ( Vezetőbeálló és támasz csavarjai kilazultak elvesztek)</t>
  </si>
  <si>
    <t>SM-2023/8810</t>
  </si>
  <si>
    <t>Targonca bal első lámpatartója eltörött.</t>
  </si>
  <si>
    <t>SM-2023/8818</t>
  </si>
  <si>
    <t>Targonca bal,jobb ajtóját nem lehet kivülről nyitni.Hűttőventillátor.szerelés.</t>
  </si>
  <si>
    <t>SM-2023/8815</t>
  </si>
  <si>
    <t>Emelőgép kijelzője beesett.</t>
  </si>
  <si>
    <t>SM-2023/8813</t>
  </si>
  <si>
    <t>HNK: Targonca menetközben letilt,megáll. ( Elektromos csatlakozók ellenőrzése javítása.)</t>
  </si>
  <si>
    <t>SM-2023/8812</t>
  </si>
  <si>
    <t>Emelőmunkahenger enged vissza</t>
  </si>
  <si>
    <t>SM-2023/8914</t>
  </si>
  <si>
    <t>SM-2023/8915</t>
  </si>
  <si>
    <t>Targonca hátsó gumiabroncsa levállt a felniről</t>
  </si>
  <si>
    <t>SM-2023/8913</t>
  </si>
  <si>
    <t>akkumulátor csatlakozó ellenőrzés</t>
  </si>
  <si>
    <t>Belső zár javítás</t>
  </si>
  <si>
    <t>Targonca álló helyzetben kikapcsolt, nem tudott belépni a dolgozó a kártyájával. ( Kártyaolvasó hiba)</t>
  </si>
  <si>
    <t>SM-2023/9097</t>
  </si>
  <si>
    <t>Első szélvédő törés</t>
  </si>
  <si>
    <t>SM-2023/9095</t>
  </si>
  <si>
    <t>SM-2023/9094</t>
  </si>
  <si>
    <t>SM-2023/9091</t>
  </si>
  <si>
    <t>SM-2023/9098</t>
  </si>
  <si>
    <t>Hátsó abroncosk ellenőrzése</t>
  </si>
  <si>
    <t xml:space="preserve">Fólia </t>
  </si>
  <si>
    <t>Hátsó abroncs csere</t>
  </si>
  <si>
    <t>Menet közben letilt (kormány vezeték csere)</t>
  </si>
  <si>
    <t>Targonca letilt</t>
  </si>
  <si>
    <t>SM-2023/9281</t>
  </si>
  <si>
    <t>SM-2023/9142</t>
  </si>
  <si>
    <t>SM-2023/9145</t>
  </si>
  <si>
    <t>SM-2023/9147</t>
  </si>
  <si>
    <t>Emelőgép csikorgó nyikorgó hangot hallat menet közben.</t>
  </si>
  <si>
    <t>SM-2023/9225</t>
  </si>
  <si>
    <t>SM-2023/9222</t>
  </si>
  <si>
    <t>Nem emel….....( Olajfolyás )</t>
  </si>
  <si>
    <t>2000 üzemórás szerviz és ventilátor beszerelése</t>
  </si>
  <si>
    <t>SM-2023/9224</t>
  </si>
  <si>
    <t>Kärcher kisgép</t>
  </si>
  <si>
    <t>Nem szívott rendesen. Szivőcső tisztítás</t>
  </si>
  <si>
    <t>Ajtózár javítás, retesz javítás</t>
  </si>
  <si>
    <t>Akkumulátor reteszelő fogantyú rögzítése. Ajtó helyreállítása</t>
  </si>
  <si>
    <t>SM-2023/9610</t>
  </si>
  <si>
    <t>SM-2023/9609</t>
  </si>
  <si>
    <t>033. Menet közben letilt. Főkapcsoló kiszerelés, tisztítás visszaszerelés.Akkutisztítás.</t>
  </si>
  <si>
    <t>SM-2023/9608</t>
  </si>
  <si>
    <t>Letilt 033 + Nyikorog menet közben ( Főkapcsoló kiszerelés, tisztítás visszaszerelés.)</t>
  </si>
  <si>
    <t>SM-2023/9607</t>
  </si>
  <si>
    <t>Ajtószenzor csere</t>
  </si>
  <si>
    <t>SM-2023/9606</t>
  </si>
  <si>
    <t>SM-2023/9406</t>
  </si>
  <si>
    <t>SM-2023/9405</t>
  </si>
  <si>
    <t>Ellenőrzés ( Gyenge sav )</t>
  </si>
  <si>
    <t>SM-2023/9404</t>
  </si>
  <si>
    <t>Kerék probléma ( Meghajtókerék ell.)</t>
  </si>
  <si>
    <t>SM-2023/9403</t>
  </si>
  <si>
    <t>Jetsky töltő meghibásodás ( Modul csatlakozó portalanítás)</t>
  </si>
  <si>
    <t>Kártyatartó tok javítás ( Lehajtogatva aluból)</t>
  </si>
  <si>
    <t>Menet közben leállt, újraindult. Ventilátor felpörgött, kijelzőn csatlakozó jel jelent meg. (vészleállító gomb saru)</t>
  </si>
  <si>
    <t>SM-2023/9654</t>
  </si>
  <si>
    <t>HNK. Sopron Bal ajtó középső zsanér csavarok fellazultak,alsó terelő lemez deformálódott</t>
  </si>
  <si>
    <t>SM-2023/9653</t>
  </si>
  <si>
    <t>SM-2023/9652</t>
  </si>
  <si>
    <t>SM-2023/9692</t>
  </si>
  <si>
    <t>SM-2023/9691</t>
  </si>
  <si>
    <t>Töltés csatlakozó törött.</t>
  </si>
  <si>
    <t xml:space="preserve"> SM-2023/9704</t>
  </si>
  <si>
    <t>NK, Sopron.Bal ajtó terelő lemez és kameratartók defrmálódott,</t>
  </si>
  <si>
    <t xml:space="preserve"> SM-2023/9702</t>
  </si>
  <si>
    <t>Olajfolyás + abroncs</t>
  </si>
  <si>
    <t>Emelőgép ferdén emel.Perselyek és tengelyek elkoptak</t>
  </si>
  <si>
    <t>SM-2023/9993</t>
  </si>
  <si>
    <t>Emelőgép támasztókerék perselye elkopott .Rendellenes használat során.Úthibák.</t>
  </si>
  <si>
    <t>SM-2023/9992</t>
  </si>
  <si>
    <t>Emelőgép villaág kerekéről levállt a futófelület.</t>
  </si>
  <si>
    <t>SM-2023/9991</t>
  </si>
  <si>
    <t>Emelőgép támasztókerék csapágya eltörött</t>
  </si>
  <si>
    <t>SM-2023/9990</t>
  </si>
  <si>
    <t>Első lámpa csere pótlása</t>
  </si>
  <si>
    <t>Kerékcsere</t>
  </si>
  <si>
    <t>Kontakt hiba</t>
  </si>
  <si>
    <t>SM-2023/10048</t>
  </si>
  <si>
    <t>SM-2023/10047</t>
  </si>
  <si>
    <t>Segédanyag Jetsky/775</t>
  </si>
  <si>
    <t>Akkumulátor ellenőrzése,feltöltése desztvízzel.</t>
  </si>
  <si>
    <t>SM-2023/10046</t>
  </si>
  <si>
    <t>Targonca hátsó gumiabroncsa levállt a felniről.Csere HNk22-17-ről</t>
  </si>
  <si>
    <t>SM-2023/10045</t>
  </si>
  <si>
    <t>Targonca szervize esedékessé vállt.Gépben nincs hűtőventillátor.</t>
  </si>
  <si>
    <t>SM-2023/10092</t>
  </si>
  <si>
    <t>SM-2023/10143</t>
  </si>
  <si>
    <t>SM-2023/10144</t>
  </si>
  <si>
    <t>SM-2023/10148</t>
  </si>
  <si>
    <t>SM-2023/10146</t>
  </si>
  <si>
    <t>SM-2023/10214</t>
  </si>
  <si>
    <t>Heineken. Hidraulika szivattyu rendellenes hang, villaági kerék futófelület kopott</t>
  </si>
  <si>
    <t>SM-2023/10216</t>
  </si>
  <si>
    <t>Heineken. Hidraulika szivattyu rendellenes hang</t>
  </si>
  <si>
    <t>SM-2023/10218</t>
  </si>
  <si>
    <t>Emelőgép hibakódot jelez.E317</t>
  </si>
  <si>
    <t>SM-2023/10336</t>
  </si>
  <si>
    <t>Emelőgép villakerekei kitöredeztek az úthibák miatt.Rendellenes használat.Keréktartó
tengelye eltörött.</t>
  </si>
  <si>
    <t>SM-2023/10334</t>
  </si>
  <si>
    <t>Villamagasító letörött</t>
  </si>
  <si>
    <t>SM-2023/10331</t>
  </si>
  <si>
    <t>Targonca villarács magasítása letörött.</t>
  </si>
  <si>
    <t>SM-2023/10329</t>
  </si>
  <si>
    <t>Targonca emelővillái kopottak.</t>
  </si>
  <si>
    <t>SM-2023/10326</t>
  </si>
  <si>
    <t>Támasztókerék,és konzol cseréje.</t>
  </si>
  <si>
    <t>SM-2023/10401</t>
  </si>
  <si>
    <t>Emelőgép villaági kerekéről levállt a futófelület</t>
  </si>
  <si>
    <t>SM-2023/10400</t>
  </si>
  <si>
    <t>Targonca bal oldali ajtózárja elhajlott.ajtó deformálódott.</t>
  </si>
  <si>
    <t>SM-2023/10399</t>
  </si>
  <si>
    <t>Targonca hátsó bal helyzetjelzője nem működik.</t>
  </si>
  <si>
    <t>SM-2023/10521</t>
  </si>
  <si>
    <t>KARCHER-B250R</t>
  </si>
  <si>
    <t>Villanymotor leszerelése.</t>
  </si>
  <si>
    <t>SM-2023/10520</t>
  </si>
  <si>
    <t>Pozi kártyaolvasó nem jó</t>
  </si>
  <si>
    <t>SM-2023/10613</t>
  </si>
  <si>
    <t>SM-2023/10612</t>
  </si>
  <si>
    <t>Targoncára új hátsó gumiabroncsok kerőltek felszerelésre.VIRTUS</t>
  </si>
  <si>
    <t>SM-2023/10611</t>
  </si>
  <si>
    <t>Targoncára új hátsó gumiabroncsok kerőltek felszerelésre. Atire RUNNERSOLID</t>
  </si>
  <si>
    <t>12/1 es akkumulátor vezetéke megrongálódott</t>
  </si>
  <si>
    <t>SM-2023/10610</t>
  </si>
  <si>
    <t>Emelőgépből éget szagot lehet érezni</t>
  </si>
  <si>
    <t>SM-2023/10609</t>
  </si>
  <si>
    <t>Tetőlámpa átszerelés</t>
  </si>
  <si>
    <t>SM-2023/10681</t>
  </si>
  <si>
    <t>Emelőgép villakerék tengelyei eltörtek,perselyek elkoptak.</t>
  </si>
  <si>
    <t>SM-2023/10683</t>
  </si>
  <si>
    <t>Emelőgép töltéscsatlakozója eltörött.</t>
  </si>
  <si>
    <t>SM-2023/10685</t>
  </si>
  <si>
    <t>Targonca akkurögzítője eltörött.</t>
  </si>
  <si>
    <t>SM-2023/10811</t>
  </si>
  <si>
    <t>HNK:Emelőgép csikorgó,nyikorgó hangot hallat,hűtőventillátor nem működik.</t>
  </si>
  <si>
    <t>SM-2023/10814</t>
  </si>
  <si>
    <t>HNK: 1/2-es akkumulátor jelzőrendszere nem működik.</t>
  </si>
  <si>
    <t>SM-2023/10819</t>
  </si>
  <si>
    <t>Targonca akkurögzítője edeformálódott</t>
  </si>
  <si>
    <t>SM-2023/10810</t>
  </si>
  <si>
    <t>SM-2023/10952</t>
  </si>
  <si>
    <t>PDS ellenőrzés,Ablaktörlő javítása,Ajtókitámasztó csere.</t>
  </si>
  <si>
    <t>Sérült hátsó abroncsok cseréje</t>
  </si>
  <si>
    <t>SM-2023/10953</t>
  </si>
  <si>
    <t>Targonca ajtókitámasztója szétesett,menet közben kopogó hang hallatszik.</t>
  </si>
  <si>
    <t>SM-2023/10954</t>
  </si>
  <si>
    <t>Targonca hátsó szélvédője kitörött.</t>
  </si>
  <si>
    <t>SM-2023/10955</t>
  </si>
  <si>
    <t>Szörnyeteg felszerelése</t>
  </si>
  <si>
    <t>fülke-tető leszorító vas legyártása</t>
  </si>
  <si>
    <t>Villanymotor felszerelése.</t>
  </si>
  <si>
    <t>SM-2023/11066</t>
  </si>
  <si>
    <t>SM-2023/11065</t>
  </si>
  <si>
    <t>Emelőgép letilt,nem emel,nem halad.</t>
  </si>
  <si>
    <t>SM-2023/11137</t>
  </si>
  <si>
    <t>Targonca bal ajtózárja szétesett.</t>
  </si>
  <si>
    <t>SM-2023/11138</t>
  </si>
  <si>
    <t>Emelőgép akkumulátora hamar merül.</t>
  </si>
  <si>
    <t>SM-2023/11139</t>
  </si>
  <si>
    <t>SM-2023/11261</t>
  </si>
  <si>
    <t>Dolgozó jelezte,hogy olajfolyást észlelt az akkumulátortérben. Ell./ Főnyomó hidraulikatömlő csere</t>
  </si>
  <si>
    <t>SM-2023/11262</t>
  </si>
  <si>
    <t>Targonca akurögzítője letörött / Akkurögzítő javítása,hegesztése</t>
  </si>
  <si>
    <t>Fűtéskapcsoló javítása.</t>
  </si>
  <si>
    <t>SM-2023/11341</t>
  </si>
  <si>
    <t>PDS nem működik hátul</t>
  </si>
  <si>
    <t>Fülketartó csavarok, ajtózsanérok, ajtózárak lazák. Burkolat csavarok hiányoznak lazák. Csavarok rögzítése hiányzó
csavarok pótlása. Ajtózárak, zsanérok javítása kenése</t>
  </si>
  <si>
    <t>Meghajtó kerék csere.</t>
  </si>
  <si>
    <t>SM-2023/11249</t>
  </si>
  <si>
    <t>Villaági kerék kopott, töredezett.</t>
  </si>
  <si>
    <t>SM-2023/11337</t>
  </si>
  <si>
    <t>SM-2023/11235</t>
  </si>
  <si>
    <t>Targonca jobb oldali meghajtómotorja hangos,megmelegedett</t>
  </si>
  <si>
    <t>SM-2023/5223</t>
  </si>
  <si>
    <t>Túlmelegedett a gép,motor leégés</t>
  </si>
  <si>
    <t>SM-2023/11345</t>
  </si>
  <si>
    <t>Targonca jobb oldali meghajtó motorja hangos.</t>
  </si>
  <si>
    <t>SM-2023/11342</t>
  </si>
  <si>
    <t>Targonca jobb oldali meghajtómotorjánál surlódó hang hallatszik.</t>
  </si>
  <si>
    <t>SM-2023/11534</t>
  </si>
  <si>
    <t>20/2; 15/1; 4/2; 2/2; 17/2; 23/1; 25/1; 19/1;</t>
  </si>
  <si>
    <t>Emelőgép villakerekeiről levállt a futófelület,keréktartók elkoptak,valószínüleg az úthibák
miatt.Rendellenes használat.</t>
  </si>
  <si>
    <t>SM-2023/11610</t>
  </si>
  <si>
    <t>Első futómű ősszeszerelése,emelőtorony felszerelése</t>
  </si>
  <si>
    <t>SM-2023/11718</t>
  </si>
  <si>
    <t>Targonca akkurögzítője meghibásodott.</t>
  </si>
  <si>
    <t>SM-2023/11719</t>
  </si>
  <si>
    <t>8/1; 11/2; 16/2; 16/1; 7/2; 12/2; 9/2;</t>
  </si>
  <si>
    <t>SM-2023/11845</t>
  </si>
  <si>
    <t>Tagonca bal ajtózárja szétesett.</t>
  </si>
  <si>
    <t>SM-2023/11844</t>
  </si>
  <si>
    <t>Emelőgép alatt olajfolyás látható</t>
  </si>
  <si>
    <t>SM-2023/11843</t>
  </si>
  <si>
    <t>Targoncás kollégák, a rakodó rampa kapu vezetősinét megnyomták.Eldeformálódott.</t>
  </si>
  <si>
    <t>SM-2023/11907</t>
  </si>
  <si>
    <t>Targonca ajtókitámasztója eldeformálódott</t>
  </si>
  <si>
    <t>SM-2023/11908</t>
  </si>
  <si>
    <t>153; 13/2; 10/1; 5/1; 9/1; 14/2;</t>
  </si>
  <si>
    <t>SM-2023/11910</t>
  </si>
  <si>
    <t>15/2; 20/2; 3/1; 18/2;</t>
  </si>
  <si>
    <t>SM-2023/12041</t>
  </si>
  <si>
    <t>Targonca akkumulátor ajtója eldeformálódott,kilyukadt.</t>
  </si>
  <si>
    <t>SM-2023/12040</t>
  </si>
  <si>
    <t>SM-2023/12039</t>
  </si>
  <si>
    <t>SM-2023/12036</t>
  </si>
  <si>
    <t>Targonca akkumulátor rögzítője meghibásodott.Ablak kilincse leesett.</t>
  </si>
  <si>
    <t>SM-2023/12171</t>
  </si>
  <si>
    <t>Targonca bal ajtózárja szétesett.Kártyaolvasó tartója eltöröt</t>
  </si>
  <si>
    <t>SM-2023/12172</t>
  </si>
  <si>
    <t>Akkuk tisztítása karbantartása.Stekker és fogantyúk csere.
1/2; 21/2; 23/1;</t>
  </si>
  <si>
    <t>SM-2023/12170</t>
  </si>
  <si>
    <t>SM-2023/12038</t>
  </si>
  <si>
    <t>Emelőgép kattogó hangot hallat.Támasztókerék futófelülete kitöredezett,az úthibák miatt.Rendellenes használat.
Támasztókerék csere.Fő, tartókonzol persely csere.</t>
  </si>
  <si>
    <t>SM-2023/12173</t>
  </si>
  <si>
    <t>Akkumulátor rögzítő javítás</t>
  </si>
  <si>
    <t>fűtésjavítás</t>
  </si>
  <si>
    <t>SM-2023/12228</t>
  </si>
  <si>
    <t>Emelőgép emelőrudazata szorul.</t>
  </si>
  <si>
    <t>SM-2023/12225</t>
  </si>
  <si>
    <t>Emelőgép első kerekeiről a futófelület levállt, úthibák miatt</t>
  </si>
  <si>
    <t>SM-2023/12456</t>
  </si>
  <si>
    <t>Emelőgép támasztó kerék villa konzolja eltörött. Úthibák miatt.
Rendellenes használat során.</t>
  </si>
  <si>
    <t>SM-2023/12458</t>
  </si>
  <si>
    <t>Emelőgép emelő perselyei elkoptak, emelővilla lóg.</t>
  </si>
  <si>
    <t>SM-2023/12459</t>
  </si>
  <si>
    <t>SM-2023/12460</t>
  </si>
  <si>
    <t>Szerelőműhely</t>
  </si>
  <si>
    <t>Rendrakás</t>
  </si>
  <si>
    <t>SM-2023/12526</t>
  </si>
  <si>
    <t>SM-2023/12524</t>
  </si>
  <si>
    <t>SM-2023/12523</t>
  </si>
  <si>
    <t>Emelőgép támasztókerék futófelülete levállt,az úthibák
miatt.Rendellenes</t>
  </si>
  <si>
    <t>SM-2023/12522</t>
  </si>
  <si>
    <t>Emelőgép emelő perselyei elkoptak</t>
  </si>
  <si>
    <t>SM-2023/12616</t>
  </si>
  <si>
    <t>Emelőgép támasztó kerék villa konzolja eltörött. Úthibák miatt. Rendellenes használat során.</t>
  </si>
  <si>
    <t>SM-2023/12615</t>
  </si>
  <si>
    <t>Targonca sárga-fekete csikozása lekopott.Emelőoszlop ropogó
hangot hallat.</t>
  </si>
  <si>
    <t>SM-2023/12816</t>
  </si>
  <si>
    <t>Takarítógép szűrőinek tisztítása.</t>
  </si>
  <si>
    <t>SM-2023/12815</t>
  </si>
  <si>
    <t>SM-2023/12813</t>
  </si>
  <si>
    <t>Nem tölt fel ( Vittem le egy másik töltőt, ami rossz volt pedig elküldtük harasztiba)</t>
  </si>
  <si>
    <t>Targonca hidraulikatömlője folyatja az olajat</t>
  </si>
  <si>
    <t>SM-2023/12760</t>
  </si>
  <si>
    <t>Régi lámpa helyén lévő nyilás lezárása</t>
  </si>
  <si>
    <t>Kerék ellenőrzés</t>
  </si>
  <si>
    <t>Olajfolyás ell.</t>
  </si>
  <si>
    <t>Targonca tető szellőző beázik</t>
  </si>
  <si>
    <t>SM-2023/12877</t>
  </si>
  <si>
    <t>Emelőgép villaági kerék futófelülete levállt, úthibák miatt</t>
  </si>
  <si>
    <t>SM-2023/12879</t>
  </si>
  <si>
    <t>Emelőgép menet közben letilt</t>
  </si>
  <si>
    <t>SM-2023/12880</t>
  </si>
  <si>
    <t>Targonca oldalablak retesze leesett.</t>
  </si>
  <si>
    <t>SM-2023/12881</t>
  </si>
  <si>
    <t>Targonca ajtózár szerkezete szétesett</t>
  </si>
  <si>
    <t>SM-2023/12891</t>
  </si>
  <si>
    <t>Targonca ajtó zsanérja eldeformálódott.</t>
  </si>
  <si>
    <t>SM-2023/12890</t>
  </si>
  <si>
    <t>Targonca négyvillás adapter fölszerelése, bekötése.</t>
  </si>
  <si>
    <t>SM-2023/12888</t>
  </si>
  <si>
    <t>Fűtési rendszer ellenőrzése, hibamegállapítás, alkatrész rendelés.</t>
  </si>
  <si>
    <t>Karcher takarítógép vízadagoló pisztolya eltörött</t>
  </si>
  <si>
    <t>SM-2023/12957</t>
  </si>
  <si>
    <t>Akkumulátor nem tölt fel!</t>
  </si>
  <si>
    <t>Összes akkumulátor ellenőrzése, sav mérés, sérült szigetelések javítása, vízcsővek ellenőrzése.</t>
  </si>
  <si>
    <t>Csöveknél lévő töltő nem tölti fel teljesen az akkumulátort</t>
  </si>
  <si>
    <t>Kijelző nyomógomb hiba</t>
  </si>
  <si>
    <t>?</t>
  </si>
  <si>
    <t>Hátsó PDS kamera felhelyezése + hátsó kerékcsere 2023.10.30</t>
  </si>
  <si>
    <t>CT</t>
  </si>
  <si>
    <t>HNK: Targoncára fölszerelt négyvillás adapter oldalirányú rögzítése. Heineken kérésére???</t>
  </si>
  <si>
    <t>SM-2023/12961</t>
  </si>
  <si>
    <t>Munkaóra</t>
  </si>
  <si>
    <t>SM-2023/12963</t>
  </si>
  <si>
    <t>Targonca tetőszerkezete zörög.</t>
  </si>
  <si>
    <t>Kabinfűtés nem működik. Csere megrendelve</t>
  </si>
  <si>
    <t>SM-2023/12965</t>
  </si>
  <si>
    <t>Emelőgép villakerekéről a futófelület levállt.Valószinüleg az úthibák miatt</t>
  </si>
  <si>
    <t>SM-2023/12956</t>
  </si>
  <si>
    <t>Étkező konténer előtető!</t>
  </si>
  <si>
    <t>SM-2023/12895</t>
  </si>
  <si>
    <t>HNK: Targonca akkurögzítője eldeformálódott.</t>
  </si>
  <si>
    <t>SM-2023/12897</t>
  </si>
  <si>
    <t>Targoncatöltő csatlakozója eldeformálódott</t>
  </si>
  <si>
    <t>SM-2023/12899</t>
  </si>
  <si>
    <t>Olajfolyás ellenőrzése, vezérlő szeleptömb tisztítása.</t>
  </si>
  <si>
    <t>SM-2023/13035</t>
  </si>
  <si>
    <t>Targonca alatt olajcsepp észlelhető.</t>
  </si>
  <si>
    <t>SM-2023/13036</t>
  </si>
  <si>
    <t>???</t>
  </si>
  <si>
    <t>SM-2023/13037</t>
  </si>
  <si>
    <t>SM-2023/13039</t>
  </si>
  <si>
    <t>Targonca ablaktörlője nem mindig működik.( gyorskötözővel oda lett próbálva egy másik ablaktörlőlapát)</t>
  </si>
  <si>
    <t>Szerviz</t>
  </si>
  <si>
    <t>SM-2023/13042</t>
  </si>
  <si>
    <t>SM-2023/13128</t>
  </si>
  <si>
    <t>Emelőgép emelés süllyesztés nem működik.</t>
  </si>
  <si>
    <t>SM-2023/13131</t>
  </si>
  <si>
    <t>SM-2023/13136</t>
  </si>
  <si>
    <t>HNK:Hibakeresés, villakerék tengelytörés. Tengely készítése, kopott perselyek cseréje. Akkumulátor ellenőrzése.</t>
  </si>
  <si>
    <t>SM-2023/13139</t>
  </si>
  <si>
    <t>Targonca tolató monitor rögzítése szétesett.</t>
  </si>
  <si>
    <t>SM-2023/13144</t>
  </si>
  <si>
    <t>Emelőgép kattogó kopogó hangot hallat</t>
  </si>
  <si>
    <t>SM-2023/13145</t>
  </si>
  <si>
    <t>????</t>
  </si>
  <si>
    <t>Targonca ajtó nem csukódik, ajtózár nem működik.</t>
  </si>
  <si>
    <t>SM-2023/13199</t>
  </si>
  <si>
    <t>Targonca ajtózárja meghibásodott,emelőoszlop kenetlen.</t>
  </si>
  <si>
    <t>SM-2023/13198</t>
  </si>
  <si>
    <t>Emelőgép főtartó konzol perselyei elkoptak, támasztókerék tartóvillái lötyögnek</t>
  </si>
  <si>
    <t>SM-2023/13201</t>
  </si>
  <si>
    <t>Targonca fülkecsavarok elvesztek, ajtó nehezen nyílik.</t>
  </si>
  <si>
    <t>SM-2023/13202</t>
  </si>
  <si>
    <t>?????</t>
  </si>
  <si>
    <t>???????</t>
  </si>
  <si>
    <t>Emelőgép fő tartókonzol perselyei elkoptak.Támasztkerék tartó villái kotyognak.</t>
  </si>
  <si>
    <t>SM-2023/13203</t>
  </si>
  <si>
    <t>Targonca fülkecsavarjai elvesztek, ajtózár nehezen működik.</t>
  </si>
  <si>
    <t>SM-2023/13204</t>
  </si>
  <si>
    <t>Emelőgép kijelzője hibásan működik.Nem mutat üzemórát.</t>
  </si>
  <si>
    <t>SM-2023/13260</t>
  </si>
  <si>
    <t>Targonca Hátsó gumiabroncsai elkoptak.</t>
  </si>
  <si>
    <t>SM-2023/13263</t>
  </si>
  <si>
    <t>Targonca Hátsó gumiabroncsai elkoptak.Atra</t>
  </si>
  <si>
    <t>SM-2023/13264</t>
  </si>
  <si>
    <t>Targonca fűtése folyamatosan megy</t>
  </si>
  <si>
    <t>SM-2023/13392</t>
  </si>
  <si>
    <t>Targonca akkumulátor csatlakozója eldeformálódott.</t>
  </si>
  <si>
    <t>SM-2023/13394</t>
  </si>
  <si>
    <t>Akksik karbantartása.Savsűrűség és feszültség mérése.Waiq nem működik,kábelek javítása.Töltéscatlakozó fogantyúk cseréje</t>
  </si>
  <si>
    <t>görgők cseréje.</t>
  </si>
  <si>
    <t>SM-2023/13396</t>
  </si>
  <si>
    <t>Akkumulátorok karbantartása</t>
  </si>
  <si>
    <t>SM-2023/13460</t>
  </si>
  <si>
    <t>akku savazása</t>
  </si>
  <si>
    <t>akkumulátorok karbantartása.</t>
  </si>
  <si>
    <t>SM-2023/13461</t>
  </si>
  <si>
    <t>Karbantartás. Targonca kopgó csattogó hangot hallat</t>
  </si>
  <si>
    <t>SM-2023/13516</t>
  </si>
  <si>
    <t>4 villás adapter leszerelése</t>
  </si>
  <si>
    <t>SM-2023/13515</t>
  </si>
  <si>
    <t>Emelőgép meghajtókereke kitöredezett,az úthibák miatt.Rendellenes használat során.</t>
  </si>
  <si>
    <t>SM-2023/13514</t>
  </si>
  <si>
    <t>SM-2023/13513</t>
  </si>
  <si>
    <t>Ülés süllyesztés probléma</t>
  </si>
  <si>
    <t xml:space="preserve">Félreemel. </t>
  </si>
  <si>
    <t>2000 üzemórás szerviz</t>
  </si>
  <si>
    <t>Szélvédő csere</t>
  </si>
  <si>
    <t>Villakocsi csúszka csere</t>
  </si>
  <si>
    <t>Poroltótartó beszerelése</t>
  </si>
  <si>
    <t>Kopogó hang menet közben.</t>
  </si>
  <si>
    <t>Nincs fűtés ( konverter csere? )</t>
  </si>
  <si>
    <t>Akkumulátor csatlakozó törött</t>
  </si>
  <si>
    <t>Hidraulikakar harmónika visszaszerelése</t>
  </si>
  <si>
    <t>Jobb hátsó abroncs ellenőrzése. ( Repedés látható)</t>
  </si>
  <si>
    <t>Jobb hátsó agyra madzag tekeredett fel.</t>
  </si>
  <si>
    <t>Kormánycsap megmozdul</t>
  </si>
  <si>
    <t>SM-2023/13603</t>
  </si>
  <si>
    <t>Targonca akkumulátor rögzítője eldeformálódott</t>
  </si>
  <si>
    <t>SM-2023/13604</t>
  </si>
  <si>
    <t>SM-2023/13688</t>
  </si>
  <si>
    <t>HNK: 09 Karbantartás</t>
  </si>
  <si>
    <t>SM-2023/13689</t>
  </si>
  <si>
    <t>SM-2023/13691</t>
  </si>
  <si>
    <t>SM-2023/13256/SM-2023/13854</t>
  </si>
  <si>
    <t>1-es Jet programja rátöltve</t>
  </si>
  <si>
    <t>Csavar pótlása.Taposólemez érzékelő tartó egyengetése.</t>
  </si>
  <si>
    <t>SM-2023/13855</t>
  </si>
  <si>
    <t>Meghajtómotor tartócsavarja elveszet.</t>
  </si>
  <si>
    <t>SM-2023/13856</t>
  </si>
  <si>
    <t>Takarítógép tisztítása.Gumicsíkok cseréje.</t>
  </si>
  <si>
    <t>SM-2023/13857</t>
  </si>
  <si>
    <t xml:space="preserve"> </t>
  </si>
  <si>
    <t>HNK:14. 4 villás adapter felszerelése,Heineken kérésére.</t>
  </si>
  <si>
    <t>SM-2023/13858</t>
  </si>
  <si>
    <t>Akkumulátor vezeték túlmelegedett, külső szigetelése leégett</t>
  </si>
  <si>
    <t>Akkumulátor ajtó kilincs csere (Berendelés?)</t>
  </si>
  <si>
    <t>Bal hátsókerékagy védőkupak hiányzik (Berendelés?)</t>
  </si>
  <si>
    <t>Hátsó ablak gázrugó csere(Berendelés?)</t>
  </si>
  <si>
    <t>Irányváltó kapcsoló rendellenes működés(Berendelés?)</t>
  </si>
  <si>
    <t>Kéklámpa és sárgavillogó pótlása ( Berendelés?)</t>
  </si>
  <si>
    <t>Féklámpa nem működik (Féklámpakapcsoló hiba)</t>
  </si>
  <si>
    <t>Targonca első gumiabroncsai repedezettek</t>
  </si>
  <si>
    <t>Vészleállító gomb csere</t>
  </si>
  <si>
    <t>Karbantartás.Targonca hátsó gumiabroncsai kopottak.Kerékcsapágy lóg.</t>
  </si>
  <si>
    <t>Olajfolyás ell.Akkumulátor tér ki lett takarítva. Olajfolyás keresése + kerékcsavarok újrahúzása</t>
  </si>
  <si>
    <t>Az összes 24 voltos töltő karbantartása</t>
  </si>
  <si>
    <t>80 v-os töltők ellenőrzése (Csatlakozó,szigetelés stb.)</t>
  </si>
  <si>
    <t>Akkumulátor töltőcsatlakozó sérült</t>
  </si>
  <si>
    <t>SM-2023/14065</t>
  </si>
  <si>
    <t>SM-2023/14063</t>
  </si>
  <si>
    <t>SM-2023/14060</t>
  </si>
  <si>
    <t>SM-2023/14058</t>
  </si>
  <si>
    <t>Komisió területén lévő 24v-os töltő nem tölt.(Javításból visszjött töltőből hiányzott a modul)</t>
  </si>
  <si>
    <t>SM-2023/14001</t>
  </si>
  <si>
    <t>SM-2023/14003</t>
  </si>
  <si>
    <t>SM-2023/14004</t>
  </si>
  <si>
    <t>villogó nem jó</t>
  </si>
  <si>
    <t>Jobb ajtó nehezen záródik</t>
  </si>
  <si>
    <t>SM-2023/14147</t>
  </si>
  <si>
    <t>Kabinfűtés nem működik</t>
  </si>
  <si>
    <t>SM-2023/14211</t>
  </si>
  <si>
    <t>Emelőgép ferdén emel.</t>
  </si>
  <si>
    <t>SM-2023/14214</t>
  </si>
  <si>
    <t>SM-2023/14215</t>
  </si>
  <si>
    <t>SM-2023/14287</t>
  </si>
  <si>
    <t>Csavar kiesett a jetskyből. Ellenőrzés. (Ellenőrzés megtörtént. Nem találtak semmit)</t>
  </si>
  <si>
    <t>SM-2023/14347</t>
  </si>
  <si>
    <t>Meghajtókerék tőcsavarok eltörtek. Gari</t>
  </si>
  <si>
    <t>Meghajtókerék csavarok letekeredtek. Gari</t>
  </si>
  <si>
    <t>SM-2023/14348</t>
  </si>
  <si>
    <t>Akkumulátor cserélő ferdén emel.</t>
  </si>
  <si>
    <t>SM-2023/14354</t>
  </si>
  <si>
    <t>Dc-Dc konverter elszállt megint. Ez a 3. alkalom. 10A-es biztosíték helyett 20A-es volt beépítve</t>
  </si>
  <si>
    <t>SM-2023/14355</t>
  </si>
  <si>
    <t>Fűtésjavítás Konverter 72V-12V csere!</t>
  </si>
  <si>
    <t>SM-2023/14359</t>
  </si>
  <si>
    <t>Bal Hátsó kitámasztó kerék kotyogott .2023.11.13-ai hibabejelentés.</t>
  </si>
  <si>
    <t>SM-2023/14477</t>
  </si>
  <si>
    <t>SM-2023/14474</t>
  </si>
  <si>
    <t>SM-2023/14473</t>
  </si>
  <si>
    <t>901</t>
  </si>
  <si>
    <t>Toyota-Vontató</t>
  </si>
  <si>
    <t>Akkumulátor csere</t>
  </si>
  <si>
    <t>SM-2023/14472</t>
  </si>
  <si>
    <t>SM-2023/14471</t>
  </si>
  <si>
    <t>Sopron 22-13 Ajtózár törött.</t>
  </si>
  <si>
    <t>Villaági kerekek teher alatt ropognak.</t>
  </si>
  <si>
    <t>SM-2023/14470</t>
  </si>
  <si>
    <t>151 Hibakód 301 Leállt a csőben.</t>
  </si>
  <si>
    <t>Heineken kérésére a villakocsit szivaccsal kell ellátni</t>
  </si>
  <si>
    <t>154 A villaági kerék futófelület levált.</t>
  </si>
  <si>
    <t>K80V-01</t>
  </si>
  <si>
    <t>K80V-02</t>
  </si>
  <si>
    <t>K80V-03</t>
  </si>
  <si>
    <t>K80V-04</t>
  </si>
  <si>
    <t>K80V-05</t>
  </si>
  <si>
    <t>K80V-06</t>
  </si>
  <si>
    <t>K80V-07</t>
  </si>
  <si>
    <t>K80V-08</t>
  </si>
  <si>
    <t>K80V-09</t>
  </si>
  <si>
    <t>K80V-10</t>
  </si>
  <si>
    <t>K24V-01</t>
  </si>
  <si>
    <t>K24V-02</t>
  </si>
  <si>
    <t>K24V-03</t>
  </si>
  <si>
    <t>K24V-04</t>
  </si>
  <si>
    <t>K24V-05</t>
  </si>
  <si>
    <t>K24V-06</t>
  </si>
  <si>
    <t>K24V-07</t>
  </si>
  <si>
    <t>K24V-08</t>
  </si>
  <si>
    <t>K48V-01</t>
  </si>
  <si>
    <t>Komisió</t>
  </si>
  <si>
    <t>Cserélőgép töltő</t>
  </si>
  <si>
    <t>Jetsky-03-as töltő</t>
  </si>
  <si>
    <t>G80v-01</t>
  </si>
  <si>
    <t>G80v-02</t>
  </si>
  <si>
    <t>G80v-03</t>
  </si>
  <si>
    <t>G80v-04</t>
  </si>
  <si>
    <t>G80v-05</t>
  </si>
  <si>
    <t>G80v-06</t>
  </si>
  <si>
    <t>G80v-07</t>
  </si>
  <si>
    <t>G80v-08</t>
  </si>
  <si>
    <t>G80v-09</t>
  </si>
  <si>
    <t>G80v-10</t>
  </si>
  <si>
    <t>G80v-11</t>
  </si>
  <si>
    <t>G80v-12</t>
  </si>
  <si>
    <t>G24v-01</t>
  </si>
  <si>
    <t>G48v-01</t>
  </si>
  <si>
    <t>G48v-02</t>
  </si>
  <si>
    <t>G48v-03</t>
  </si>
  <si>
    <t>G48v-04</t>
  </si>
  <si>
    <t>Rakodóudvar</t>
  </si>
  <si>
    <t>Csövek Iroda felöli 1</t>
  </si>
  <si>
    <t>Csövek Iroda felöli 2</t>
  </si>
  <si>
    <t>Csövek Iroda felöli 3</t>
  </si>
  <si>
    <t>Csövek Iroda felöli 4</t>
  </si>
  <si>
    <t>Készáru töltőhelység 1. töltő a falon</t>
  </si>
  <si>
    <t>Készáru töltőhelység 2. töltő a falon</t>
  </si>
  <si>
    <t>Készáru töltőhelység 3. töltő a falon</t>
  </si>
  <si>
    <t>Készáru töltőhelység 4. töltő a falon</t>
  </si>
  <si>
    <t>Készáru töltőhelység 5. töltő a falon</t>
  </si>
  <si>
    <t>Készáru töltőhelység 6. töltő a falon</t>
  </si>
  <si>
    <t>Készáru töltőhelység 7. töltő a falon</t>
  </si>
  <si>
    <t>Készáru töltőhelység 8. töltő a falon</t>
  </si>
  <si>
    <t>Készáru töltőhelység 9. töltő a falon</t>
  </si>
  <si>
    <t>Készáru töltőhelység 10. töltő a falon</t>
  </si>
  <si>
    <t>Göngyöleg töltőhelység balra az 1. töltő a falon</t>
  </si>
  <si>
    <t>Göngyöleg töltőhelység balra a 2. töltő a falon</t>
  </si>
  <si>
    <t>Göngyöleg töltőhelység balra a 3. töltő a falon</t>
  </si>
  <si>
    <t>Göngyöleg töltőhelység balra a 4. töltő a falon</t>
  </si>
  <si>
    <t>Göngyöleg töltőhelység balra a 5. töltő a falon</t>
  </si>
  <si>
    <t>Göngyöleg töltőhelység jobbra az IBC Tartálynál a 6. töltő a falon</t>
  </si>
  <si>
    <t>Göngyöleg töltőhelység jobbra az IBC Tartálynál a 7. töltő a falon</t>
  </si>
  <si>
    <t>Göngyöleg töltőhelység jobbra az IBC Tartálynál a 8. töltő a falon</t>
  </si>
  <si>
    <t>Göngyöleg töltőhelység jobbra az IBC Tartálynál a 9. töltő a falon</t>
  </si>
  <si>
    <t>Göngyöleg töltőhelység jobbra az IBC Tartálynál a 10. töltő a falon</t>
  </si>
  <si>
    <t>Göngyöleg töltőhelység jobbra az IBC Tartálynál a 11. töltő a falon</t>
  </si>
  <si>
    <t>Göngyöleg töltőhelység végében a HNK22-25-ös gép töltője</t>
  </si>
  <si>
    <t>Cserélő-02-es gép töltője a göngyöleg töltőhelység végében</t>
  </si>
  <si>
    <t>Göngyöleg töltőhelység balra az 1. 48voltos töltő a falon</t>
  </si>
  <si>
    <t>Göngyöleg töltőhelység balra az 2. 48voltos töltő a falon</t>
  </si>
  <si>
    <t>Göngyöleg töltőhelység balra az 3. 48voltos töltő a falon</t>
  </si>
  <si>
    <t>Göngyöleg töltőhelység balra az 4. 48voltos töltő a falon</t>
  </si>
  <si>
    <t>Komisió területén a Jetsky Pótló 1.6-os gépt töltője</t>
  </si>
  <si>
    <t>Nem tölt fel ( Vittem le egy másik töltőt, ami rossz volt pedig elküldtük Dunaharasztiba)</t>
  </si>
  <si>
    <t>Targonca Hátsó gumiabroncsai elkoptak. Atra</t>
  </si>
  <si>
    <t>Kerékcsavar meglazult</t>
  </si>
  <si>
    <t>SM-2023/13991</t>
  </si>
  <si>
    <t>Emelőgép meghajtókereke kitöredezett,az úthibák miatt.</t>
  </si>
  <si>
    <t>Emelőgép meghajtókereke kitöredezett</t>
  </si>
  <si>
    <t>A villaági kerék futófelület levált.</t>
  </si>
  <si>
    <t>Bal támasztókerék probléma</t>
  </si>
  <si>
    <t>SM-2023/14637</t>
  </si>
  <si>
    <t>Villamagasító visszahegesztése</t>
  </si>
  <si>
    <t>Dolgozói Jelzés: "Bal hátsó kerék kotyog" Üzemen kívül! Kerékcserére várva</t>
  </si>
  <si>
    <t>DF7</t>
  </si>
  <si>
    <t>SM-2023/14699</t>
  </si>
  <si>
    <t>Emelőgép emelőszerkezet perselyei és tengelye elkoptak</t>
  </si>
  <si>
    <t>SM-2023/14703</t>
  </si>
  <si>
    <t>SM-2023/14706</t>
  </si>
  <si>
    <t>SM-2023/14707</t>
  </si>
  <si>
    <t>SM-2023/14708</t>
  </si>
  <si>
    <t>SM-2023/14639</t>
  </si>
  <si>
    <t>Karbantartás. DF7</t>
  </si>
  <si>
    <t>Akkumulátor piros led visszajelzés</t>
  </si>
  <si>
    <t>Villaági kerék csere</t>
  </si>
  <si>
    <t>Bors A. Jelezte, hogy a dolgozónak letilt a gép menet közben. Kártya cserét kértem.</t>
  </si>
  <si>
    <t>Prior</t>
  </si>
  <si>
    <t>Meghajtókerék kopott</t>
  </si>
  <si>
    <t>SM-2023/14904</t>
  </si>
  <si>
    <t>Töltőkábel szigetelése széthasadt. Csere</t>
  </si>
  <si>
    <t>SM-2023/14899</t>
  </si>
  <si>
    <t>Fűtőventilátor csere</t>
  </si>
  <si>
    <t>SM-2023/14906</t>
  </si>
  <si>
    <t>Központi Zsírzó</t>
  </si>
  <si>
    <t>Beüzemelés</t>
  </si>
  <si>
    <t>SM-2023/14908</t>
  </si>
  <si>
    <t>154 Emelőgép deréktámasza letörött.Villakerék tartói és perselyei elkoptak</t>
  </si>
  <si>
    <t>SM-2023/14910</t>
  </si>
  <si>
    <t>Emelőgép jobb támasztókerekén a futófelület kitöredezett az úthibák
miatt.Rendellenes használat.</t>
  </si>
  <si>
    <t>SM-2023/14912</t>
  </si>
  <si>
    <t>Menet közben letiltott. Vészleállítógomb javítás. Csatlakozók tisztítása. Biztosítékok ellenőrzése.</t>
  </si>
  <si>
    <t>WiIQ kábelszakadás javítása</t>
  </si>
  <si>
    <t>Akkumulátor csatlakozócsere</t>
  </si>
  <si>
    <t>Kapaszkodó letört + betápkábel szigetelés javítása</t>
  </si>
  <si>
    <t>SM-2023/14966</t>
  </si>
  <si>
    <t>Wiiq vezeték előzőleg javításon átesett piros szigetelőszalag eltávolítása.</t>
  </si>
  <si>
    <t>SM-2023/14969</t>
  </si>
  <si>
    <t>Akkumlátor karbantartás</t>
  </si>
  <si>
    <t>SM-2023/14632 + SM-2023/14978</t>
  </si>
  <si>
    <t>1+1</t>
  </si>
  <si>
    <t>Töltőtakarítás</t>
  </si>
  <si>
    <t>SM-2023/14760</t>
  </si>
  <si>
    <t>Emelőgép meghajtó kerék elkapar</t>
  </si>
  <si>
    <t>SM-2023/15200</t>
  </si>
  <si>
    <t>Jobb oldali menetmotor hiba</t>
  </si>
  <si>
    <t>Hidraulikacső kiddurant</t>
  </si>
  <si>
    <t>SM-2023/15201</t>
  </si>
  <si>
    <t>Akkumulátor csatlakozói korrodáltak voltak. Vízfeltöltés után a víz felforrt és kifolyt.</t>
  </si>
  <si>
    <t>Nem kapcsol be. Nem tölt. Lemerült az akkumulátor teljesen</t>
  </si>
  <si>
    <t>SM-2024/30</t>
  </si>
  <si>
    <t>SM-2024/31</t>
  </si>
  <si>
    <t>HNK:2/1-es akkumulátor csatlakozója meghibásodott.</t>
  </si>
  <si>
    <t>Targonca ajtózárja meghibásodott.Ablakreteszelők lepotyogtak.</t>
  </si>
  <si>
    <t>SM-2024/34</t>
  </si>
  <si>
    <t>HNK: 22-07 Az akku rögzítő csillag eldeformálódott. Egyengetés. Akkumulátor csatlakozó törött, csatlakozó csere.</t>
  </si>
  <si>
    <t>SM-2024/96</t>
  </si>
  <si>
    <t>Akkumulátor hamar lemerült, töltés közben DF7-es hibát írt ki. Kértem a csatlakozó javítását mert a levegőcsatlakozó sérült volt</t>
  </si>
  <si>
    <t>SM-2024/92</t>
  </si>
  <si>
    <t>HNK: 22-24 Vezető oldali alsó ajtó légzáró leesett, eldeformálódott.</t>
  </si>
  <si>
    <t>SM-2024/89</t>
  </si>
  <si>
    <t>Gyalogosfigyelőtartó letört</t>
  </si>
  <si>
    <t>SM-2024/87</t>
  </si>
  <si>
    <t>SM-2024/85</t>
  </si>
  <si>
    <t>Karbantartás</t>
  </si>
  <si>
    <t>SM-2024/108</t>
  </si>
  <si>
    <t>Emelőgép meghajtókereke elkopott kitöredezett</t>
  </si>
  <si>
    <t>SM-2024/102</t>
  </si>
  <si>
    <t>SM-2024/99</t>
  </si>
  <si>
    <t>SM-2024/162 + SM-2024/183</t>
  </si>
  <si>
    <t>6+7</t>
  </si>
  <si>
    <t>SM-2024/228</t>
  </si>
  <si>
    <t>SM-2024/229</t>
  </si>
  <si>
    <t>SM-2024/231</t>
  </si>
  <si>
    <t>SM-2024/240</t>
  </si>
  <si>
    <t>SM-2024/239</t>
  </si>
  <si>
    <t>SM-2024/238</t>
  </si>
  <si>
    <t>SM-2024/237</t>
  </si>
  <si>
    <t>Bálabontós targonca szivacsozás</t>
  </si>
  <si>
    <t>SM-2024/235</t>
  </si>
  <si>
    <t>Akkumulátortest lyukas( Garanciális Javítás)</t>
  </si>
  <si>
    <t>SM-2024/313</t>
  </si>
  <si>
    <t>Töltőcsatlakozó csere</t>
  </si>
  <si>
    <t>SM-2024/309</t>
  </si>
  <si>
    <t>Toyota vontató jobboldali lámpája nem működik.</t>
  </si>
  <si>
    <t>SM-2024/307</t>
  </si>
  <si>
    <t>Targonca fűtése gyenge (fűtőtest csere)</t>
  </si>
  <si>
    <t>SM-2024/305</t>
  </si>
  <si>
    <t>Emelőgép homlokfalán nincs védőgumi.Heineken kérésére gumilemez felragasztása.</t>
  </si>
  <si>
    <t>SM-2024/447</t>
  </si>
  <si>
    <t>SM-2024/448</t>
  </si>
  <si>
    <t>HNK Sopron HNK-22-24 Az oldalmozgató csúszkák kiestek,elkoptak.</t>
  </si>
  <si>
    <t>Karbantartás. Folyadékszintek, világítás ellenőrzés, álltalános kenés</t>
  </si>
  <si>
    <t>SM-2024/520</t>
  </si>
  <si>
    <t>SM-2024/540</t>
  </si>
  <si>
    <t>Emelőgép támasztókerék csapágyháza eltörött.Villakerék tartók és perselyek elkoptak.</t>
  </si>
  <si>
    <t>SM-2024/537</t>
  </si>
  <si>
    <t>Emelőgép emelőperselyei elkoptak. ( Nincs befejezve. Forgózsámoly átszerelve a 153-asba ez üzemen kívül van addig mert van még rajta javítani való</t>
  </si>
  <si>
    <t>Emelőgép homlokfalán nincs gumilemez.Heineken kérésére gumilemez felragasztása</t>
  </si>
  <si>
    <t>SM-2024/533</t>
  </si>
  <si>
    <t>Po Teljesítés</t>
  </si>
  <si>
    <t>Ablakreteszelő javítás</t>
  </si>
  <si>
    <t>SM-2024/597</t>
  </si>
  <si>
    <t>Targonca jobb oldali ajtózárja eldeformálódott</t>
  </si>
  <si>
    <t>SM-2024/596</t>
  </si>
  <si>
    <t>Targonca menet közben letilt.Targoncavezető szerint. Ellenőrzés, Csatlakozó javítás</t>
  </si>
  <si>
    <t>SM-2024/594</t>
  </si>
  <si>
    <t>SM-2024/519+541+741+598</t>
  </si>
  <si>
    <t>Emelőgép homlokfalán nincs gumilemez.Gumilemez felragasztása.Heineken kérésére.</t>
  </si>
  <si>
    <t>SM-2024/593</t>
  </si>
  <si>
    <t>Akkumulátor cserélő emelőgép akkuja hamar lamerül</t>
  </si>
  <si>
    <t>SM-2024/657</t>
  </si>
  <si>
    <t>SM-2024/656</t>
  </si>
  <si>
    <t>SM-2024/654</t>
  </si>
  <si>
    <t>HNK: 19 Targonca karbantartása.Első kamera nem működik</t>
  </si>
  <si>
    <t>Általános gumiellenőrzés(Targoncák gumiabroncsainak ellenőrzése,szemrevételezése,összeírása.)</t>
  </si>
  <si>
    <t>SM-2024/721</t>
  </si>
  <si>
    <t>6/1-es akkumulátor csatlakozója sérült.</t>
  </si>
  <si>
    <t>SM-2024/720</t>
  </si>
  <si>
    <t>HNK: K08-ös akkutöltő DF 7 hibakódot jelzi.</t>
  </si>
  <si>
    <t>SM-2024/719</t>
  </si>
  <si>
    <t>HNK: K05-ös akkutöltő DF 7 hibakódot jelzi</t>
  </si>
  <si>
    <t>SM-2024/718</t>
  </si>
  <si>
    <t>villakerekéről levállt a fotófelület</t>
  </si>
  <si>
    <t>SM-2024/717</t>
  </si>
  <si>
    <t>SM-2024/788</t>
  </si>
  <si>
    <t>Lehajtás szimmeringek cseréje.</t>
  </si>
  <si>
    <t>SM-2024/789</t>
  </si>
  <si>
    <t>SM-2024/800</t>
  </si>
  <si>
    <t>Emelőgép nehezen emel(Emelőszerkezet kenése.Határoló szelep beállítása.)</t>
  </si>
  <si>
    <t>Hajtómő szimmeringek cseréje</t>
  </si>
  <si>
    <t>SM-2024/798</t>
  </si>
  <si>
    <t>Hajtómő szimmeringek cseréje.Mindkét oldali szimmering a szokottnál keményebb volt.</t>
  </si>
  <si>
    <t>SM-2024/797</t>
  </si>
  <si>
    <t>HNK: 22-16 Általános karbantartás.</t>
  </si>
  <si>
    <t>SM-2024/775</t>
  </si>
  <si>
    <t>SM-2024/772</t>
  </si>
  <si>
    <t>HNK: 22-17 Általános karbantartás.</t>
  </si>
  <si>
    <t>SM-2024/769</t>
  </si>
  <si>
    <t>Akkumulátor és a töltéscsatlakozók ellenőrzése, akkumulátor teljes karbantartása regeneráló folyadékkal feltöltése.</t>
  </si>
  <si>
    <t>SM-2024/767</t>
  </si>
  <si>
    <t>Olajfolyás, Fő hidraulika nyomócső csere</t>
  </si>
  <si>
    <t>SM-2024/881</t>
  </si>
  <si>
    <t>SM-2024/891</t>
  </si>
  <si>
    <t>Targonca fő nyomócsöve folyatja az olajat.</t>
  </si>
  <si>
    <t>Emelőgép támasztókerék konzolja eltörött,az úthibák miatt.Rendellenes használat.</t>
  </si>
  <si>
    <t>SM-2024/888</t>
  </si>
  <si>
    <t>Emelőgép villakerekéről levállt a futófelület,az úthibák miatt.Rendellenes használat során.
Villakerék és perselyek cseréje.</t>
  </si>
  <si>
    <t>SM-2024/885</t>
  </si>
  <si>
    <t>HNK: 22-17 Hidraulika rendszerből folyik az olaj.</t>
  </si>
  <si>
    <t>HNK: 22-07 Hidraulika rendszerből folyik az olaj.</t>
  </si>
  <si>
    <t>SM-2024/945+SM-2024/946</t>
  </si>
  <si>
    <t>SM-2024/943+SM-2024/944</t>
  </si>
  <si>
    <t>Emelőgép villakerekéről levállt a futófelület.Emelővilla emelőkonzolja letörött.Emelőperselyek elkoptak.</t>
  </si>
  <si>
    <t>acélrudazat 
ékrendszer
hez</t>
  </si>
  <si>
    <t>2023 Év Vége</t>
  </si>
  <si>
    <t>SM-2022/12460</t>
  </si>
  <si>
    <t>Támasztókerék</t>
  </si>
  <si>
    <t>Kerék meghajtó</t>
  </si>
  <si>
    <t>SM-2022/12460?</t>
  </si>
  <si>
    <t>SM-2022/185</t>
  </si>
  <si>
    <t>Tengely villaági</t>
  </si>
  <si>
    <t>SM-2022/186</t>
  </si>
  <si>
    <t>Villaági</t>
  </si>
  <si>
    <t>Keréktartó, villaági</t>
  </si>
  <si>
    <t>SM-2022/12703</t>
  </si>
  <si>
    <t>Összesen:</t>
  </si>
  <si>
    <t>HNK:Emelőgép akkumulátorok ellenőrzése. Enersysnek segítség nyújtás</t>
  </si>
  <si>
    <t>SM-2024/1048</t>
  </si>
  <si>
    <t>Targonca jobb oldali ajtózárja elállítódott</t>
  </si>
  <si>
    <t>SM-2024/1047</t>
  </si>
  <si>
    <t>Targonca meghajtó motorjainak ellenőrzése</t>
  </si>
  <si>
    <t>SM-2024/1110</t>
  </si>
  <si>
    <t>Targonca menet közben letilt.Jobb ajtózár meghibásodott</t>
  </si>
  <si>
    <t>SM-2024/1107</t>
  </si>
  <si>
    <t>Emelőgép kijelzője meghibásodott.</t>
  </si>
  <si>
    <t>SM-2024/1105</t>
  </si>
  <si>
    <t>SM-2024/1102</t>
  </si>
  <si>
    <t>Rakodó rampánál a biztonsági ék eldeformálódott.Heineken kérésére,javítás.Heineken
kérésére.</t>
  </si>
  <si>
    <t>Heineken</t>
  </si>
  <si>
    <t>Kifizetésre Került Po-k</t>
  </si>
  <si>
    <t>Nem találtam Po-t</t>
  </si>
  <si>
    <t>Elkészült Po</t>
  </si>
  <si>
    <t>Egyéb</t>
  </si>
  <si>
    <t>NGS-2023/3234</t>
  </si>
  <si>
    <t>alv.:705 4 villás adapter leszerelése(11.21)</t>
  </si>
  <si>
    <t>Heinekens Hiba</t>
  </si>
  <si>
    <t>J03-Villaági Kerék (2023.11.23)</t>
  </si>
  <si>
    <t>Alv.:742 4 villás adapter felszerelése (11.27)</t>
  </si>
  <si>
    <t>SM-2023/13916</t>
  </si>
  <si>
    <t>alv.:705 4 villás adapter bekötése (11.28)</t>
  </si>
  <si>
    <t>Cs02-Villaági kerék(2023.11.13)</t>
  </si>
  <si>
    <t>NGS-2023/570</t>
  </si>
  <si>
    <t>alv.850 Pds nem működik (01.24)</t>
  </si>
  <si>
    <t>J02-Kitámasztókerék csere (01.13)</t>
  </si>
  <si>
    <t>Nincs munkalapom</t>
  </si>
  <si>
    <t>Emelőkosárnak nincs villareteszelője</t>
  </si>
  <si>
    <t>SM-2023/2535</t>
  </si>
  <si>
    <t>J01-Kitámasztókerék (01.17)</t>
  </si>
  <si>
    <t>SM-2023/2536</t>
  </si>
  <si>
    <t>J04-Villaági kerék (01.23)</t>
  </si>
  <si>
    <t>J01-Villaági kerék (02.02)</t>
  </si>
  <si>
    <t>J03-Villaági és Kitámasztókerék (02.06)</t>
  </si>
  <si>
    <t>Nincs egy Bizonylatszámban sem</t>
  </si>
  <si>
    <t>J02-Támasztókerékpersely csere (02.06)</t>
  </si>
  <si>
    <t>Emelőgép támcsapágya eltörött,valószínüleg az úthibák miatt</t>
  </si>
  <si>
    <t>J01-Villaági kerék (02.09)</t>
  </si>
  <si>
    <t>J03- Villaági kerék (02.09)</t>
  </si>
  <si>
    <t>J03-Villaági kerék (02.13)</t>
  </si>
  <si>
    <t>J01-Meghajtókerék (02.22)</t>
  </si>
  <si>
    <t>J05-Villaági kerék + persely (02.22)</t>
  </si>
  <si>
    <t>J03-Kitámasztókerék törés (02.27)</t>
  </si>
  <si>
    <t>Emelőgép támkerék csapágya meghibásodott,valószínüleg az úthibák miatt.</t>
  </si>
  <si>
    <t>NGS-2023/2873</t>
  </si>
  <si>
    <t>Alv.704 Fordító adapter felszerelése (09.27)</t>
  </si>
  <si>
    <t>SM-2023/11574</t>
  </si>
  <si>
    <t>SM-2023/6060</t>
  </si>
  <si>
    <t>SM-2023/11249+11336</t>
  </si>
  <si>
    <t>J03-Meghajtókerék csere (10.02)</t>
  </si>
  <si>
    <t>SM-2023/11801</t>
  </si>
  <si>
    <t>SM-2023/11250</t>
  </si>
  <si>
    <t>J04-Villaági kerék(10.02)</t>
  </si>
  <si>
    <t>SM-2023/12521</t>
  </si>
  <si>
    <t>Szerelőműhely rendrakása Cola-Trans Kft költsége?</t>
  </si>
  <si>
    <t>J04-Villaági kerék(10.04)</t>
  </si>
  <si>
    <t>SM-2023/12617</t>
  </si>
  <si>
    <t>Dupla számlázás. Ugyanaz mint a SM-2023/12460 ami Heinekenes költség</t>
  </si>
  <si>
    <t>Alv.851 Pds nem működik(10.04)</t>
  </si>
  <si>
    <t>SM-2023/12742</t>
  </si>
  <si>
    <t>SM-2023/11435</t>
  </si>
  <si>
    <t>J02-villaági kerék(10.06)</t>
  </si>
  <si>
    <t>SM-2023/12743</t>
  </si>
  <si>
    <t>SM-2023/11440</t>
  </si>
  <si>
    <t>Alv.851 Pds nem működik(10.06)</t>
  </si>
  <si>
    <t>SM-2023/12744</t>
  </si>
  <si>
    <t>J03-Villaági kerék (10.10)</t>
  </si>
  <si>
    <t>SM-2023/12745</t>
  </si>
  <si>
    <t>J02 - Kitámasztókerék (10.24)</t>
  </si>
  <si>
    <t>SM-2023/12747</t>
  </si>
  <si>
    <t>J04-Villaági kerék (10.30)</t>
  </si>
  <si>
    <t>SM-2023/12748</t>
  </si>
  <si>
    <t>J01-Emelőgép kerékvilla konzol törés (10.30)</t>
  </si>
  <si>
    <t>SM-2023/12810</t>
  </si>
  <si>
    <t>Heinekenes PDS áthelyezése (10.30)</t>
  </si>
  <si>
    <t>SM-2023/12878</t>
  </si>
  <si>
    <t>SM-2023/12465</t>
  </si>
  <si>
    <t>J05 keréktartó villakonzol(12458 kieg.)</t>
  </si>
  <si>
    <t>Dupla számlázás. Ugyanaz mint a SM-2023/12889</t>
  </si>
  <si>
    <t>Kitámasztókerék csere (10.31)</t>
  </si>
  <si>
    <t>SM-2023/12614</t>
  </si>
  <si>
    <t>J04 - villaági kerék (10.30)</t>
  </si>
  <si>
    <t>J05 - Támasztókerék villakonzol törés (10.30)</t>
  </si>
  <si>
    <t>J01-Villaági kerék csere(11.03)</t>
  </si>
  <si>
    <t>Alv.705 négyvillás adapter felsz. (11.08)</t>
  </si>
  <si>
    <t>SM-2023/12892</t>
  </si>
  <si>
    <t>Alv.705 négyvillás adapter rögzítése (11.09)</t>
  </si>
  <si>
    <t>SM-2023/3208</t>
  </si>
  <si>
    <t>SM-2023/12962</t>
  </si>
  <si>
    <t>SM-2023/3272</t>
  </si>
  <si>
    <t>Nem készült Po</t>
  </si>
  <si>
    <t>NGS-2023/3233</t>
  </si>
  <si>
    <t>J01-Meghajtókerék csere(12.18)</t>
  </si>
  <si>
    <t>J04 Jobb kitámasztókerék (12.18)</t>
  </si>
  <si>
    <t>Talán Heinekenes</t>
  </si>
  <si>
    <t>J04-villaági kerék (12.13)</t>
  </si>
  <si>
    <t>J02-Villaági kerék(12.14)</t>
  </si>
  <si>
    <t>Alv.740 védőcső felsz. (12.13)</t>
  </si>
  <si>
    <t>Alv.838 védőcső felsz. (12.13)</t>
  </si>
  <si>
    <t>NGS-2023/2453</t>
  </si>
  <si>
    <t>SM-2023/9694</t>
  </si>
  <si>
    <t>J02- Villaági kerék (08.29)</t>
  </si>
  <si>
    <t>Heinekenes</t>
  </si>
  <si>
    <t>SM-2023/9723</t>
  </si>
  <si>
    <t>alv.851 Pds nem működik (09.25)</t>
  </si>
  <si>
    <t>SM-2023/9724</t>
  </si>
  <si>
    <t>SM-2023/9969</t>
  </si>
  <si>
    <t>J03-T.K</t>
  </si>
  <si>
    <t>SM-2023/10105</t>
  </si>
  <si>
    <t>SM-2023/10107</t>
  </si>
  <si>
    <t>SM-2023/10158</t>
  </si>
  <si>
    <t>SM-2023/10226</t>
  </si>
  <si>
    <t>SM-2023/10253</t>
  </si>
  <si>
    <t>SM-2023/10328</t>
  </si>
  <si>
    <t>SM-2023/10407</t>
  </si>
  <si>
    <t>SM-2023/10413</t>
  </si>
  <si>
    <t>SM-2023/10719</t>
  </si>
  <si>
    <t>SM-2023/10751</t>
  </si>
  <si>
    <t>06.20 Utólag kerül kifizetésre. Nincs egy Bizonylatszámban sem</t>
  </si>
  <si>
    <t>SM-2023/10817</t>
  </si>
  <si>
    <t>SM-2023/10857</t>
  </si>
  <si>
    <t>NGS-2023/1727</t>
  </si>
  <si>
    <t>SM-2023/6932</t>
  </si>
  <si>
    <t>SM-2023/7130</t>
  </si>
  <si>
    <t>SM-2023/7131</t>
  </si>
  <si>
    <t>SM-2023/7132</t>
  </si>
  <si>
    <t>SM-2023/7134</t>
  </si>
  <si>
    <t>SM-2023/7135</t>
  </si>
  <si>
    <t>SM-2023/7136</t>
  </si>
  <si>
    <t>SM-2023/7229</t>
  </si>
  <si>
    <t>SM-2023/7233</t>
  </si>
  <si>
    <t>SM-2023/7235</t>
  </si>
  <si>
    <t>NGS-2023/1527</t>
  </si>
  <si>
    <t>Heineken PDS</t>
  </si>
  <si>
    <t>NGS-2023/1491</t>
  </si>
  <si>
    <t>J02-villaági kerék (06.07)</t>
  </si>
  <si>
    <t>SM-2023/6139</t>
  </si>
  <si>
    <t>J05- Kitámasztó + villaági kerék csere(06.07)</t>
  </si>
  <si>
    <t>SM-2023/6141</t>
  </si>
  <si>
    <t>SM-2023/6142</t>
  </si>
  <si>
    <t>J02 - Villakonzol</t>
  </si>
  <si>
    <t>SM-2023/6181</t>
  </si>
  <si>
    <t>SM-2023/6183</t>
  </si>
  <si>
    <t>SM-2023/6254</t>
  </si>
  <si>
    <t>SM-2023/6255</t>
  </si>
  <si>
    <t>NGS-2023/1315</t>
  </si>
  <si>
    <t>J01-Kitámasztó+villaágikerék(05.04)</t>
  </si>
  <si>
    <t>SM-2023/5302</t>
  </si>
  <si>
    <t>SM-2023/5450</t>
  </si>
  <si>
    <t>Heli T+K. kerék</t>
  </si>
  <si>
    <t>NGS-2023/1089</t>
  </si>
  <si>
    <t>J04-Meghajtókerék (04.03)</t>
  </si>
  <si>
    <t>SM-2023/3456</t>
  </si>
  <si>
    <t>Nincs munkalap</t>
  </si>
  <si>
    <t>SM-2023/3461</t>
  </si>
  <si>
    <t>SM-2023/3462</t>
  </si>
  <si>
    <t>SM-2023/3463</t>
  </si>
  <si>
    <t>SM-2023/3464</t>
  </si>
  <si>
    <t>Heineken - PDS</t>
  </si>
  <si>
    <t>SM-2023/3514</t>
  </si>
  <si>
    <t>J02-Villapersely (03.24)</t>
  </si>
  <si>
    <t>SM-2023/3746</t>
  </si>
  <si>
    <t>J05-Villaági Persely (03.06)</t>
  </si>
  <si>
    <t>SM-2023/3843</t>
  </si>
  <si>
    <t>SM-2023/3883</t>
  </si>
  <si>
    <t>SM-2023/3885</t>
  </si>
  <si>
    <t>SM-2023/3968</t>
  </si>
  <si>
    <t>SM-2023/4045</t>
  </si>
  <si>
    <t>SM-2023/4046</t>
  </si>
  <si>
    <t>NGS-2023/809</t>
  </si>
  <si>
    <t>J04-V.kerék</t>
  </si>
  <si>
    <t>SM-2023/2700</t>
  </si>
  <si>
    <t>J02-M.kerék</t>
  </si>
  <si>
    <t>SM-2023/2728</t>
  </si>
  <si>
    <t>Frigoglassos</t>
  </si>
  <si>
    <t>J02-T.kerék</t>
  </si>
  <si>
    <t>SM-2023/2768</t>
  </si>
  <si>
    <t>J04-T.kerék+Villa</t>
  </si>
  <si>
    <t>SM-2023/2914</t>
  </si>
  <si>
    <t>Komi02 T.kerék</t>
  </si>
  <si>
    <t>SM-2023/3045</t>
  </si>
  <si>
    <t>Fordító Adapter leszerelése (705)</t>
  </si>
  <si>
    <t>SM-2023/3223</t>
  </si>
  <si>
    <t>SM-2023/3224</t>
  </si>
  <si>
    <t>J03-Villaági Persely (03.06)</t>
  </si>
  <si>
    <t>NGS-2023 155</t>
  </si>
  <si>
    <t>J02-Villaági Kerék(22.12.14)</t>
  </si>
  <si>
    <t>SM-2022/12328</t>
  </si>
  <si>
    <t>NGS-2023/254</t>
  </si>
  <si>
    <t>704 - Kaup leszerelése(01.09)</t>
  </si>
  <si>
    <t>I</t>
  </si>
  <si>
    <t>Bizonylatszám</t>
  </si>
  <si>
    <t>Kelte</t>
  </si>
  <si>
    <t>Teljesítés</t>
  </si>
  <si>
    <t>Fizetési határidő</t>
  </si>
  <si>
    <t>Partner</t>
  </si>
  <si>
    <t>R nettó</t>
  </si>
  <si>
    <t>R Bruttó</t>
  </si>
  <si>
    <t>B nettó</t>
  </si>
  <si>
    <t>B Bruttó</t>
  </si>
  <si>
    <t>Belsõ megjegyzés</t>
  </si>
  <si>
    <t>Honnan raktár</t>
  </si>
  <si>
    <t>Automata megjegyzés</t>
  </si>
  <si>
    <t>NGS-2022/2916</t>
  </si>
  <si>
    <t>2022. 12. 19.</t>
  </si>
  <si>
    <t>COLA TRANS Kft.</t>
  </si>
  <si>
    <t>HNK: Sopron. A támasztó kerekek kopottak.</t>
  </si>
  <si>
    <t>Kelemen Sándor</t>
  </si>
  <si>
    <t>Hivatkozások:SM-2022/8991,SM-2022/8992,SM-2022/11509,SM-2022/11580,SM-2022/11581,SM-2022/11843,SM-2022/11844,SM-2022/12223,SM-2022/12228,SM-2022/12229,SM-2022/12230,SM-2022/12326,SM-2022/12327,SM-2022/12459,SM-2022/12462,SM-2022/12504,SM-2022/12505,SM-2022/12506,SM-2022/12614,SM-2022/12615,SM-2022/12657,SM-2022/12662,SM-2022/12663,SM-2022/12704,SM-2022/12705,SM-2022/12799,SM-2022/12800,SM-2022/12801,SM-2022/12903,SM-2022/12907,SM-2022/12910,SM-2022/12911,SM-2022/13106</t>
  </si>
  <si>
    <t>NGS-2023/52</t>
  </si>
  <si>
    <t>2023. 01. 06.</t>
  </si>
  <si>
    <t>HNK FTC gyalogos védelmi rendszer beszerelése</t>
  </si>
  <si>
    <t>Hajdu Barnabás</t>
  </si>
  <si>
    <t>Hivatkozások:SM-2022/9076,SM-2022/9142,SM-2022/9170,SM-2022/12050,SM-2022/12051,SM-2022/12128,SM-2022/12331,SM-2022/13052</t>
  </si>
  <si>
    <t>2023. 01. 31.</t>
  </si>
  <si>
    <t>HNK. Targonca hátsó munkalámpája lerázkódott a helyéről.</t>
  </si>
  <si>
    <t>Bencze Zsolt</t>
  </si>
  <si>
    <t>Hivatkozások:SM-2022/13351,SM-2022/13352,SM-2022/13353,SM-2022/13354,SM-2022/13355,SM-2022/13356,SM-2022/13398,SM-2022/13399,SM-2022/13400,SM-2022/13401,SM-2023/82,SM-2023/181,SM-2023/187,SM-2023/188,SM-2023/358,SM-2023/359,SM-2023/360,SM-2023/361,SM-2023/476</t>
  </si>
  <si>
    <t>NGS-2023/155</t>
  </si>
  <si>
    <t>2023. 01. 20.</t>
  </si>
  <si>
    <t>HNK.Emelőgép meghajtókereke elkopott, a nem megfelelő útviszonyok végett.</t>
  </si>
  <si>
    <t>Hivatkozások:SM-2022/12328,SM-2022/12460,SM-2022/12703,SM-2022/13105,SM-2023/185,SM-2023/186</t>
  </si>
  <si>
    <t>HNK. Emelőgép támasztókerekei megrongálódtak.nagy valószínüleg úthibák végett.</t>
  </si>
  <si>
    <t>Hivatkozások:SM-2023/593,SM-2023/693,SM-2023/755,SM-2023/810,SM-2023/811,SM-2023/911,SM-2023/950,SM-2023/1025,SM-2023/1028,SM-2023/1029,SM-2023/1030,SM-2023/1137,SM-2023/1208,SM-2023/1213,SM-2023/1447,SM-2023/1448,SM-2023/1449,SM-2023/1450,SM-2023/1451,SM-2023/1559,SM-2023/1560,SM-2023/1561,SM-2023/1733,SM-2023/1734,SM-2023/1848,SM-2023/1849,SM-2023/1850,SM-2023/1852,SM-2023/1957,SM-2023/1958,SM-2023/2012,SM-2023/2013,SM-2023/2014,SM-2023/2083,SM-2023/2084,SM-2023/2085,SM-2023/2135,SM-2023/2136,SM-2023/2137,SM-2023/2268,SM-2023/2269,SM-2023/2270,SM-2023/2271,SM-2023/2474,SM-2023/2531,SM-2023/2535,SM-2023/2536</t>
  </si>
  <si>
    <t>2023. 03. 23.</t>
  </si>
  <si>
    <t xml:space="preserve">HNK:Emelőgép villakerekéről levállt a futófelület.Valószínüleg az úthibák miatt. </t>
  </si>
  <si>
    <t>Hivatkozások:SM-2023/2584,SM-2023/2585,SM-2023/2586,SM-2023/2587,SM-2023/2635,SM-2023/2636,SM-2023/2637,SM-2023/2690,SM-2023/2693,SM-2023/2700,SM-2023/2719,SM-2023/2728,SM-2023/2753,SM-2023/2754,SM-2023/2755,SM-2023/2756,SM-2023/2768,SM-2023/2867,SM-2023/2868,SM-2023/2914,SM-2023/2991,SM-2023/2992,SM-2023/3045,SM-2023/3056,SM-2023/3057,SM-2023/3207,SM-2023/3208,SM-2023/3209,SM-2023/3223,SM-2023/3224,SM-2023/3268,SM-2023/3269,SM-2023/3270,SM-2023/3271,SM-2023/3272,SM-2023/3324</t>
  </si>
  <si>
    <t>2023. 04. 27.</t>
  </si>
  <si>
    <t>HNK:Emelőgép meghajtókereke kitöredezett elkopott,emelővilla támasztógörgője elkopott valószínüleg az úthibák miatt.</t>
  </si>
  <si>
    <t>Hivatkozások:SM-2023/3325,SM-2023/3326,SM-2023/3327,SM-2023/3328,SM-2023/3456,SM-2023/3461,SM-2023/3462,SM-2023/3463,SM-2023/3464,SM-2023/3510,SM-2023/3511,SM-2023/3512,SM-2023/3514,SM-2023/3664,SM-2023/3665,SM-2023/3666,SM-2023/3746,SM-2023/3812,SM-2023/3843,SM-2023/3849,SM-2023/3879,SM-2023/3880,SM-2023/3883,SM-2023/3885,SM-2023/3968,SM-2023/3995,SM-2023/3996,SM-2023/3997,SM-2023/3998,SM-2023/4045,SM-2023/4046,SM-2023/4101,SM-2023/4102,SM-2023/4103,SM-2023/4185,SM-2023/4186,SM-2023/4187,SM-2023/4188,SM-2023/4237,SM-2023/4238,SM-2023/4239,SM-2023/4262,SM-2023/4263,SM-2023/4264,SM-2023/4317,SM-2023/4318,SM-2023/4319,SM-2023/4376,SM-2023/4377,SM-2023/4378,SM-2023/4379,SM-2023/4381,SM-2023/4444,SM-2023/4501,SM-2023/4612,SM-2023/4614,SM-2023/4615,SM-2023/4616</t>
  </si>
  <si>
    <t>2023. 05. 18.</t>
  </si>
  <si>
    <t>HNK: Emelőgép főkonzol tengelye kicsúszott a helyéről.</t>
  </si>
  <si>
    <t>Hivatkozások:SM-2023/4738,SM-2023/4822,SM-2023/4823,SM-2023/4824,SM-2023/4825,SM-2023/4873,SM-2023/4913,SM-2023/4914,SM-2023/4916,SM-2023/5060,SM-2023/5061,SM-2023/5062,SM-2023/5063,SM-2023/5064,SM-2023/5222,SM-2023/5223,SM-2023/5294,SM-2023/5302,SM-2023/5350,SM-2023/5351,SM-2023/5352,SM-2023/5446,SM-2023/5447,SM-2023/5448,SM-2023/5449,SM-2023/5450</t>
  </si>
  <si>
    <t>2023. 06. 08.</t>
  </si>
  <si>
    <t>HNK: Targoncák teljesítmény csökkentése.</t>
  </si>
  <si>
    <t>Hivatkozások:SM-2023/5804,SM-2023/5805,SM-2023/5959,SM-2023/5960,SM-2023/5961,SM-2023/6058,SM-2023/6059,SM-2023/6060,SM-2023/6061,SM-2023/6121,SM-2023/6135,SM-2023/6136,SM-2023/6139,SM-2023/6141,SM-2023/6142,SM-2023/6181,SM-2023/6183,SM-2023/6221,SM-2023/6222,SM-2023/6223,SM-2023/6224,SM-2023/6225,SM-2023/6253,SM-2023/6254,SM-2023/6255,SM-2023/6291,SM-2023/6292,SM-2023/6293</t>
  </si>
  <si>
    <t>2023. 06. 13.</t>
  </si>
  <si>
    <t>HNK: Targonca első szélvédője kitörött.Akkuajtó érzékelője meghibásodott.</t>
  </si>
  <si>
    <t>Hivatkozások:SM-2023/5500,SM-2023/5501,SM-2023/5502,SM-2023/5584,SM-2023/5585,SM-2023/5586,SM-2023/5655,SM-2023/5656,SM-2023/5657,SM-2023/5658,SM-2023/5705,SM-2023/5706,SM-2023/5707,SM-2023/5708,SM-2023/5744,SM-2023/6381,SM-2023/6440,SM-2023/6441,SM-2023/6443</t>
  </si>
  <si>
    <t>2023. 07. 05.</t>
  </si>
  <si>
    <t>HNK: Targonca első futómű kiszerelése.</t>
  </si>
  <si>
    <t>Hivatkozások:SM-2023/6930,SM-2023/6931,SM-2023/6932,SM-2023/6996,SM-2023/6997,SM-2023/6998,SM-2023/6999,SM-2023/7000,SM-2023/7102,SM-2023/7103,SM-2023/7104,SM-2023/7105,SM-2023/7106,SM-2023/7107,SM-2023/7108,SM-2023/7130,SM-2023/7131,SM-2023/7132,SM-2023/7134,SM-2023/7135,SM-2023/7136,SM-2023/7220,SM-2023/7221,SM-2023/7222,SM-2023/7223,SM-2023/7224,SM-2023/7229,SM-2023/7233,SM-2023/7235,SM-2023/7299,SM-2023/7300,SM-2023/7301,SM-2023/7302,SM-2023/7419,SM-2023/7420,SM-2023/7426,SM-2023/7504,SM-2023/7506,SM-2023/7507,SM-2023/7510</t>
  </si>
  <si>
    <t>2023. 09. 26.</t>
  </si>
  <si>
    <t>COLA TRANS Kft. HNK Sopron</t>
  </si>
  <si>
    <t>HNK: Emelőgép alatt olajfolyás észlelhető.</t>
  </si>
  <si>
    <t>Hivatkozások:SM-2023/9222,SM-2023/9223,SM-2023/9224,SM-2023/9225,SM-2023/9281,SM-2023/9691,SM-2023/9692,SM-2023/9694,SM-2023/9697,SM-2023/9698,SM-2023/9699,SM-2023/9723,SM-2023/9724,SM-2023/9945,SM-2023/9969,SM-2023/9990,SM-2023/9991,SM-2023/9992,SM-2023/9993,SM-2023/10045,SM-2023/10046,SM-2023/10047,SM-2023/10048,SM-2023/10092,SM-2023/10105,SM-2023/10107,SM-2023/10145,SM-2023/10146,SM-2023/10147,SM-2023/10148,SM-2023/10158,SM-2023/10226,SM-2023/10253,SM-2023/10326,SM-2023/10328,SM-2023/10329,SM-2023/10331,SM-2023/10334,SM-2023/10336,SM-2023/10399,SM-2023/10400,SM-2023/10401,SM-2023/10407,SM-2023/10413,SM-2023/10520,SM-2023/10521,SM-2023/10609,SM-2023/10610,SM-2023/10611,SM-2023/10612,SM-2023/10613,SM-2023/10681,SM-2023/10683,SM-2023/10685,SM-2023/10686,SM-2023/10719,SM-2023/10751,SM-2023/10810,SM-2023/10811,SM-2023/10814,SM-2023/10817,SM-2023/10819,SM-2023/10857,SM-2023/10952,SM-2023/10953,SM-2023/10954,SM-2023/10955</t>
  </si>
  <si>
    <t>2023. 11. 10.</t>
  </si>
  <si>
    <t>HNK: Targoncára, fordíttó adapter felszerelése szükséges.</t>
  </si>
  <si>
    <t>Hivatkozások:SM-2023/11065,SM-2023/11066,SM-2023/11137,SM-2023/11138,SM-2023/11139,SM-2023/11140,SM-2023/11235,SM-2023/11238,SM-2023/11248,SM-2023/11249,SM-2023/11250,SM-2023/11251,SM-2023/11261,SM-2023/11262,SM-2023/11336,SM-2023/11337,SM-2023/11341,SM-2023/11342,SM-2023/11345,SM-2023/11433,SM-2023/11435,SM-2023/11438,SM-2023/11439,SM-2023/11440,SM-2023/11534,SM-2023/11548,SM-2023/11549,SM-2023/11551,SM-2023/11552,SM-2023/11574,SM-2023/11610,SM-2023/11611,SM-2023/11612,SM-2023/11718,SM-2023/11719,SM-2023/11801,SM-2023/11843,SM-2023/11844,SM-2023/11845,SM-2023/11907,SM-2023/11908,SM-2023/11910,SM-2023/12036,SM-2023/12038,SM-2023/12039,SM-2023/12040,SM-2023/12041,SM-2023/12170,SM-2023/12171,SM-2023/12172,SM-2023/12173,SM-2023/12225,SM-2023/12228,SM-2023/12230,SM-2023/12456,SM-2023/12458,SM-2023/12459,SM-2023/12460,SM-2023/12465,SM-2023/12521,SM-2023/12522,SM-2023/12523,SM-2023/12524,SM-2023/12526,SM-2023/12614,SM-2023/12615,SM-2023/12616,SM-2023/12617,SM-2023/12742,SM-2023/12743,SM-2023/12744,SM-2023/12745,SM-2023/12747,SM-2023/12748,SM-2023/12760,SM-2023/12810,SM-2023/12813,SM-2023/12815,SM-2023/12816,SM-2023/12877,SM-2023/12878,SM-2023/12879,SM-2023/12880,SM-2023/12881,SM-2023/12884,SM-2023/12887,SM-2023/12888,SM-2023/12889,SM-2023/12890,SM-2023/12891,SM-2023/12892,SM-2023/12895,SM-2023/12897,SM-2023/12899,SM-2023/12954,SM-2023/12956,SM-2023/12957,SM-2023/12958,SM-2023/12961,SM-2023/12962,SM-2023/12963,SM-2023/12964,SM-2023/12965</t>
  </si>
  <si>
    <t>2023. 12. 20.</t>
  </si>
  <si>
    <t>HNK: Sopron  22-13 Ajtózár törött.</t>
  </si>
  <si>
    <t>Hivatkozások:SM-2023/14471,SM-2023/14472,SM-2023/14473,SM-2023/14474,SM-2023/14477,SM-2023/14632,SM-2023/14637,SM-2023/14639,SM-2023/14699,SM-2023/14703,SM-2023/14706,SM-2023/14707,SM-2023/14708,SM-2023/14760,SM-2023/14761,SM-2023/14899,SM-2023/14904,SM-2023/14906,SM-2023/14908,SM-2023/14910,SM-2023/14912,SM-2023/14966,SM-2023/14969,SM-2023/14973,SM-2023/14978,SM-2023/14982</t>
  </si>
  <si>
    <t>HNK: Targonca alatt olajcsepp észlelhető.</t>
  </si>
  <si>
    <t>Hivatkozások:SM-2023/13036,SM-2023/13037,SM-2023/13040,SM-2023/13043,SM-2023/13127,SM-2023/13136,SM-2023/13141,SM-2023/13145,SM-2023/13198,SM-2023/13203,SM-2023/13204,SM-2023/13256,SM-2023/13260,SM-2023/13263,SM-2023/13264,SM-2023/13392,SM-2023/13394,SM-2023/13396,SM-2023/13460,SM-2023/13461,SM-2023/13513,SM-2023/13514,SM-2023/13515,SM-2023/13516,SM-2023/13603,SM-2023/13604,SM-2023/13688,SM-2023/13689,SM-2023/13691,SM-2023/13692,SM-2023/13854,SM-2023/13855,SM-2023/13856,SM-2023/13857,SM-2023/13858,SM-2023/13859,SM-2023/13916,SM-2023/13917,SM-2023/13920,SM-2023/13991,SM-2023/14001,SM-2023/14002,SM-2023/14003,SM-2023/14004,SM-2023/14005,SM-2023/14006,SM-2023/14058,SM-2023/14060,SM-2023/14063,SM-2023/14065,SM-2023/14147,SM-2023/14211,SM-2023/14214,SM-2023/14215,SM-2023/14347,SM-2023/14354,SM-2023/14355,SM-2023/14359,SM-2023/14470</t>
  </si>
  <si>
    <t>NGS-2024/62</t>
  </si>
  <si>
    <t>2024. 01. 09.</t>
  </si>
  <si>
    <t>HNK: 20 Targonca első  gumiabroncsai kopottak, hátsó kitöredezett.</t>
  </si>
  <si>
    <t>Hivatkozások:SM-2023/15077,SM-2023/15080,SM-2023/15199,SM-2023/15200,SM-2023/15201,SM-2024/30,SM-2024/31,SM-2024/32,SM-2024/33,SM-2024/34,SM-2024/51,SM-2024/52,SM-2024/53,SM-2024/54,SM-2024/55,SM-2024/56,SM-2024/85,SM-2024/87,SM-2024/89,SM-2024/92,SM-2024/96,SM-2024/99,SM-2024/102,SM-2024/108,SM-2024/228,SM-2024/229,SM-2024/231,SM-2024/235,SM-2024/237,SM-2024/238,SM-2024/239,SM-2024/240,SM-2024/307,SM-2024/309</t>
  </si>
  <si>
    <t>SM-2023/15080</t>
  </si>
  <si>
    <t>SM-2023/15199</t>
  </si>
  <si>
    <t>SM-2024/32</t>
  </si>
  <si>
    <t>SM-2024/33</t>
  </si>
  <si>
    <t>SM-2023/15077</t>
  </si>
  <si>
    <t>akkumulátor csatlakozója meghibásodott.</t>
  </si>
  <si>
    <t>Nyomórúgó csavarok lelazultak.Csavarok rögzítése.</t>
  </si>
  <si>
    <t>HNK: Ügyelet. 51 Emelőgép nem tud kijönni a raklap alól.Emelőgép villagörgőinek cserélye.</t>
  </si>
  <si>
    <t>HNK: 18 Targonca akkumulátor tartó tálcárol letörött a görgőtartó.Tálca egyengetése,hegesztése.</t>
  </si>
  <si>
    <t>Gumiabroncsok cseréje szakműhelyben.Atra Györ.Kerekek felszerelése.</t>
  </si>
  <si>
    <t>H</t>
  </si>
  <si>
    <t>villakerekéről levállt a futófelület</t>
  </si>
  <si>
    <t>Heineken számla Karbantartási Napló szerint</t>
  </si>
  <si>
    <t>Heineken hibájából adódó szélvédőtörés. Munkalapból nem utalt semmi arra, hogy heineken fizetés lenne</t>
  </si>
  <si>
    <t>Meghajtó motorok olaj ellenőrzése. (Mindkét oldal száraznak látszik..)</t>
  </si>
  <si>
    <t>SM-2024/1185</t>
  </si>
  <si>
    <t>Meghajtó motorok olaj ellenőrzése.A bal oldali motorban piros olaj van,. , a jobb oldaliban hajtóműolaj van.</t>
  </si>
  <si>
    <t>SM-2024/1183</t>
  </si>
  <si>
    <t>Sopron HNK 22-13 Meghajtó motorok olaj ellenőrzése.(A bal oldali motorban van,. , a jobb oldaliban nem érzékelhető olaj.)</t>
  </si>
  <si>
    <t>SM-2024/1180</t>
  </si>
  <si>
    <t>HNK 22-11 Meghajtó motorok olaj ellenőrzése.(A bal oldali motorban nem érzékelhetó olaj. , a jobb oldaliban van.)</t>
  </si>
  <si>
    <t>SM-2024/1177</t>
  </si>
  <si>
    <t>Meghajtó motorok olaj ellenőrzése.Mindkét oldali motorban érzékelhető a hajtómű olaj.</t>
  </si>
  <si>
    <t>SM-2024/1171</t>
  </si>
  <si>
    <t>Meghajtómotor olajellenőrzés.</t>
  </si>
  <si>
    <t>SM-2024/1199</t>
  </si>
  <si>
    <t>Meghajtómotor olajellenőrzés</t>
  </si>
  <si>
    <t>SM-2024/1196</t>
  </si>
  <si>
    <t>HNK: 22-16 A tükür rögzítés lötyög.</t>
  </si>
  <si>
    <t>SM-2024/1202</t>
  </si>
  <si>
    <t>HNK: 13 Meghajtómotor olajellenőrzés.</t>
  </si>
  <si>
    <t>SM-2024/1193</t>
  </si>
  <si>
    <t>SM-2024/1200</t>
  </si>
  <si>
    <t>HNK: 22-07 Gumicsere.</t>
  </si>
  <si>
    <t>SM-2024/1188</t>
  </si>
  <si>
    <t>HNK: 11 Meghajtómotor olajellenőrzés.(Olajellenőrzés.Jobb oldaliban jelen ven az olaj.)</t>
  </si>
  <si>
    <t>SM-2024/1197</t>
  </si>
  <si>
    <t>HNK: 22-04 Gumicsere.(Első és hátsó gumik gumizása, le és felszerelése.)?</t>
  </si>
  <si>
    <t>SM-2024/1195</t>
  </si>
  <si>
    <t>22-06 Gumicsere. Első és hátsó gumik gumizása, le és felszerelése.</t>
  </si>
  <si>
    <t>HNK: 09 Targonca menet közben letilt.(Villamos 12v-os rendszer ellenőrzése.Gép összeszerelése.Targonca a hibát jelenlétemkor nem produkálta)</t>
  </si>
  <si>
    <t>SM-2024/1181</t>
  </si>
  <si>
    <t>SM-2024/1192</t>
  </si>
  <si>
    <t>22-04 Gumicsere. Hátsó gumik gumizása, le és felszerelése.</t>
  </si>
  <si>
    <t>HNK: 25 Targonca gumiabroncsai cserére szorulnak.</t>
  </si>
  <si>
    <t>SM-2024/1168</t>
  </si>
  <si>
    <t>HNK: 22-25 Gumicsere.</t>
  </si>
  <si>
    <t>SM-2024/1187</t>
  </si>
  <si>
    <t>Targonca gumiabroncsai cserére szorulnak.</t>
  </si>
  <si>
    <t>SM-2024/1165</t>
  </si>
  <si>
    <t>HNK: 22-17 Gumicsere. Első gumik gumizása, le és felszerelése.</t>
  </si>
  <si>
    <t>SM-2024/1184</t>
  </si>
  <si>
    <t>HNK: 12 Targonca gumiabroncsai cserére szorulnak.</t>
  </si>
  <si>
    <t>SM-2024/1164</t>
  </si>
  <si>
    <t>22-21 Gumicsere. Hátsó gumik gumizása, le és felszerelése.</t>
  </si>
  <si>
    <t>SM-2024/1182</t>
  </si>
  <si>
    <t>SM-2024/1179</t>
  </si>
  <si>
    <t>HNK: 22-19 Gumicsere. Első gumik gumizása, le és felszerelése.</t>
  </si>
  <si>
    <t>HNK: 09 Targonca gumiabroncsai cserére szorulnak.</t>
  </si>
  <si>
    <t>SM-2024/1163</t>
  </si>
  <si>
    <t>SM-2024/1176</t>
  </si>
  <si>
    <t>HNK: 22-09 Gumicsere. Hátsó gumik gumizása, le és felszerelése.</t>
  </si>
  <si>
    <t>HNK: 22-16 Gumicsere. Első gumik gumizása, le és felszerelése.</t>
  </si>
  <si>
    <t>SM-2024/1174</t>
  </si>
  <si>
    <t>HNK: 22-12 Gumicsere.</t>
  </si>
  <si>
    <t>SM-2024/1172</t>
  </si>
  <si>
    <t>HNK: HN.022 Heinekenes kézi raklapemelő nem emel</t>
  </si>
  <si>
    <t>Heineken-Raklapemelő</t>
  </si>
  <si>
    <t>SM-2024/1272</t>
  </si>
  <si>
    <t>HNK 22-19 A meghajtó motor bal oldalában piros a jobb oldalában hajtómű olaj van.
Targonca emelőoszlop és futómű kiszerelés, hajtás szétszerelés, tisztítás, szimmeringek cseréje. Továbbiakban összeszerelés
folytatása.</t>
  </si>
  <si>
    <t>SM-2024/1271</t>
  </si>
  <si>
    <t>HNK: 22-13 A töltés csatlakozó etörött.</t>
  </si>
  <si>
    <t>SM-2024/1270</t>
  </si>
  <si>
    <t>Jet 154 Villaági kerék futófelülete levállt. Villaági kerék csere. A futófelület a nem megfelelő útviszonyok miatt vált le.</t>
  </si>
  <si>
    <t>SM-2024/1269</t>
  </si>
  <si>
    <t>SM-2024/1268</t>
  </si>
  <si>
    <t>HNK:22-15 Fűtés nem működik.</t>
  </si>
  <si>
    <t>B250R Takarítógép szívófej munkahenger nem süllyeszt.</t>
  </si>
  <si>
    <t>SM-2024/1267</t>
  </si>
  <si>
    <t>HNK:19 Targonca mindkét meghajtómotorjába olaj került.</t>
  </si>
  <si>
    <t>SM-2024/1273</t>
  </si>
  <si>
    <t>Dátum</t>
  </si>
  <si>
    <t>Po Határidő</t>
  </si>
  <si>
    <t>HNK: Sopron 22-19 A meghajtó motorba belefolyt az olaj ,a javítás folytatása.</t>
  </si>
  <si>
    <t>SM-2024/1319</t>
  </si>
  <si>
    <t>HNK: Jet 155 Tehet alatt menet közben ropog a targonca, és ferdén emel.</t>
  </si>
  <si>
    <t>SM-2024/1318</t>
  </si>
  <si>
    <t>HNK: 22-16 A hátsó kerekek kopottak.</t>
  </si>
  <si>
    <t>SM-2024/1317</t>
  </si>
  <si>
    <t>HNK: 19 Meghajtómotorok szimmering cseréje,összeszerelése.Targonca összeszerelése.</t>
  </si>
  <si>
    <t>SM-2024/1321</t>
  </si>
  <si>
    <t>7 + 60km + 1</t>
  </si>
  <si>
    <t>7 + 200km + 2</t>
  </si>
  <si>
    <t>7 +60km + 1</t>
  </si>
  <si>
    <t>SM-2024/1433</t>
  </si>
  <si>
    <t>Takarítógép első keféi kopottak.</t>
  </si>
  <si>
    <t>Emelőgép akkucsere közben letilt.</t>
  </si>
  <si>
    <t>SM-2024/1432</t>
  </si>
  <si>
    <t>HNK:55 Emelőgép motortartó kunzul perselyei elkoptak, kiverődtek.Úthibák miatt.Rendellenes
használat során.</t>
  </si>
  <si>
    <t>SM-2024/1431</t>
  </si>
  <si>
    <t>CTS-2024/31</t>
  </si>
  <si>
    <t>CTS-2024/32</t>
  </si>
  <si>
    <t>CTS-2024/33</t>
  </si>
  <si>
    <t>CTS-2024/34</t>
  </si>
  <si>
    <t>CTS-2024/64</t>
  </si>
  <si>
    <t>CTS-2024/65</t>
  </si>
  <si>
    <t>CTS-2024/66</t>
  </si>
  <si>
    <t>CTS-2024/67</t>
  </si>
  <si>
    <t>CTS-2024/68</t>
  </si>
  <si>
    <t>CTS-2024/69</t>
  </si>
  <si>
    <t>CTS-2024/70</t>
  </si>
  <si>
    <t>4 villás adapter bekötése</t>
  </si>
  <si>
    <t>Fordító adapter felszerelése</t>
  </si>
  <si>
    <t>4 villás adapter felszerelése</t>
  </si>
  <si>
    <t>Adapter rögzítése oldalmozgás ellen</t>
  </si>
  <si>
    <t>Targonca villarács szivacsozás</t>
  </si>
  <si>
    <t>Akkumulátorok karbantartása,tisztítása.</t>
  </si>
  <si>
    <t>SM-2024/1486</t>
  </si>
  <si>
    <t>Akkumulátor újra savazása.</t>
  </si>
  <si>
    <t>SM-2024/1485</t>
  </si>
  <si>
    <t>SM-2024/1484</t>
  </si>
  <si>
    <t>Targonca bal oldali ajtózárja nem zár be.</t>
  </si>
  <si>
    <t>SM-2024/1483</t>
  </si>
  <si>
    <t>Első futómű kiszerelés, szétszerelés. Olaj kitisztítása</t>
  </si>
  <si>
    <t>SM-2024/1531</t>
  </si>
  <si>
    <t>SM-2024/1532</t>
  </si>
  <si>
    <t>Bal alsó lámpa letörött</t>
  </si>
  <si>
    <t>Négyvillás adapter leszerelés.</t>
  </si>
  <si>
    <t>SM-2024/1528</t>
  </si>
  <si>
    <t>SM-2024/1529</t>
  </si>
  <si>
    <t>Emelőgép motortartó konzol perselyei elkoptak, kiverődtek.Úthibák miatt</t>
  </si>
  <si>
    <t>SM-2024/1536</t>
  </si>
  <si>
    <t>SM-2024/162</t>
  </si>
  <si>
    <t>SM-2024/183</t>
  </si>
  <si>
    <t>SM-2024/519</t>
  </si>
  <si>
    <t>SM-2024/598</t>
  </si>
  <si>
    <t>SM-2024/943</t>
  </si>
  <si>
    <t>SM-2024/944</t>
  </si>
  <si>
    <t>SM-2024/945</t>
  </si>
  <si>
    <t>SM-2024/946</t>
  </si>
  <si>
    <t>SM-2024/1173</t>
  </si>
  <si>
    <t>SM-2024/1175</t>
  </si>
  <si>
    <t>SM-2024/1277</t>
  </si>
  <si>
    <t>SM-2024/1278</t>
  </si>
  <si>
    <t>SM-2024/1279</t>
  </si>
  <si>
    <t>SM-2024/1280</t>
  </si>
  <si>
    <t>SM-2024/1281</t>
  </si>
  <si>
    <t>SM-2024/1282</t>
  </si>
  <si>
    <t>SM-2024/1283</t>
  </si>
  <si>
    <t>SM-2024/1284</t>
  </si>
  <si>
    <t>SM-2024/1285</t>
  </si>
  <si>
    <t>SM-2024/1286</t>
  </si>
  <si>
    <t>SM-2024/1288</t>
  </si>
  <si>
    <t>SM-2024/541</t>
  </si>
  <si>
    <t>SM-2024/41</t>
  </si>
  <si>
    <t>Farkas Tibi</t>
  </si>
  <si>
    <t>Po Kifizetés</t>
  </si>
  <si>
    <t>Po Költség</t>
  </si>
  <si>
    <t>Gumilap felragasztása a homlokfalra + perselyek cseréje</t>
  </si>
  <si>
    <t>SM-2024/1676</t>
  </si>
  <si>
    <t>SM-2024/1679</t>
  </si>
  <si>
    <t>SM-2024/1677</t>
  </si>
  <si>
    <t>SM-2024/1753</t>
  </si>
  <si>
    <t>HNK Sopron 11. Olajfolt észlelhető a targonca alatt (Garanciális javítás SM-2024/1532 elvégzett munka miatt</t>
  </si>
  <si>
    <t>SM-2024/1754</t>
  </si>
  <si>
    <t>HNK: 22-11 A meghajtó motorokba belefolyt a hajtómű olaj.</t>
  </si>
  <si>
    <t>SM-2024/1781</t>
  </si>
  <si>
    <t>11 A meghajtó motorokba belefolyt a hajtómű olaj. (Első futómű összeszerelése. Emelőtorony felszerelése.)</t>
  </si>
  <si>
    <t>SM-2024/1791</t>
  </si>
  <si>
    <t>HNK: 11Első futómű összeszerelése,emelőoszlop felszerelése.</t>
  </si>
  <si>
    <t>HNK: Sopron. 22--05 Motorok, hajtómű szétszerelés.</t>
  </si>
  <si>
    <t>SM-2024/1864</t>
  </si>
  <si>
    <t>SM-2024/1865</t>
  </si>
  <si>
    <t>HNK: 22-08 A hajtóműbe belefolyik az olaj. (villanymotor megérkezett. Visszaszerelés)</t>
  </si>
  <si>
    <t>HNK: Sopron. 22--08 Motorok, hajtómű összeszerelés</t>
  </si>
  <si>
    <t>SM-2024/1861</t>
  </si>
  <si>
    <t>HNK: 22-05 A hajtóműbe belefolyik az olaj.</t>
  </si>
  <si>
    <t>SM-2024/1863</t>
  </si>
  <si>
    <t>HNK: 08 Targonca meghajtómotorjába olaj került.</t>
  </si>
  <si>
    <t>SM-2024/1869</t>
  </si>
  <si>
    <t>HNK:05 Targonca meghajtómotorjába olaj kerölt.</t>
  </si>
  <si>
    <t>SM-2024/1867</t>
  </si>
  <si>
    <t>HNK Sopron 22--05 Hajtómű összeszerelés.</t>
  </si>
  <si>
    <t>SM-2024/1905</t>
  </si>
  <si>
    <t>SM-2024/1903</t>
  </si>
  <si>
    <t>SM-2024/1923</t>
  </si>
  <si>
    <t>HNK: 52 Emelőgép villakerekéről levállt a futófelület,az úthibák miatt.Rendellenes használat
során.</t>
  </si>
  <si>
    <t>SM-2024/1922</t>
  </si>
  <si>
    <t>Targonca ellenőrzése.Feszültség átalakító csere.</t>
  </si>
  <si>
    <t>SM-2024/2067</t>
  </si>
  <si>
    <t>Emelőgép villakerekéről levállt a futófelület.Úthibák miatt.Rendellenes használat során.</t>
  </si>
  <si>
    <t>SM-2024/2065</t>
  </si>
  <si>
    <t>SM-2024/2063</t>
  </si>
  <si>
    <t>Emelőgép villakerekéről levállt a futófelület,villakerék tartó perselyei
kitöredeztek,tengely elkopott, az úthibák miatt.Rendellenes használat során.</t>
  </si>
  <si>
    <t>HNK 22-12 A hajtóműbe belefolyt az olaj.
Torony leszerelése, a hajtómű kiszerelése. A hajtómű teljes szétszerelése, lehajtás szimmeringek cseréje, majd visszaszerelés.</t>
  </si>
  <si>
    <t>SM-2024/2119</t>
  </si>
  <si>
    <t>HNK.Sopron 22--12 A meghajtó motorokba belefolyt a hajtómű olaj.</t>
  </si>
  <si>
    <t>SM-2024/2120</t>
  </si>
  <si>
    <t>HNK: 54 Emelőgép támasztókerék perselyei kiverődtek,csapágyak beálltak.Támasztókerék
futófelülete elkopott azúthibák miatt.Rendellenes használat során.</t>
  </si>
  <si>
    <t>SM-2024/2123</t>
  </si>
  <si>
    <t>HNK:12 Targonca bal oldali meghajtómotorba olaj került.</t>
  </si>
  <si>
    <t>SM-2024/2122</t>
  </si>
  <si>
    <t>Targonca kabinfűtése nem működik.</t>
  </si>
  <si>
    <t>SM-2024/2180</t>
  </si>
  <si>
    <t>Targonca meghajtomotorjába olaj került.</t>
  </si>
  <si>
    <t>SM-2024/2179</t>
  </si>
  <si>
    <t>Targonca meghajtomotorjába olaj került.(Emelőtorony és villák felszerelése.)</t>
  </si>
  <si>
    <t>SM-2024/2178</t>
  </si>
  <si>
    <t>Akkucserélő emelőgép menetirány kapcsolója beragad</t>
  </si>
  <si>
    <t>SM-2024/2258</t>
  </si>
  <si>
    <t>Fejpanel csere, beállítás
Akkumulátor csere</t>
  </si>
  <si>
    <t>SM-2024/1730</t>
  </si>
  <si>
    <t>Hidraulikaolaj szivárgás észlelhető.Fékolaj szivárgás volt, fékmunkahenger csere.+ hajtómű szétszerelés</t>
  </si>
  <si>
    <t>Szimering Csere</t>
  </si>
  <si>
    <t>Villanymotor ház furat</t>
  </si>
  <si>
    <t>Forgásérzékelő lemez furat</t>
  </si>
  <si>
    <t>OK</t>
  </si>
  <si>
    <t>X</t>
  </si>
  <si>
    <t>22-05 A hajtóműbe belefolyik az olaj.</t>
  </si>
  <si>
    <t>SM-2024/1994</t>
  </si>
  <si>
    <t>HNK: Sopron 22 -- 05 Targonca összeszerelése.</t>
  </si>
  <si>
    <t>SM-2024/2000</t>
  </si>
  <si>
    <t>HNK: 15 Targonca akkuajtó szenzorja megsérült.</t>
  </si>
  <si>
    <t>SM-2024/2001</t>
  </si>
  <si>
    <t>SM-2024/1997</t>
  </si>
  <si>
    <t>SM-2024/1999</t>
  </si>
  <si>
    <t>Nem emeli fel a teljes magasságot.</t>
  </si>
  <si>
    <t>HNK: Sopron 22 -- 15 Olajfolyás, + meghajtó motorok olaj ellenőrzés.</t>
  </si>
  <si>
    <t>SM-2024/1996</t>
  </si>
  <si>
    <t>HNK: 17 Targoncán nem működnek a kiegészítő berendezések</t>
  </si>
  <si>
    <t>HNK: 52 Emelőgép villakerekéről levállt a futófelület.Úthibák miatt.Rendellenes használat során.</t>
  </si>
  <si>
    <t>HNK: 22 Emelőgép villakerekéről levállt a futófelület,villakerék tartó perselyei
kitöredeztek,tengely elkopott, az úthibák miatt.Rendellenes használat során.</t>
  </si>
  <si>
    <t>HNK 22-12 A hajtóműbe belefolyt az olaj.</t>
  </si>
  <si>
    <t>HNK: 23 Targonca kabinfűtése nem működik.</t>
  </si>
  <si>
    <t>HNK: 13 Targonca meghajtomotorjába olaj került.</t>
  </si>
  <si>
    <t>HNK: 1 Akkucserélő emelőgép menetirány kapcsolója beragad.</t>
  </si>
  <si>
    <t>HNK 22-13 A hajtóműbe belefolyik az olaj.</t>
  </si>
  <si>
    <t>SM-2024/2315</t>
  </si>
  <si>
    <t>HNK. Soron 22--13 A meghajtó motorokba belefolyt a hajtómű olaj</t>
  </si>
  <si>
    <t>SM-2024/2314</t>
  </si>
  <si>
    <t>Targonca meghajtómotorjába olaj került.</t>
  </si>
  <si>
    <t>SM-2024/2343</t>
  </si>
  <si>
    <t>HNK 22-15 A hajtóműbe belefolyik az olaj.</t>
  </si>
  <si>
    <t>SM-2024/2389</t>
  </si>
  <si>
    <t>HNK. Sopron 22--15 A meghajtó motorkba belefolyt a hajtómű olaj.+ a rögzítőfék
munkahenger folyatja az olajat.</t>
  </si>
  <si>
    <t>SM-2024/2390</t>
  </si>
  <si>
    <t>HNK: 10 Targonca bal hátsó kerkcsapágya meghibásodott.</t>
  </si>
  <si>
    <t>SM-2024/2395</t>
  </si>
  <si>
    <t>HNK: 15 Targonca meghajtómotorjába olaj került.</t>
  </si>
  <si>
    <t>SM-2024/2391</t>
  </si>
  <si>
    <t>Targonca sárga villogója nem működik</t>
  </si>
  <si>
    <t>SM-2024/2489</t>
  </si>
  <si>
    <t>SM-2024/2487</t>
  </si>
  <si>
    <t>HNK: 01 Heinekenes targoncás kollégák az első kamerát és a jobb első lámpakonzolt elhajtották</t>
  </si>
  <si>
    <t>SM-2024/2485</t>
  </si>
  <si>
    <t>Targonca akkumulátora lemerült állapotban van.Belső tér koszos,szennyezett.</t>
  </si>
  <si>
    <t>SM-2024/2483</t>
  </si>
  <si>
    <t>Elvégezve</t>
  </si>
  <si>
    <t>A hajtóműbe belefolyik az olaj. Torony leszerelése, a hajtómű kiszerelése tisztítása.
A hajtómő teljes szétszerelése, szimmeringek cseréje.</t>
  </si>
  <si>
    <t>SM-2024/2517</t>
  </si>
  <si>
    <t>SM-2024/2516</t>
  </si>
  <si>
    <t>HNK. Sopron 22--06 A meghajtó motorkba belefolyt a hajtómű olaj.</t>
  </si>
  <si>
    <t>SM-2024/2518</t>
  </si>
  <si>
    <t>HNK: 15 Targonca meghajtómotorjába olaj került</t>
  </si>
  <si>
    <t>SM-2024/2535</t>
  </si>
  <si>
    <t>HNK: 06 Targonca meghajtómotorjába olaj került</t>
  </si>
  <si>
    <t>SM-2024/2534</t>
  </si>
  <si>
    <t>HNK 22-06 A hajtóműbe belefolyt az olaj.Az első futómű visszaszerelése, torony felszerelése.</t>
  </si>
  <si>
    <t>SM-2024/2568</t>
  </si>
  <si>
    <t>SM-2024/2571</t>
  </si>
  <si>
    <t>HNK: 15 Targoncán nem működik az első világítás.</t>
  </si>
  <si>
    <t>HNK: 06 Targonca meghajtómotorjába olaj került.</t>
  </si>
  <si>
    <t>SM-2024/2570</t>
  </si>
  <si>
    <t>Monitor</t>
  </si>
  <si>
    <t>Ok</t>
  </si>
  <si>
    <t>Nok</t>
  </si>
  <si>
    <t>Első Kamera</t>
  </si>
  <si>
    <t>Hátsó Kamera</t>
  </si>
  <si>
    <t>Magasságérzékelő megsérült</t>
  </si>
  <si>
    <t>SM-2024/2763</t>
  </si>
  <si>
    <t>Olajfolyás ismét. Garancia (Emelővillák és torony leszerelése.Első futómű szétszerelése.)</t>
  </si>
  <si>
    <t>Kerékagy csere</t>
  </si>
  <si>
    <t>SM-2024/2824</t>
  </si>
  <si>
    <t>Jeladótárcsák megmunkálása.Ablakkitámasztók felszerelése.</t>
  </si>
  <si>
    <t>SM-2024/2818</t>
  </si>
  <si>
    <t>HNK 153-as Jet. A bal oldali támasztókerék bak eltörött, a villaági perselyek kitüremkedtek.</t>
  </si>
  <si>
    <t>SM-2024/2806</t>
  </si>
  <si>
    <t>Ledugózva</t>
  </si>
  <si>
    <t>Akkumulátor rögzítő javítása.</t>
  </si>
  <si>
    <t>Vízfeltöltő cső repedés</t>
  </si>
  <si>
    <t>Olajfolyás ellenőrzés.</t>
  </si>
  <si>
    <t>szervízjelzés törlése</t>
  </si>
  <si>
    <t>2000 üzemóra esedékessé válik 5143-nál. Jelenlegi Üzemóra: 4906</t>
  </si>
  <si>
    <t>2000 üzemóra esedékessé válik 5670-nél  Jelenlegi Üzemóra: 5492</t>
  </si>
  <si>
    <t>2000 üzemóra esedékessé vált 5153-nál. Jelenlegi üzemóra: 5347</t>
  </si>
  <si>
    <t>2000 üzemóra esedékessé válik 2000-nél  Jelenlegi Üzemóra: 1847</t>
  </si>
  <si>
    <t>Villanymotor leégett.</t>
  </si>
  <si>
    <t>SM-2024/2869</t>
  </si>
  <si>
    <t>SM-2024/2871</t>
  </si>
  <si>
    <t>Első futómű összeszerelés, emelő oszlop felszerelés, hátsó gumik cseréje.</t>
  </si>
  <si>
    <t>Meghajtó motorok ellenőrzése.Jobb oldali motor olajjal szennyezett.További javítás szükséges.</t>
  </si>
  <si>
    <t>SM-2024/2872</t>
  </si>
  <si>
    <t>HNK: 11 Targonca meghajtómotorjába olaj került.</t>
  </si>
  <si>
    <t>SM-2024/2870</t>
  </si>
  <si>
    <t>SM-2024/2924</t>
  </si>
  <si>
    <t>Emelő szerkezet leszerelés, első futómű kiszerelés, szétszerelés, tisztítás, szimmeringek cseréje.</t>
  </si>
  <si>
    <t>Emelővilla és torony leszerelése.Első futómű ki és szétszerelése,szimmeringek cseréje.</t>
  </si>
  <si>
    <t>SM-2024/2926</t>
  </si>
  <si>
    <t>HNK. Sopron 22--11 Hátsó gumik kopottak</t>
  </si>
  <si>
    <t>SM-2024/3001</t>
  </si>
  <si>
    <t>HNK. Sopron 22-12 A bal ajtó lóg, nehezen záródik.Fülke csavarok ellenőrzése.</t>
  </si>
  <si>
    <t>SM-2024/3000</t>
  </si>
  <si>
    <t>HNK. Sopron 22-14 A meghajtó motorokba belefolyt a hajtómű olaj.</t>
  </si>
  <si>
    <t>SM-2024/2997</t>
  </si>
  <si>
    <t>Emelőgép ferdén emel.Emelőszerkezet perselyei kiverődtektengelyek eltörtek,,hátsó
keréktartó elrepedt.Az úthibák miatt.Rendellenes használat során.</t>
  </si>
  <si>
    <t>SM-2024/3002</t>
  </si>
  <si>
    <t>HNK: 14 Targonca meghajtómotorjába olaj került</t>
  </si>
  <si>
    <t>SM-2024/2999</t>
  </si>
  <si>
    <t>22--14 Hátsó kamera átkötése, úgy hogy hátramenet kapcsolásakor
automatikusan kapcsolódjon.</t>
  </si>
  <si>
    <t>SM-2024/3065</t>
  </si>
  <si>
    <t>HNK. Sopron 22--12 Jobb oldali meghajtó motor leégett.</t>
  </si>
  <si>
    <t>SM-2024/3060</t>
  </si>
  <si>
    <t>Emelővilla és torony leszerelése.Első futómű ki és szétszerelése.
Villanymotorok leadása szakműhelyben javításra.</t>
  </si>
  <si>
    <t>SM-2024/3062</t>
  </si>
  <si>
    <t>SM-2024/3119</t>
  </si>
  <si>
    <t>SM-2024/3122</t>
  </si>
  <si>
    <t>Bal első lámpatartó letörött</t>
  </si>
  <si>
    <t>Targoncán nem működik a hátsó kamera,bal első lámpatartó el van törve.Oldalazó görgő
zsírzógombja beletörött.</t>
  </si>
  <si>
    <t>SM-2024/3120</t>
  </si>
  <si>
    <t>SM-2024/3124</t>
  </si>
  <si>
    <t>SM-2024/1579</t>
  </si>
  <si>
    <t>SM-2024/1583</t>
  </si>
  <si>
    <t>HNK. Sopron 22-11 A hajtómű olaj belefolyt a meghajtó motorokba.</t>
  </si>
  <si>
    <t>SM-2024/1789</t>
  </si>
  <si>
    <t>HNK: Sopron  22- 08  Meghajtó motorok összeszerelése.</t>
  </si>
  <si>
    <t>FEJTŐ</t>
  </si>
  <si>
    <t>SM-2024/3181</t>
  </si>
  <si>
    <t>HNK. Sopron 22--12 Meghajtó motor összeszrelése.</t>
  </si>
  <si>
    <t>SM-2024/3180</t>
  </si>
  <si>
    <t>HNK. Sopron 22--08 A monitor képe irányba rakáskor becsíkozik. (Villamos hibakeresés, további elektromos javítás szükséges, a hiba továbbra is fenn áll.)</t>
  </si>
  <si>
    <t>HNK: 8 Targonca monitorja irányváltáskor csikoz.</t>
  </si>
  <si>
    <t>SM-2024/3198</t>
  </si>
  <si>
    <t>Targonca menetmotor hőmérséklet érérzékelő beállítása a megadott értékre.</t>
  </si>
  <si>
    <t>SM-2024/3195</t>
  </si>
  <si>
    <t>HNK:24 Targonca menetmotor hőmérséklet érérzékelő beállítása a megadott értékre.</t>
  </si>
  <si>
    <t>SM-2024/3194</t>
  </si>
  <si>
    <t>HNK:13 Targonca bal oldali ajtózárja letörött.ajtó nem záródik megfelelően.</t>
  </si>
  <si>
    <t>SM-2024/3193</t>
  </si>
  <si>
    <t>HNK:12 Targonca menetmotorja leégett.</t>
  </si>
  <si>
    <t>SM-2024/3185</t>
  </si>
  <si>
    <t>Pozi Kártyatartó</t>
  </si>
  <si>
    <t>Kell</t>
  </si>
  <si>
    <t>Nem kell!</t>
  </si>
  <si>
    <t>Balra kormányzásnál akad</t>
  </si>
  <si>
    <t>Bal első villaági kerék</t>
  </si>
  <si>
    <t>Vízfeltöltő kanna és állvány felszerelése</t>
  </si>
  <si>
    <t>HNK.Sopron PSH 201595 A töltő vízhiány miatt lekapcsol.</t>
  </si>
  <si>
    <t>SM-2024/3346</t>
  </si>
  <si>
    <t>SM-2024/3348</t>
  </si>
  <si>
    <t>SM-2024/3347</t>
  </si>
  <si>
    <t>SM-2024/3272</t>
  </si>
  <si>
    <t>Kerékprobléma</t>
  </si>
  <si>
    <t>Dc-Dc konverter elszállt. 20 Amperes helyett 15A biztosíték beépítve, a hűtőventilátor pozitiv szála kapott egy 10 amperes biztosítékot. Zárt burkolatú Konvertert kapott.</t>
  </si>
  <si>
    <t>kell</t>
  </si>
  <si>
    <t>Felszerelve</t>
  </si>
  <si>
    <t>Cserélendő</t>
  </si>
  <si>
    <t>Készleten</t>
  </si>
  <si>
    <t>Szükséges</t>
  </si>
  <si>
    <t>Robiék gépe hamar lemerül. Ell.</t>
  </si>
  <si>
    <t>SM-2024/3270</t>
  </si>
  <si>
    <t>Kormány ellenőrzés, az ablekmosó tömlő elvezetés áthelyezése.</t>
  </si>
  <si>
    <t>HNK:52 Emelőgép villakerekéről levállt a futófelület,keréktartó perselyei kitöredeztek,az úthibák
miatt.Rendellenes használat során.</t>
  </si>
  <si>
    <t>HNK: Fejtőben lévő akkumulátor vítfeltöltő tartály eltünt</t>
  </si>
  <si>
    <t>HNK: 53 Emelőgép bal oldali támasztókereke kitörött, az úthibák miatt.Rendellenes használat
során.</t>
  </si>
  <si>
    <t>SM-2024/3432</t>
  </si>
  <si>
    <t>Targoncán nem működnek a12 v-os kiegészítő berendezések.Meghajtómotor
hőmérséklet állítás.</t>
  </si>
  <si>
    <t>SM-2024/3435</t>
  </si>
  <si>
    <t>Meghajtómotor hőmérsékletérzékelő beállítása a megadott értékre.</t>
  </si>
  <si>
    <t>SM-2024/3436</t>
  </si>
  <si>
    <t>SM-2024/3437</t>
  </si>
  <si>
    <t>SM-2024/3438</t>
  </si>
  <si>
    <t>SM-2024/3439</t>
  </si>
  <si>
    <t>SM-2024/3440</t>
  </si>
  <si>
    <t>SM-2024/3441</t>
  </si>
  <si>
    <t>SM-2024/3442</t>
  </si>
  <si>
    <t>HNK: 53 Emelőgép bal oldali támasztókereke kitörött, az úthibák miatt.Rendellenes használat során.
Támasztókerék konzol(csapágyház)összeszerelése,gép összeszerelése.Hűtőventillátor javítása.</t>
  </si>
  <si>
    <t>SM-2024/3491</t>
  </si>
  <si>
    <t>SM-2024/3492</t>
  </si>
  <si>
    <t>Targonca első szélvédője kitört,bal oldali első lámpatartó letört.</t>
  </si>
  <si>
    <t>SM-2024/3493</t>
  </si>
  <si>
    <t>SM-2024/3494</t>
  </si>
  <si>
    <t>Akkutöltők csatlakozóinak kenése. Töltéscsatlakozók kenése,ellenőrzése.G48-1--4-ig.
G80-1--10-ig.
K80-1--10-ig.</t>
  </si>
  <si>
    <t>HNK: Emelőgép támasztókerekéről levállt a futófelület,keréktertó perselyek kiverődtek,elkoptak.Emelőtengelyek eltörtek.Úthibák
következtében.Rendellenes használat során.
Támasztókerék,villakerék perselyek,támasztókerék perselyek,görgők cseréje.Emelőtengely csere.</t>
  </si>
  <si>
    <t>SM-2024/3654</t>
  </si>
  <si>
    <t>Emelőgép akkukiemelő szerkezete eltörött.</t>
  </si>
  <si>
    <t>SM-2024/3649</t>
  </si>
  <si>
    <t>Akkumulátor elszállítva.7881526003</t>
  </si>
  <si>
    <t>Elkészült</t>
  </si>
  <si>
    <t>Tűzoltó készülék</t>
  </si>
  <si>
    <t>Nincs se poróltó, se tartó</t>
  </si>
  <si>
    <t>Fejtő</t>
  </si>
  <si>
    <t>Típus</t>
  </si>
  <si>
    <t>Felszerelés Időpontja</t>
  </si>
  <si>
    <t>Üzemóra Felszereléskor</t>
  </si>
  <si>
    <t>Jelenlegi Üzemóra</t>
  </si>
  <si>
    <t>Gépszám</t>
  </si>
  <si>
    <t>Eltelt üzemóra</t>
  </si>
  <si>
    <t>ADVANCE Solid-Suparida 18x7-8/4.33</t>
  </si>
  <si>
    <t>ATIRE 
RUNNERSOLID 18x7-8/4.33</t>
  </si>
  <si>
    <t>Targonca hajtműjéből fémes hang hallható</t>
  </si>
  <si>
    <t>SM-2024/3705</t>
  </si>
  <si>
    <t>Akkumulátor tálca eldeformálódott</t>
  </si>
  <si>
    <t>SM-2024/3704</t>
  </si>
  <si>
    <t>SM-2024/3703</t>
  </si>
  <si>
    <t>HNK: 22 Targonca hátsó munkalámpája letört.</t>
  </si>
  <si>
    <t>SM-2024/3702</t>
  </si>
  <si>
    <t>HNK: 13 Targonca akkucsatlakozó fogantyúja letörött.Akkufedél elgörbült.Ablakreteszelő
elgörbült.</t>
  </si>
  <si>
    <t>SM-2024/3725</t>
  </si>
  <si>
    <t>HNK. Sopron 22--12 Hajtómű összeszrelés.Emelő oszlop felszerelés.</t>
  </si>
  <si>
    <t>Torony leszerelés, első futómű kiszerelés,szétbontás, tisztítás, csapágyak, szimmeringek cseréje, összeszerelés.</t>
  </si>
  <si>
    <t>SM-2024/3777</t>
  </si>
  <si>
    <t>Menetmotor csere.Első hid összeszerelése.Emlőtorony és villák felszerelése.</t>
  </si>
  <si>
    <t>SM-2024/3732</t>
  </si>
  <si>
    <t>Emelővillák,emelőtorony leszerelése,első futómű szetszerelése,majd targonca összeszerelése.Üzemképes.</t>
  </si>
  <si>
    <t>SM-2024/3781</t>
  </si>
  <si>
    <t>Sopron 22-13 Akkumlátor tálca görgőtartő törött.</t>
  </si>
  <si>
    <t>SM-2024/3895</t>
  </si>
  <si>
    <t>Targonca alatt olajfolyás észlelhető.+ülésfordító beszerelés</t>
  </si>
  <si>
    <t>SM-2024/3894</t>
  </si>
  <si>
    <t>SM-2024/3893</t>
  </si>
  <si>
    <t>HNK.Sopron 22--21 Olajfolyás + ülésfordító beszerelés.</t>
  </si>
  <si>
    <t>HNK: 16/1-es akkumulátor viztöltéskor engedi a deszt vizet.</t>
  </si>
  <si>
    <t>SM-2024/3961</t>
  </si>
  <si>
    <t>SM-2024/3960</t>
  </si>
  <si>
    <t>Emelőgép ellenőrzése.Jelenlétemkor a hibát nem produkálta.Üzemképes.</t>
  </si>
  <si>
    <t>Erjesztő//PSP-244403</t>
  </si>
  <si>
    <t>Emelőgép vízfeltöltője megrongálódott.Akkucsatlakozó fogantyúja eltörött.</t>
  </si>
  <si>
    <t>SM-2024/3959</t>
  </si>
  <si>
    <t>HNK: Cserélő 2 Emelőgép meghajtókereke csúszkál.</t>
  </si>
  <si>
    <t>SM-2024/3958</t>
  </si>
  <si>
    <t>Cserélő 1 Emelőgép nem emel.</t>
  </si>
  <si>
    <t>SM-2024/3956</t>
  </si>
  <si>
    <t>HNK: 54 Emelőgép meghejtókerekéről levállt a futófelület az úthibák miatt.Rendellenes használat
során.</t>
  </si>
  <si>
    <t>SM-2024/3953</t>
  </si>
  <si>
    <t>Toyota vontató pótkocsi felső zártszelvény hossztartója letörött</t>
  </si>
  <si>
    <t>SM-2024/4023</t>
  </si>
  <si>
    <t>HNK:Takarítógép nem szívja fel a koszt.Emelőberendezés pedálja nem működik.</t>
  </si>
  <si>
    <t>SM-2024/4021</t>
  </si>
  <si>
    <t>SM-2024/4024</t>
  </si>
  <si>
    <t>1.6 Jetsky Pótló</t>
  </si>
  <si>
    <t>Az akku pár méter megtétele után erős sav szagot</t>
  </si>
  <si>
    <t>Első szélvédő csere.</t>
  </si>
  <si>
    <t>SM-2024/4243</t>
  </si>
  <si>
    <t>SM-2024/4242</t>
  </si>
  <si>
    <t>A csapok és perselyek a nem megfelelő útviszonyok miatt törtek el.</t>
  </si>
  <si>
    <t>A hajtómő olajcsere, alkalmával ellenőrizve lett, hogy a meghajtó motorokba nem került--e hajtómű olaj.
Sajnos a bal oldaliba érzékelhető, a jobb oldaliba egy kicsivel több olaj található.
2024. 01. 17.-én lett szimmering cserélve.</t>
  </si>
  <si>
    <t>SM-2024/4241</t>
  </si>
  <si>
    <t>Első futómű ellenőrzés, Mindkét oldali hajtómű olajcsere, kerékagy csapágyak kenése, Féktárcsák ellenőrzése.
A hang csökkent, ha továbbra erősödne további javítás szükséges.</t>
  </si>
  <si>
    <t>SM-2024/4237</t>
  </si>
  <si>
    <t>HNK. Sopron 22-22 Kétfele nyíló fülkeajtó középső alsó retsze törött.</t>
  </si>
  <si>
    <t>SM-2024/4234</t>
  </si>
  <si>
    <t>HNK. Sopron 22-08 A kormány hotjáték nagy, kormány összekötők kopottak.</t>
  </si>
  <si>
    <t>SM-2024/4232</t>
  </si>
  <si>
    <t>HNK. Sopron 22-23 Forgató adapter leszerelés, hosszú villa felszerelés. A HEINEKEN kérésére</t>
  </si>
  <si>
    <t>SM-2024/4230</t>
  </si>
  <si>
    <t>Szélvédő kiszerelése,új szélvédő beszerelése</t>
  </si>
  <si>
    <t>SM-2024/4249</t>
  </si>
  <si>
    <t>Szerviz elvégezve.Hajtóműolaj csere,Hidraulikaolaj csere.Álltalános ellenőrzés.Zsírzás kenés.
Hajtóműben szimmeringcsere utáni olaj ellenőrzés.Sajnos mindkét oldalon olajszivárgás látható,egészen minimálisan.</t>
  </si>
  <si>
    <t>SM-2024/4245</t>
  </si>
  <si>
    <t>HNK: 02 Emelőgép ferdén emel,emelővillák lógnak.Emelőtengejek töröttek,perselyek
kitöredeztekkeréktartó villák elkoptak,az úthibák miatt.Rendellenes használat során.</t>
  </si>
  <si>
    <t>SM-2024/4244</t>
  </si>
  <si>
    <t>HNK:Futómű ellenőrzése,külső kerékcsapágyak kenése.Hajtómű olaj cseréje.Fékek ellenőrzése.Hang csendesebb,további ellenőrzés
szükséges.</t>
  </si>
  <si>
    <t>SM-2024/4240</t>
  </si>
  <si>
    <t>HNK: Karcher takarítógép Szeméttartó doboz,emelőbovdene megszorult.</t>
  </si>
  <si>
    <t>SM-2024/4239</t>
  </si>
  <si>
    <t>HNK: 54 Emelőgép villakerekéről levállt a futófelület,az úthibák miatt.Rendellenes használat
során.</t>
  </si>
  <si>
    <t>SM-2024/4238</t>
  </si>
  <si>
    <t>HNK: 08 Targonca kormányholtjátéka nagy.</t>
  </si>
  <si>
    <t>SM-2024/4235</t>
  </si>
  <si>
    <t>HNK: 23 Fordító adapter csere.Heineken kérésre.</t>
  </si>
  <si>
    <t>SM-2024/4233</t>
  </si>
  <si>
    <t>HNK: 16/2-es akkumulátor tartó tálca görgőtartói eltörtek.</t>
  </si>
  <si>
    <t>SM-2024/4315</t>
  </si>
  <si>
    <t>HNK: 02 Emelőgép kormányszerkezete közben akad,a kezelő elmondása szerint.</t>
  </si>
  <si>
    <t>SM-2024/4313</t>
  </si>
  <si>
    <t>HNK: 05 Emelőgép meghajtókerekéről levállt a futófelület,az úthibák miatt.Rendellenes használat
során.</t>
  </si>
  <si>
    <t>SM-2024/4311</t>
  </si>
  <si>
    <t>Meghajtómotorok ellenőrzése.Motorokba jelen pillanatba nem találtam olajat.
Esedékes szerviz elvégezve.Zsírzás kenés,álltalános ellenőrzés.Hajtóműolaj,hidraulikaolaj+szűrő csere</t>
  </si>
  <si>
    <t>SM-2024/4374</t>
  </si>
  <si>
    <t>Meghajtómotor ellenőrzése.Mindkét oldali motorba olaj nyoma látható.
Esedékes szerviz elvégezve.Zsírzás kenés,álltalános ellenőrzés.Hjtóműolaj,hidraulikaolaj+szűrő csere.</t>
  </si>
  <si>
    <t>SM-2024/4372</t>
  </si>
  <si>
    <t>SM-2024/4488</t>
  </si>
  <si>
    <t>HNK. Sopron 22--08 Négyvillás adapter felszerelés. Heineken kérésére.</t>
  </si>
  <si>
    <t>SM-2024/4503</t>
  </si>
  <si>
    <t>HNK: 19 Targonca ablakreteszelője szétesett.</t>
  </si>
  <si>
    <t>A leengedő gomb nem működik.</t>
  </si>
  <si>
    <t>SM-2024/4487</t>
  </si>
  <si>
    <t>HNK:08 4 villás adapter felszerelése,heineken kérésére.</t>
  </si>
  <si>
    <t>SM-2024/4502</t>
  </si>
  <si>
    <t>HNK. Sopron 22--18 Hátsó gumik kopottak,töredezettek.</t>
  </si>
  <si>
    <t>SM-2024/4486</t>
  </si>
  <si>
    <t>HNK. Sopron 22--15 A gép letilt, kritikus hiba ! kormányszenzor hiba.
Kormányszenzor kiszerelés, vezeték javítás, visszaszerelés.</t>
  </si>
  <si>
    <t>SM-2024/4485</t>
  </si>
  <si>
    <t>HNK. Sopron. 22--05 A hajtómű olaj belefolyik a meghajtó motorba. Szakértői vizsgálat.</t>
  </si>
  <si>
    <t>SM-2024/4569</t>
  </si>
  <si>
    <t>HNK: 05 Hajtóműólaj belekerül a meghajtómotorba,szakértői vizsgálat.</t>
  </si>
  <si>
    <t>SM-2024/4570</t>
  </si>
  <si>
    <t>jobb oldali ajtó retesz csere</t>
  </si>
  <si>
    <t>akkumulátor csere közben vezetékek belógnak az akkumulátor térbe</t>
  </si>
  <si>
    <t>ablakelhúzó javítás</t>
  </si>
  <si>
    <t>Usb Töltő beszerelése, Heineken kérésére</t>
  </si>
  <si>
    <t>2000 üzemórás szerviz esedékessé válik, 3988-nál</t>
  </si>
  <si>
    <t>SM-2024/4707</t>
  </si>
  <si>
    <t>SM-2024/4706</t>
  </si>
  <si>
    <t>SM-2024/4705</t>
  </si>
  <si>
    <t>Targonca akkumulátorok koszosak szennyezettek.</t>
  </si>
  <si>
    <t>HNK:16 Tetőlámpa szerelés.</t>
  </si>
  <si>
    <t>HNK:Meghajtómotorok ellenőrzése során,a bal oldali motor száraz, jobb oldali motor olajos.Bontás,tisztítás szükséges.
Olajak ellenőrzése,zsírzás kenés.Álltalános ellenőrzés.</t>
  </si>
  <si>
    <t>SM-2024/4783</t>
  </si>
  <si>
    <t>Emelőgép meghajtókerekéről levállt a futófelület,keréktartó perselyek kitöredeztek az
úthibák miatt.Rendellenes használat során.</t>
  </si>
  <si>
    <t>SM-2024/4781</t>
  </si>
  <si>
    <t>HNK. Sopron 22--18 A targonca jobb oldali motorjába hajtómű olaj került</t>
  </si>
  <si>
    <t>SM-2024/4935</t>
  </si>
  <si>
    <t>Targonca jobb oldali meghajtómotorjába olaj került.</t>
  </si>
  <si>
    <t>SM-2024/4936</t>
  </si>
  <si>
    <t>SM-2024/4933</t>
  </si>
  <si>
    <t>HNK: 18 Targonca jobb oldali meghajtómotorjába olaj került.</t>
  </si>
  <si>
    <t>SM-2024/4934</t>
  </si>
  <si>
    <t>A targonca jobb oldali motorjába hajtómű olaj került</t>
  </si>
  <si>
    <t>SM-2024/5019</t>
  </si>
  <si>
    <t>Targonca bal ajtóreteszelője meghibásodott.</t>
  </si>
  <si>
    <t>HNK: 01 Emelőgép emelővilla tartószerkezete eltörött,az úthibák miatt.Rendellenes használat
során.</t>
  </si>
  <si>
    <t>SM-2024/5017</t>
  </si>
  <si>
    <t>SM-2024/5016</t>
  </si>
  <si>
    <t>HNK: 06 Targonvavilla felső éle rongálja az árút.</t>
  </si>
  <si>
    <t>SM-2024/5134</t>
  </si>
  <si>
    <t>Targonca menetmotor paraméterek ellenőrzése,beállítása.
Beállítás a kivánt értékre,a gyár ajánlásával.</t>
  </si>
  <si>
    <t>SM-2024/5674</t>
  </si>
  <si>
    <t>Targonca garanciális akkuk cellacseréi.</t>
  </si>
  <si>
    <t>SM-2024/5675</t>
  </si>
  <si>
    <t>HNK: 23 Targonca bal ajtója lóg,jobb ajtó csavarjai elvesztek.</t>
  </si>
  <si>
    <t>SM-2024/5559</t>
  </si>
  <si>
    <t>HNK:1cserélő.Emelőgép menetszabályzója szorul.</t>
  </si>
  <si>
    <t>SM-2024/5561</t>
  </si>
  <si>
    <t>HNK: 03 Targonca Szervize esedékessé vállt.2000-es.</t>
  </si>
  <si>
    <t>SM-2024/5562</t>
  </si>
  <si>
    <t>HNK:23/1-es akkumulátor,egyik cellája hibás.</t>
  </si>
  <si>
    <t>SM-2024/5563</t>
  </si>
  <si>
    <t>HNK. Sopron 22--23 23/1 akkumlátor cella csere.</t>
  </si>
  <si>
    <t>SM-2024/5560</t>
  </si>
  <si>
    <t>HNK. Sopron 22--01 Az akkufedél zsanér törött.</t>
  </si>
  <si>
    <t>SM-2024/5557</t>
  </si>
  <si>
    <t>HNK:18 Targonca meghajtómotorjába olaj került.</t>
  </si>
  <si>
    <t>SM-2024/5462</t>
  </si>
  <si>
    <t>HNK:Raklapemelő/béka/ fékbovden elszakadt.Heineken kérésére jav szükséges</t>
  </si>
  <si>
    <t>SM-2024/5464</t>
  </si>
  <si>
    <t>SM-2024/5467</t>
  </si>
  <si>
    <t>HNK. Sporon 22--18 A motorba belefoly a hajtómű olaj.</t>
  </si>
  <si>
    <t>SM-2024/5461</t>
  </si>
  <si>
    <t>HNK. Sporon 22--03 Bal oldali oldaltámasz letörött.</t>
  </si>
  <si>
    <t>SM-2024/5463</t>
  </si>
  <si>
    <t>HNK. Sporon 22--09 Az akku nem cserélhető.</t>
  </si>
  <si>
    <t>SM-2024/5465</t>
  </si>
  <si>
    <t>HNK:Karcher takaríttógép jobb első keféje leszakadt.</t>
  </si>
  <si>
    <t>SM-2024/5468</t>
  </si>
  <si>
    <t>SM-2024/5430</t>
  </si>
  <si>
    <t>HNK. Sporon 22--04 Az ablaktörlő nem működik</t>
  </si>
  <si>
    <t>SM-2024/5342</t>
  </si>
  <si>
    <t>HNK. Sporon 22-- 05 Emelő villa vége megrepedt.</t>
  </si>
  <si>
    <t>SM-2024/5343</t>
  </si>
  <si>
    <t>SM-2024/5347</t>
  </si>
  <si>
    <t>HNK: 05 Emelőgép támasztókerék csapágyháza eltörött az úthibák miatt.Rendellenes használat
során.</t>
  </si>
  <si>
    <t>SM-2024/5344</t>
  </si>
  <si>
    <t>SM-2024/5348</t>
  </si>
  <si>
    <t>HNK:02 Akkumulátor cserélő emelés közben letilt.</t>
  </si>
  <si>
    <t>SM-2024/5351</t>
  </si>
  <si>
    <t>HNK:02 Akkucserélő meghajtókereke csúszkál,menet közben.Támkerék csapágya szétesett, az
úthibák miatt.Rendellenes használat során.</t>
  </si>
  <si>
    <t>SM-2024/5286</t>
  </si>
  <si>
    <t>HNK: 18 meghajtómotor ellenőrzés.Mindkét oldali kormányösszekötők kotyognak.</t>
  </si>
  <si>
    <t>SM-2024/5288</t>
  </si>
  <si>
    <t>HNK: 05 meghajtómotor ellenőrzés.Mindkét oldali kormányösszekötők kotyognak.</t>
  </si>
  <si>
    <t>SM-2024/5289</t>
  </si>
  <si>
    <t>HNK: Takarítógép menet közben ropogó hangot hallat</t>
  </si>
  <si>
    <t>SM-2024/5127</t>
  </si>
  <si>
    <t>HNK:Toyota vontató kipufogó csöve elgörbült,gázpalack tartó eltörött.</t>
  </si>
  <si>
    <t>SM-2024/5128</t>
  </si>
  <si>
    <t>HNK: 10/1-es akku csatlakozó fogantyúja letörött.</t>
  </si>
  <si>
    <t>SM-2024/5129</t>
  </si>
  <si>
    <t>HNK:04 Targonca kártyatartója eltörött.Karbantartást igényel</t>
  </si>
  <si>
    <t>SM-2024/5130</t>
  </si>
  <si>
    <t>HNK: 15 USB töltő beszerelés.</t>
  </si>
  <si>
    <t>SM-2024/5133</t>
  </si>
  <si>
    <t>SZOFTVER FRISSÍTÉS</t>
  </si>
  <si>
    <t>DÁTUM</t>
  </si>
  <si>
    <t>HNK: 02. Emelőgép motortartó konzolból kiverődtek a perselyek.Úthibák miatt.Rendellenes
használat során.</t>
  </si>
  <si>
    <t>SM-2024/5725</t>
  </si>
  <si>
    <t>HNK:17 Targonca hátsó gumiabroncsai kitöredeztek. (Gumiabroncs, szuperelasztikus 18x7-8/4.33 ATIRE N31236)</t>
  </si>
  <si>
    <t>SM-2024/5722</t>
  </si>
  <si>
    <t>HNK:15 Targonca akkurögzítője letörött.</t>
  </si>
  <si>
    <t>SM-2024/5719</t>
  </si>
  <si>
    <t>HNK: 22. USB csatlakozó szerelés.</t>
  </si>
  <si>
    <t>SM-2024/5717</t>
  </si>
  <si>
    <t>HNK. Sopron Cserélő 00022 Akkumlátor hamar lemerül. nem töltődik fel.</t>
  </si>
  <si>
    <t>SM-2024/5723</t>
  </si>
  <si>
    <t>HNK. Sopron 22--17 Hátsó gumik repedezettek.</t>
  </si>
  <si>
    <t>SM-2024/5718</t>
  </si>
  <si>
    <t>HNK. Sopron 22--16 Oldalmozgató felső csúszóbetét eltörött, kiesett.</t>
  </si>
  <si>
    <t>SM-2024/5716</t>
  </si>
  <si>
    <t>HNK. Sopron 22--21 USB aljzat felszerelés.</t>
  </si>
  <si>
    <t>SM-2024/5715</t>
  </si>
  <si>
    <t>HNK. Sopron 22 -- 03 Ferdén emel , nyikorog,csikorog.</t>
  </si>
  <si>
    <t>SM-2024/5771</t>
  </si>
  <si>
    <t>HNK. Sopron 22 -- 13 A hátsó gumik repedezettek.</t>
  </si>
  <si>
    <t>SM-2024/5769</t>
  </si>
  <si>
    <t>Menetmotorok gyorsulás és fékezés beállítása a megadott értékre.</t>
  </si>
  <si>
    <t>SM-2024/5794</t>
  </si>
  <si>
    <t>SM-2024/5793</t>
  </si>
  <si>
    <t>SM-2024/5791</t>
  </si>
  <si>
    <t>SM-2024/5790</t>
  </si>
  <si>
    <t>SM-2024/5789</t>
  </si>
  <si>
    <t>SM-2024/5787</t>
  </si>
  <si>
    <t>SM-2024/5785</t>
  </si>
  <si>
    <t>SM-2024/5784</t>
  </si>
  <si>
    <t>SM-2024/5783</t>
  </si>
  <si>
    <t>HNK: 08 Targonca menetotor beállítása.</t>
  </si>
  <si>
    <t>HNK: 12 Targonca menetotor beállítása.</t>
  </si>
  <si>
    <t>HNK: 13 Targonca menetotor beállítása.</t>
  </si>
  <si>
    <t>HNK: 14 Targonca menetotor beállítása.</t>
  </si>
  <si>
    <t>HNK: 16 Targonca menetotor beállítása.</t>
  </si>
  <si>
    <t>HNK: 18 Targonca menetotor beállítása.</t>
  </si>
  <si>
    <t>HNK: 20 Targonca menetotor beállítása.</t>
  </si>
  <si>
    <t>SM-2024/5782</t>
  </si>
  <si>
    <t>HNK: 18 Targonca ablakrerteszelője szétesett.</t>
  </si>
  <si>
    <t>SM-2024/5781</t>
  </si>
  <si>
    <t>HNK13:Hátsó gumiabroncs csere.(Tétel kiírás)</t>
  </si>
  <si>
    <t>SM-2024/5780</t>
  </si>
  <si>
    <t>HNK: 01 Emelőgép kerekeiről a futófelület levállt.Az úthibák miatt.Rendellenes használat során.
Villakerekek és támasztókerék csere.</t>
  </si>
  <si>
    <t>SM-2024/5779</t>
  </si>
  <si>
    <t>SM-2024/6059</t>
  </si>
  <si>
    <t>SM-2024/6058</t>
  </si>
  <si>
    <t>Gázrugó helyreállítás, oldaltámasz hegesztés</t>
  </si>
  <si>
    <t>SM-2024/5926</t>
  </si>
  <si>
    <t>HNK. Sopron 22--08 A boruló keret csavarok nyikorognak, bal ajtó középső alsó zár törött.</t>
  </si>
  <si>
    <t>SM-2024/5925</t>
  </si>
  <si>
    <t>SM-2024/5924</t>
  </si>
  <si>
    <t>Sopron 22--08 A négyvillás adapter leszerelés. A HEINEKEN kérésére.</t>
  </si>
  <si>
    <t>HNK. Sopron 22--11 A hátsó gumik megfordultak a felnin.</t>
  </si>
  <si>
    <t>SM-2024/5923</t>
  </si>
  <si>
    <t>HNK. Sopron 22--07 komissiózó Vízfeltöltő cső lyukas.</t>
  </si>
  <si>
    <t>SM-2024/6040</t>
  </si>
  <si>
    <t>HNK: 08 Targonca PDS kamera szoftverfrissítése.Heineken kérésére.</t>
  </si>
  <si>
    <t>HNK: 06 Targonca PDS kamera szoftverfrissítése.Heineken kérésére.</t>
  </si>
  <si>
    <t>HNK: 16 Targonca kártyatartója eltörött.</t>
  </si>
  <si>
    <t>SM-2024/6150</t>
  </si>
  <si>
    <t>SM-2024/6148</t>
  </si>
  <si>
    <r>
      <t>H</t>
    </r>
    <r>
      <rPr>
        <b/>
        <sz val="11"/>
        <color theme="1"/>
        <rFont val="Calibri"/>
        <family val="2"/>
        <charset val="238"/>
        <scheme val="minor"/>
      </rPr>
      <t>NK: Karcher takarítógép nem söpör.Söprő asztal lóg.</t>
    </r>
  </si>
  <si>
    <t>HNK:HNK: 17 Bal oldali ablakrögzítő szétesett.</t>
  </si>
  <si>
    <t>SM-2024/6146</t>
  </si>
  <si>
    <t>HNK:03 Emelőgép villakerék perselyei kitöredeztek.Az úthibák miatt.Rendelenes használat
során.Jelzökürt nem működik.Hűttőventillátor nem működik.</t>
  </si>
  <si>
    <t>SM-2024/6145</t>
  </si>
  <si>
    <t>HNK: 19 Targonca menet küzben letilt.</t>
  </si>
  <si>
    <t>SM-2024/6240</t>
  </si>
  <si>
    <t>SM-2024/6238</t>
  </si>
  <si>
    <t>HNK: 08 Targonca emelővillája rongálja az árút.</t>
  </si>
  <si>
    <t>HNK: Emelőgép kerekéről levállt a futófelület, kerékcsapágyak szétestek.Heineken kérésére
javítva.Palackfejtőé.</t>
  </si>
  <si>
    <t>SM-2024/6235</t>
  </si>
  <si>
    <t>2024.05.08 + 2024.05.17</t>
  </si>
  <si>
    <t>SM-2024/6305</t>
  </si>
  <si>
    <t>SM-2024/6304</t>
  </si>
  <si>
    <t>SM-2024/6303</t>
  </si>
  <si>
    <t>SM-2024/6302</t>
  </si>
  <si>
    <t>HNK: 01 Emelőgép meghajtókerekéről levállt a fotófelület.Az úthibák miatt.Rendellenes
használat során.Deréktámasz letörött.</t>
  </si>
  <si>
    <t>SM-2024/6309</t>
  </si>
  <si>
    <t>HNK: 10 Targonca PDS kamera szoftverfrissítése.Heineken kérésére.</t>
  </si>
  <si>
    <t>HNK: 07 Targonca PDS kamera szoftverfrissítése.Heineken kérésére.</t>
  </si>
  <si>
    <t>HNK: 05 Targonca PDS kamera szoftverfrissítése.Heineken kérésére.</t>
  </si>
  <si>
    <t>HNK:04 Emelőgép villakerekéről levállt a futófelület, az úthibák miatt.Rendellenes használat
során.</t>
  </si>
  <si>
    <t>SM-2024/6344</t>
  </si>
  <si>
    <t>SM-2024/6348</t>
  </si>
  <si>
    <t>HNK:02 Emelőgép frdén emel.Villaperselyek kitöredeztek, villatengely eltörött,az úthibák
miatt.Rendellenes használat során.</t>
  </si>
  <si>
    <t>HNK:11 PDS kamera szoftverfrissítése.Heineken kérésére.</t>
  </si>
  <si>
    <t>SM-2024/6351</t>
  </si>
  <si>
    <t>HNK:12 PDS kamera szoftverfrissítése.Heineken kérésére.</t>
  </si>
  <si>
    <t>SM-2024/6352</t>
  </si>
  <si>
    <t>HNK:13 PDS kamera szoftverfrissítése.Heineken kérésére.</t>
  </si>
  <si>
    <t>SM-2024/6353</t>
  </si>
  <si>
    <t>HNK:14 PDS kamera szoftverfrissítése.Heineken kérésére.</t>
  </si>
  <si>
    <t>SM-2024/6355</t>
  </si>
  <si>
    <t>SM-2024/6404</t>
  </si>
  <si>
    <t>HNK:18 PDS kamera szoftverfrissítése.Heineken kérésére.</t>
  </si>
  <si>
    <t>HNK:17 PDS kamera szoftverfrissítése.Heineken kérésére.</t>
  </si>
  <si>
    <t>SM-2024/6403</t>
  </si>
  <si>
    <t>HNK:16 PDS kamera szoftverfrissítése.Heineken kérésére.</t>
  </si>
  <si>
    <t>SM-2024/6401</t>
  </si>
  <si>
    <t>SM-2024/6399</t>
  </si>
  <si>
    <t>HNK:15 PDS kamera szoftverfrissítése.Heineken kérésére.</t>
  </si>
  <si>
    <t>HNK:01 Emelőgép végálláskapcsolója nemm működik,túlemel.</t>
  </si>
  <si>
    <t>SM-2024/6398</t>
  </si>
  <si>
    <t>HNK: Emelőgép támasztókerekéről levállt a futófelület.Az úthibák miatt.Rendellenes használat
során.</t>
  </si>
  <si>
    <t>SM-2024/6396</t>
  </si>
  <si>
    <t>HNK:06 Targonca villakeret magasítója letörött.</t>
  </si>
  <si>
    <t>SM-2024/6490</t>
  </si>
  <si>
    <t>HNK:24 Targonca első gumiabroncsai repedezettek.</t>
  </si>
  <si>
    <t>SM-2024/6489</t>
  </si>
  <si>
    <t>HNK: Fejtőben lévő emelőgép akkumulátorja lemerült.(Akkumulátor ellenőrzése.Akkuvittel feltöltése.Érkezésemkor az akku teljesen lemerült állapotban volt.
Akkut feltettem tölteni.Akkutöltő töltést jelez.)</t>
  </si>
  <si>
    <t>SM-2024/6488</t>
  </si>
  <si>
    <t>HNK: 05 Targonca bal hátsó kerékcsapágya szétesett.</t>
  </si>
  <si>
    <t>SM-2024/6485</t>
  </si>
  <si>
    <t>HNK: Emelőgép villakerekéről levállt a futófelület..Az úhibák miatt.Rendellenes használat során.</t>
  </si>
  <si>
    <t>SM-2024/6670</t>
  </si>
  <si>
    <t>HNK: Emelőgép ferdén emel.Emelőperselyek kitöredeztek.Az úhibák miatt.Rendellenes használat
során.</t>
  </si>
  <si>
    <t>SM-2024/6669</t>
  </si>
  <si>
    <t>HNK:22 PDS kamera szoftverfrissítése.Heineken kérésére.</t>
  </si>
  <si>
    <t>SM-2024/6667</t>
  </si>
  <si>
    <t>HNK:21 PDS kamera szoftverfrissítése.Heineken kérésére.</t>
  </si>
  <si>
    <t>SM-2024/6666</t>
  </si>
  <si>
    <t>HNK:20 PDS kamera szoftverfrissítése.Heineken kérésére.</t>
  </si>
  <si>
    <t>SM-2024/6665</t>
  </si>
  <si>
    <t>HNK:19 PDS kamera szoftverfrissítése.Heineken kérésére.</t>
  </si>
  <si>
    <t>SM-2024/6664</t>
  </si>
  <si>
    <t>Jetsky-06</t>
  </si>
  <si>
    <t>06 Emelőgép beüzemelése.</t>
  </si>
  <si>
    <t>SM-2024/6837</t>
  </si>
  <si>
    <t>HNK: Emelőgép akkutöltője nem tölt.</t>
  </si>
  <si>
    <t>SM-2024/6836</t>
  </si>
  <si>
    <t>HNK: 152/1-es akkumulátor hamar lamerül.</t>
  </si>
  <si>
    <t>SM-2024/6909</t>
  </si>
  <si>
    <t>Nem tölt</t>
  </si>
  <si>
    <t>SM-2024/6907</t>
  </si>
  <si>
    <t>HNK:Emelőgép a taposólemez alsó állásában nem működik.</t>
  </si>
  <si>
    <t>SM-2024/6906</t>
  </si>
  <si>
    <t>Komi-Magas</t>
  </si>
  <si>
    <t>Jetsky06/1</t>
  </si>
  <si>
    <t>Jetsky06/2</t>
  </si>
  <si>
    <t>HNK:03 PDS kamera szoftverfrissítése.Heineken kérésére.</t>
  </si>
  <si>
    <t>SM-2024/6905</t>
  </si>
  <si>
    <t>HNK:25 PDS kamera szoftverfrissítése.Heineken kérésére.</t>
  </si>
  <si>
    <t>SM-2024/6904</t>
  </si>
  <si>
    <t>HNK:24 PDS kamera szoftverfrissítése.Heineken kérésére.</t>
  </si>
  <si>
    <t>SM-2024/6900</t>
  </si>
  <si>
    <t>HNK:23 PDS kamera szoftverfrissítése.Heineken kérésére.</t>
  </si>
  <si>
    <t>SM-2024/6899</t>
  </si>
  <si>
    <t>HNK:13 Targonca tetőüvege eltörött.</t>
  </si>
  <si>
    <t>SM-2024/6996</t>
  </si>
  <si>
    <t>HNK: Takarítógép söprő keféi elkoptak.</t>
  </si>
  <si>
    <t>SM-2024/6995</t>
  </si>
  <si>
    <t>HNK: 04 Emelőgép kormányteleszkópja meghibásodott.Jelzőkürt nem működik.</t>
  </si>
  <si>
    <t>SM-2024/6993</t>
  </si>
  <si>
    <t>HNK: 01 Emelőgép kormányteleszkópja meghibásodott.</t>
  </si>
  <si>
    <t>SM-2024/6992</t>
  </si>
  <si>
    <t>09 Targonca PDS kamera szoftverfrissítése.Heineken kérésére.</t>
  </si>
  <si>
    <t>Targonca akkumulátorok koszosak szennyezettek.(17/2; 18/2; 16/2; 15/1, 19/2; 23/2; 21/1; 20/2;)</t>
  </si>
  <si>
    <t>SM-2024/7050</t>
  </si>
  <si>
    <t>Fejtő Kézibéka 4564988</t>
  </si>
  <si>
    <t>Palackfejtős, kézi béka kerekeiről a futófelület levállt.Heineken kérésére javítva</t>
  </si>
  <si>
    <t>SM-2024/7049</t>
  </si>
  <si>
    <t>PDS kamera szoftverfrissítése.Heineken kérésére.</t>
  </si>
  <si>
    <t>SM-2024/7047</t>
  </si>
  <si>
    <t>BILK-01</t>
  </si>
  <si>
    <t>BILK-02</t>
  </si>
  <si>
    <t>BILK-03</t>
  </si>
  <si>
    <t>BILK-04</t>
  </si>
  <si>
    <t>SM-2024/7045</t>
  </si>
  <si>
    <t>HNK: 04 PDS kamera szoftverfrissítése.Heineken kérésére.</t>
  </si>
  <si>
    <t>SM-2024/7043</t>
  </si>
  <si>
    <t>SM-2024/7163</t>
  </si>
  <si>
    <t>HNK:152 Emelőgépből akkumulátor kiszerelése.Akkumulátor hamar lemerül.</t>
  </si>
  <si>
    <t>SM-2024/7252</t>
  </si>
  <si>
    <t>PDS kamera szoftverfrissítése.Heineken kérésére. Bilk logisztikai központban lévő
targoncákon.4db</t>
  </si>
  <si>
    <t>HNK: 05 Targoncavezető elmondása szerint az első futóműből ropogó hang hallatszik.</t>
  </si>
  <si>
    <t>SM-2024/7253</t>
  </si>
  <si>
    <t>SM-2024/7254</t>
  </si>
  <si>
    <t>HNK: 151/2-es akkumulátor üzembe helyezése.</t>
  </si>
  <si>
    <t>SM-2024/7283</t>
  </si>
  <si>
    <t>Heineken termelés gépsor ajtó burkolat csere.</t>
  </si>
  <si>
    <t>Fejtő Üzem</t>
  </si>
  <si>
    <t>SM-2024/7282</t>
  </si>
  <si>
    <t>HNK.Sopron 22-17 Első és hátsó kerekek elszállítása szakműhelybe gumiabroncs cserére.</t>
  </si>
  <si>
    <t>HNK.Sopron 22-20/ 2 akku hamar lemerül, pár órát üzemel.</t>
  </si>
  <si>
    <t>SM-2024/7281</t>
  </si>
  <si>
    <t>HNK.Sopron 22-03 Hibakódok 011 , 831 nem üzemel.</t>
  </si>
  <si>
    <t>SM-2024/7280</t>
  </si>
  <si>
    <t>HNK.Sopron 22-01 Az akku töltőkábel sérült.</t>
  </si>
  <si>
    <t>SM-2024/7279</t>
  </si>
  <si>
    <t>SM-2024/7347</t>
  </si>
  <si>
    <t>HNK.Sopron 22--09 Az akku rögzítő csavar letört. az akku nem cserélhető.</t>
  </si>
  <si>
    <t>Targonca jobb és bal ablakreteszelője szétesett.</t>
  </si>
  <si>
    <t>SM-2024/7355</t>
  </si>
  <si>
    <t>Targonca ajtóreteszelője eltörött.</t>
  </si>
  <si>
    <t>SM-2024/7430</t>
  </si>
  <si>
    <t>HNK: Palackfejtőben lévő üveges kiskocsit (csille) a targoncások eldeformálták.Heineken
kérésére javítva.</t>
  </si>
  <si>
    <t>SM-2024/7429</t>
  </si>
  <si>
    <t>Sopron 22--17 Bal ajtó zár elgörbült.</t>
  </si>
  <si>
    <t>SM-2024/7534</t>
  </si>
  <si>
    <t>HNK.Sopron 22--02 Cserélő Az akku csak egy gép akku cseréjét bírja.</t>
  </si>
  <si>
    <t>SM-2024/7533</t>
  </si>
  <si>
    <t>HNK. Sopron Heineken takarító. A gép bal oldalába belecsúsztak a targonca villával.
Oldalburkolat leszerelés, műanyg elemek egyengetése hőlgfúvóval, felszerelés.</t>
  </si>
  <si>
    <t>SM-2024/7678</t>
  </si>
  <si>
    <t>HNK. Sopron 22-- 04 A bal villa lefele görbül, eléri a földet.</t>
  </si>
  <si>
    <t>SM-2024/7672</t>
  </si>
  <si>
    <t>Villák leszerelése. Torony leszerelése. Első futómű kiszerelése, szétszerelése. Előkészítés szállításra.</t>
  </si>
  <si>
    <t>SM-2024/7709</t>
  </si>
  <si>
    <t>HNK: 10 Targonca jobb oldali menetmotorja leégett.</t>
  </si>
  <si>
    <t>SM-2024/7712</t>
  </si>
  <si>
    <t>SM-2024/7800</t>
  </si>
  <si>
    <t>HNK:01 Akkucserélő fékje nem működik.</t>
  </si>
  <si>
    <t>SM-2024/7799</t>
  </si>
  <si>
    <t>Emelőgép menet közben nyikorgó hangot hallat.</t>
  </si>
  <si>
    <t>HNK: 05 Emelőgép akkuja hamar lemerül, a kezelő elmondása szerint.Karbantartás.</t>
  </si>
  <si>
    <t>SM-2024/7798</t>
  </si>
  <si>
    <t>HNK:Targonca jobb oldali lámpája nem világít.</t>
  </si>
  <si>
    <t>SM-2024/7796</t>
  </si>
  <si>
    <t>Targonca bal oldali ajtója lóg,nem lehet bezárni.</t>
  </si>
  <si>
    <t>SM-2024/7791</t>
  </si>
  <si>
    <t>Papírhulladék konténer tömörítő kengyelek kiszakadtak.</t>
  </si>
  <si>
    <t>SM-2024/7909</t>
  </si>
  <si>
    <t>Hibakeresés , A hidraulika motor leszakadt. Vezeték zárlat.
Hidraulika motor helyreállítás, vezeték zárlat megszüntetés. Hibakód : 08A 185; 190; 186</t>
  </si>
  <si>
    <t>SM-2024/7907</t>
  </si>
  <si>
    <t>HNK. Sopron 22--24 Borulókeret zörög.</t>
  </si>
  <si>
    <t>SM-2024/7906</t>
  </si>
  <si>
    <t>HNK: 10/2-es akkutálca eldeformálódott.</t>
  </si>
  <si>
    <t>SM-2024/7997</t>
  </si>
  <si>
    <t>Műhelyben lévő kompresszor karbantartása,központi zsírzó töltése.</t>
  </si>
  <si>
    <t>SM-2024/7995</t>
  </si>
  <si>
    <t>Targonca kormányösszekötői kopottak.Hátsó gumiabroncsok berepedeztek.</t>
  </si>
  <si>
    <t>SM-2024/7994</t>
  </si>
  <si>
    <t>HNK: 13 Targonca hátsó kereke kileng, a kezelő elmondása szerint.
Elvégzett munka:
Targonca hátsó futómő ellenőrzése.Üzemképes.</t>
  </si>
  <si>
    <t>SM-2024/8073</t>
  </si>
  <si>
    <t>HNK: 54 Emelőgép, árut védő gumilemeze leszakadt.Heineken kérésére ragasztva.</t>
  </si>
  <si>
    <t>SM-2024/8071</t>
  </si>
  <si>
    <t>HNK: Targonca magasságérzékelő tartója elgörbült,villakocsi vezetőgörgője leesett a helyéről.
Elvégzett munka:
Villakocsi le és felszerelése, görgő visszaszerelése,tartó egyengetése.</t>
  </si>
  <si>
    <t>SM-2024/8066</t>
  </si>
  <si>
    <t>HNK: Targonca akkumulátorok koszosak szennyezettek</t>
  </si>
  <si>
    <t>SM-2024/8133</t>
  </si>
  <si>
    <t>HNK: 19 Targonca ajtóreteszelő szerkezete szétesett.</t>
  </si>
  <si>
    <t>SM-2024/8132</t>
  </si>
  <si>
    <t>HNK:Takaríttógép nem szívja fel a vizet.Leeresztő funkció nem működik.</t>
  </si>
  <si>
    <t>SM-2024/8131</t>
  </si>
  <si>
    <t>HNK: 24 Targonca bal oldali ajtózárja eldefor málódott.</t>
  </si>
  <si>
    <t>SM-2024/8130</t>
  </si>
  <si>
    <t>HNK 06 :Targonca villakeret magasítása letörött.</t>
  </si>
  <si>
    <t>SM-2024/8216</t>
  </si>
  <si>
    <t>HNK: 52 Emelőgép deréktámasza letörött.Bal emelővilla repedt.</t>
  </si>
  <si>
    <t>SM-2024/8215</t>
  </si>
  <si>
    <t>HNK: 55 Emelőgép deréktámasza letörött.</t>
  </si>
  <si>
    <t>SM-2024/8214</t>
  </si>
  <si>
    <t>HNK:02 Akkucserélő emelőgép akkumulátorja elöregedett.</t>
  </si>
  <si>
    <t>SM-2024/8366</t>
  </si>
  <si>
    <t>HNK: 19 Targonca hátsó gumiabroncsa levállt a felniről.Az úthibák miatt.</t>
  </si>
  <si>
    <t>SM-2024/8364</t>
  </si>
  <si>
    <t>SMIPACK</t>
  </si>
  <si>
    <t>Hibafeltárás, Beállítás</t>
  </si>
  <si>
    <t>AMCO23531</t>
  </si>
  <si>
    <t>SMIPACK BP802AR</t>
  </si>
  <si>
    <t>Behordópálca csere, javítás</t>
  </si>
  <si>
    <t>AMCO23521</t>
  </si>
  <si>
    <t>Központi zsírzó nem működik.</t>
  </si>
  <si>
    <t>SM-2024/8391</t>
  </si>
  <si>
    <t>HNK: 11 Targonca akkureteszelője letörött.</t>
  </si>
  <si>
    <t>SM-2024/8390</t>
  </si>
  <si>
    <t>HNK: 54 Emelőgép emeléskor túlemel.</t>
  </si>
  <si>
    <t>SM-2024/8389</t>
  </si>
  <si>
    <t>HNK: 51 Emelőgép támasztókerekéről levállt a futófelület,támasztóperselyek kitöredeztek,az
úthibák miatt.Rendellenes használat során</t>
  </si>
  <si>
    <t>SM-2024/8388</t>
  </si>
  <si>
    <t>ÜZEM ÓRA</t>
  </si>
  <si>
    <t>HNK: 15/1-es akkumulátor hamar lemerül,a kezelő szerint</t>
  </si>
  <si>
    <t>SM-2024/8453</t>
  </si>
  <si>
    <t>HNK: 19 Targonca ajtóreteszelője szétesett.</t>
  </si>
  <si>
    <t>SM-2024/8452</t>
  </si>
  <si>
    <t>HNK: 54 Emelőgép meghajtókerekéről levállt a futófelület,az úthibák miatt.Rendellenes használat
során.</t>
  </si>
  <si>
    <t>SM-2024/8451</t>
  </si>
  <si>
    <t>HNK: 16 USB beszerelés.Akku csatlakozó fogantyú letörött.</t>
  </si>
  <si>
    <t>SM-2024/8450</t>
  </si>
  <si>
    <t>HNK: 07 Targonca jobb oldali meghajtómotorja túlmelegedett.Hűttőventillátor beszerelése,jobb oldalra.</t>
  </si>
  <si>
    <t>SM-2024/8448</t>
  </si>
  <si>
    <t>HNK: Kézikocsi(csille)kereke kitörött.Bolygókerék visszaszerelése.</t>
  </si>
  <si>
    <t>SM-2024/8446</t>
  </si>
  <si>
    <t>HNK: 05 Targonca kormányösszekötői kotyognak.Első futómű ben kopogás hallatszik.</t>
  </si>
  <si>
    <t>SM-2024/8513</t>
  </si>
  <si>
    <t>Targonca alatt olajfolyás észlelhető.Szerviz esedékessé vállt.</t>
  </si>
  <si>
    <t>SM-2024/8514</t>
  </si>
  <si>
    <t>HNK:K04-es akkumulátortöltő modulhibát jelez.</t>
  </si>
  <si>
    <t>SM-2024/8584</t>
  </si>
  <si>
    <t>HNK: 22 Targonca hátsó munkalámpája letörött.</t>
  </si>
  <si>
    <t>SM-2024/8583</t>
  </si>
  <si>
    <t>as akkumulátor csatlakozó törött.</t>
  </si>
  <si>
    <t>SM-2024/8647</t>
  </si>
  <si>
    <t>HNK: 54 Emelőgép menetközben kopogó hangot hallat.Akkurerteszelő eltörött.</t>
  </si>
  <si>
    <t>SM-2024/8646</t>
  </si>
  <si>
    <t>HNK: 22 Targonca bal ajtó reteszelője szétesett</t>
  </si>
  <si>
    <t>SM-2024/8645</t>
  </si>
  <si>
    <t>SM-2024/8644</t>
  </si>
  <si>
    <t>KARCHER-NT65/2</t>
  </si>
  <si>
    <t>Karcher takarítógép leeresztő csöve kilyukadt.Nem szív.</t>
  </si>
  <si>
    <t>SM-2024/8700</t>
  </si>
  <si>
    <t>HNK: 16 Targonca hátsó szélvédője kitörött.</t>
  </si>
  <si>
    <t>SM-2024/8699</t>
  </si>
  <si>
    <t>Emelőgép bekapcsoláskor hibakódot jelez.</t>
  </si>
  <si>
    <t>SM-2024/8697</t>
  </si>
  <si>
    <t>HNK:06 Targonca hátsó gumiabroncsa szétrepedt.Gumiabroncs, szuperelasztikus 18x7-8/4.33 ATIRE</t>
  </si>
  <si>
    <t>SM-2024/8839</t>
  </si>
  <si>
    <t>HNK: Toyota vontató jobb oldali lámpája nem működik.</t>
  </si>
  <si>
    <t xml:space="preserve">SM-2024/8837
</t>
  </si>
  <si>
    <t>Targonca bal oldali ajtója elmozdult a helyéről,ablakreteszelő szétesett.</t>
  </si>
  <si>
    <t>SM-2024/8835</t>
  </si>
  <si>
    <t>HNK:Targonca oldalazó munkahengere folyatja az olajat.Emelőtorony ropogó hangot ad.
Elvégzett munka:
Targonca ellenőrzése,torony kenése.Hidraulika olaj pótlása.</t>
  </si>
  <si>
    <t>SM-2024/8832</t>
  </si>
  <si>
    <t>HNK: Emelőgép nem engedi le teljesen a villát.</t>
  </si>
  <si>
    <t>SM-2024/8830</t>
  </si>
  <si>
    <t>HNK: 04 Emelőgép villakerekeiről levállt a futófelület, az úthibák miatt.Rendellenes használat
során.</t>
  </si>
  <si>
    <t>SM-2024/8829</t>
  </si>
  <si>
    <t>Első futómű összesszerelése.
Szimeringek cseréje. Emelőoszlop felszerelése.
Motorhűttés kialakítása.</t>
  </si>
  <si>
    <t>SM-2024/9000</t>
  </si>
  <si>
    <t>Emelőgép villakerekéről levállt a futófelület.Az úthibák miatt.Rendellenes használat során.</t>
  </si>
  <si>
    <t>SM-2024/8997</t>
  </si>
  <si>
    <t>HNK: 24 Targonca fűttés vezetékei kidörzsölődtek</t>
  </si>
  <si>
    <t>SM-2024/9054</t>
  </si>
  <si>
    <t>HNK: 05 Emelőgép vezetékeinek ellenőrzése,vészkapcsoló tisztítása.</t>
  </si>
  <si>
    <t>SM-2024/9053</t>
  </si>
  <si>
    <t>HNK: 03 Emelőgép meghajtókerekéről levállt a futófelület.Úthibák miatt,rendellenes használat
során.</t>
  </si>
  <si>
    <t>SM-2024/9052</t>
  </si>
  <si>
    <t>HNK: 04 Emelőgép villakerekéről levállt a futófelület.Úthibák miatt,rendellenes használat során.</t>
  </si>
  <si>
    <t>SM-2024/9051</t>
  </si>
  <si>
    <t>HNK: 02 Emelőgép meghajtókerekéről levállt a futófelület.Úthibák miatt,rendellenes használat
során.</t>
  </si>
  <si>
    <t>SM-2024/9050</t>
  </si>
  <si>
    <t>HNK:13-as akkutálca eldeformálódott</t>
  </si>
  <si>
    <t>SM-2024/9083</t>
  </si>
  <si>
    <t>Emelőtorony leszerelése,első futómű kiszerelése,szétbontása.</t>
  </si>
  <si>
    <t>SM-2024/9082</t>
  </si>
  <si>
    <t>HNK: 07 Targonca jobb oldali ajtó csavarjai eltörtek.</t>
  </si>
  <si>
    <t>SM-2024/9081</t>
  </si>
  <si>
    <t>PDS UPDATE FRONT CAMERA</t>
  </si>
  <si>
    <t>Operating Hours</t>
  </si>
  <si>
    <t>Work Order</t>
  </si>
  <si>
    <t>Budapest - 7779</t>
  </si>
  <si>
    <t>Budapest - 7780</t>
  </si>
  <si>
    <t>Budapest - 7781</t>
  </si>
  <si>
    <t>Budapest - 7978</t>
  </si>
  <si>
    <t>03827</t>
  </si>
  <si>
    <t>03828</t>
  </si>
  <si>
    <t>03830</t>
  </si>
  <si>
    <t>04837</t>
  </si>
  <si>
    <t>BILK</t>
  </si>
  <si>
    <t>VIN</t>
  </si>
  <si>
    <t>PDS UPDATE REAR CAMERA</t>
  </si>
  <si>
    <t>24/1; 15/1; 16/1; 20/2; 24/2; 18/1;</t>
  </si>
  <si>
    <t>SM-2024/9211</t>
  </si>
  <si>
    <t>HNK: 11 Targonca akkureteszelője eltörött.</t>
  </si>
  <si>
    <t>SM-2024/9210</t>
  </si>
  <si>
    <t>HNK: 16 Targonca kéklámpája nem működik.</t>
  </si>
  <si>
    <t>SM-2024/9209</t>
  </si>
  <si>
    <t>HNK: Raklapemelő nem emel.Javítás heineken kérésre.Logisztika.</t>
  </si>
  <si>
    <t>SM-2024/9208</t>
  </si>
  <si>
    <t>SM-2024/9271</t>
  </si>
  <si>
    <t>HNK: 10 Targonca menetmotor hűtése.</t>
  </si>
  <si>
    <t>SM-2024/9270</t>
  </si>
  <si>
    <t>Targonca ajtókitámasztoja eltörött.</t>
  </si>
  <si>
    <t>SM-2024/9319</t>
  </si>
  <si>
    <t>HNK: Toyota vontató, pótkocsi kormányösszekötő karja letörött.</t>
  </si>
  <si>
    <t>SM-2024/9318</t>
  </si>
  <si>
    <t>Targonca menetmotor hűttése.</t>
  </si>
  <si>
    <t>SM-2024/9316</t>
  </si>
  <si>
    <t>akkumulátor vizfeltöltő csöve megrongálódott.</t>
  </si>
  <si>
    <t>SM-2024/9409</t>
  </si>
  <si>
    <t>SM-2024/9407</t>
  </si>
  <si>
    <t>HNK: 52 Emelőgép ferdén emel.l,emelőperselyek kitöredeztek,az úthibák miatt.Rendellenes
használat során.</t>
  </si>
  <si>
    <t>Emelőgép ferdén emel.Villakerék futófelülete levállt a kerékről,emelőperselyek
kitöredeztek,az úthibák miatt.Rendellenes használat során.</t>
  </si>
  <si>
    <t>SM-2024/9405</t>
  </si>
  <si>
    <t>Targonca menetmotor öszeszerelése.</t>
  </si>
  <si>
    <t>SM-2024/9404</t>
  </si>
  <si>
    <t>SM-2024/9483</t>
  </si>
  <si>
    <t>HNK: 1 Akkumulátor cserélő alatt olajfolyás látható.</t>
  </si>
  <si>
    <t>SM-2024/9482</t>
  </si>
  <si>
    <t>Targonca jobb oldali menetmotorja leégett.</t>
  </si>
  <si>
    <t>SM-2024/9611</t>
  </si>
  <si>
    <t>HNK:55Emelőgép jobb oldali támasztókerék konzolja eltörött,az úthibák miatt.Rendellenes
használat során.</t>
  </si>
  <si>
    <t>SM-2024/9614</t>
  </si>
  <si>
    <t>HNK: 04 Targonca szervize esedékessé vállt.Bal ajtózár letörött.Vllakocsin lévő fém olajcső
folyatja az olajat.</t>
  </si>
  <si>
    <t>SM-2024/9729</t>
  </si>
  <si>
    <t>Emelőgép meghajtókerekéről levállt a futófelület az úthibák miatt.Rendellenes használat
során.Gyújtáskapcsoló beesett a műszerfalba.</t>
  </si>
  <si>
    <t>SM-2024/9728</t>
  </si>
  <si>
    <t>HNK: 15 Targonca bal oldali ajtóreteszelője eltörött,jobb ajtózár szétesett,hátsó ablak csavarjai
elvesztek.</t>
  </si>
  <si>
    <t>SM-2024/9727</t>
  </si>
  <si>
    <t>9052-es munkalap kiegészítése.Meghajtókerék csere.</t>
  </si>
  <si>
    <t>SM-2024/9833</t>
  </si>
  <si>
    <t>Targonca hdraulika fémcsöve folyatja az olajat.</t>
  </si>
  <si>
    <t>SM-2024/9858</t>
  </si>
  <si>
    <t>HNK:15 Targonca jobb hátsó gumiabroncsa kitöredezett</t>
  </si>
  <si>
    <t>SM-2024/9855</t>
  </si>
  <si>
    <t>HNK: 55 Emelőgép támasztókerekéről és a villakerékről a futófelölet levállt,az úthibák
miatt.Rendellenes használat során.Jelzőkürt nem működik.</t>
  </si>
  <si>
    <t>SM-2024/9854</t>
  </si>
  <si>
    <t>HNK: 52 Emelőgép támasztókerék konzolja eltörött,villakerekekről és támasztókerékről a
futófelület levállt,az úthibák miatt.Rendellenes használat során.</t>
  </si>
  <si>
    <t>SM-2024/9853</t>
  </si>
  <si>
    <t>151/1-es jetsky akkumulátor hamar lemerül.</t>
  </si>
  <si>
    <t>SM-2024/9960</t>
  </si>
  <si>
    <t>SM-2024/9958</t>
  </si>
  <si>
    <t>Targoncaakku csati fogantyúi letörtek. 16/2; 7/1; 11/2;</t>
  </si>
  <si>
    <t>HNK: 24 Targonca bal ajtózárja belülről nem nyílik.</t>
  </si>
  <si>
    <t>SM-2024/9954</t>
  </si>
  <si>
    <t>HNK: 08 Targonca jobb ajtózárja belülről nem nyílik.</t>
  </si>
  <si>
    <t>SM-2024/9950</t>
  </si>
  <si>
    <t>HNK: 51 Emelőgépből kattogó hang hallatszik.</t>
  </si>
  <si>
    <t>SM-2024/9944</t>
  </si>
  <si>
    <t>HNK: 22 Targonca feszültség átalakítója leégett.Hűttőventillátor nem működik</t>
  </si>
  <si>
    <t>SM-2024/10017</t>
  </si>
  <si>
    <t>HNK:151/1-es akkumulátor hamar lemerül.(jetsky)Akkumulátor cella savazása.</t>
  </si>
  <si>
    <t>SM-2024/10016</t>
  </si>
  <si>
    <t>Emelőgép villakerekeiről levállt a futófelület,az úthibák miatt.Rendellenes használat során.</t>
  </si>
  <si>
    <t>SM-2024/10015</t>
  </si>
  <si>
    <t>HNK: 08 Targonca hátsó gumiabroncsai repedezettek.</t>
  </si>
  <si>
    <t>SM-2024/10065</t>
  </si>
  <si>
    <t>HNK: Emelőgép támasztókerekéről levállt a futófelület,az úthibák miatt.Rendellenes használat
során.</t>
  </si>
  <si>
    <t>SM-2024/10063</t>
  </si>
  <si>
    <t>Karcher takaríttógép alsó keféi nem működnek.</t>
  </si>
  <si>
    <t>SM-2024/10192</t>
  </si>
  <si>
    <t>HNK: 24 Targonca hátsó gumiabroncsai elkoptak</t>
  </si>
  <si>
    <t>SM-2024/10190</t>
  </si>
  <si>
    <t>Targoncára 4 villás adapter kiépítése szükséges.</t>
  </si>
  <si>
    <t>SM-2024/10240</t>
  </si>
  <si>
    <t>HNK.Sopron. 22-09 Négyvillás adapter felszerelés.</t>
  </si>
  <si>
    <t>SM-2024/10241</t>
  </si>
  <si>
    <t>Középső kefetengelyek cseréje.</t>
  </si>
  <si>
    <t>SM-2024/10238</t>
  </si>
  <si>
    <t>SM-2024/10236</t>
  </si>
  <si>
    <t>HNK.Sopron 22-09 Bal ajtó középső alsó rögzítőzár törött.</t>
  </si>
  <si>
    <t>HNK.Sopron 22-06 Négyvillás adapter felszerelés előkészítés,negyedik szekció kiépítése.</t>
  </si>
  <si>
    <t>SM-2024/10330</t>
  </si>
  <si>
    <t>SM-2024/10331</t>
  </si>
  <si>
    <t>HNK.Sopron 22-07 Négyvillás adapter felszerelés előkészítés,negyedik szekció kiépítése.</t>
  </si>
  <si>
    <t>SM-2024/10329</t>
  </si>
  <si>
    <t>HNK Sopron. 22-07. Négyvillás adapter felszerelés előkészítés. Negyedik szekció kiépítésa.</t>
  </si>
  <si>
    <t>SM-2024/10328</t>
  </si>
  <si>
    <t>HNK.Sopron 22 --12 Négyvillás adapter felszerelés előkészítés, negyedik szekció kiépítés.</t>
  </si>
  <si>
    <t>SM-2024/10399</t>
  </si>
  <si>
    <t>HNK.Sopron 22 --06 Leengedéskor nem áll meg, hanem teljesen leenged.</t>
  </si>
  <si>
    <t>SM-2024/10398</t>
  </si>
  <si>
    <t>HNK.Sopron 22-17 Hátsó szélvédő gázrugó elgyengült.</t>
  </si>
  <si>
    <t>SM-2024/10394</t>
  </si>
  <si>
    <t>HNK.Sopron 22 --13 Négyvillás adapter felszerelés előkészítés, negyedik szekció kiépítés.</t>
  </si>
  <si>
    <t>SM-2024/10450</t>
  </si>
  <si>
    <t>HNK.Sopron 22--05 Négyvillás adapter felszerelés előkészítés, negyedik szekció kiépítése.</t>
  </si>
  <si>
    <t>SM-2024/10587</t>
  </si>
  <si>
    <t>HNK Sopron. 22-06. Négyvillás adapter felszerelés előkészítés. Negyedik szekció kiépítése.</t>
  </si>
  <si>
    <t>HNK: 06 Targonca menetmotor beállítása.</t>
  </si>
  <si>
    <t>HNK:06 Targonca kerékcsapágya eltörött,kereke kifordult,valószínüleg az úthibák miatt.
Kerékcsapágy eltörött,külső behatás következtében.Csapágy görgők megszorultak,csavarbiztosíttás eldeformálódott,kerékagy
csavarja letekeredett.
Kerékcsapágyak és szimering csere.</t>
  </si>
  <si>
    <t>SM-2024/10983</t>
  </si>
  <si>
    <t>HNK.Sopron 22--01 Akkumlátor cella zárlat.</t>
  </si>
  <si>
    <t>SM-2024/10582</t>
  </si>
  <si>
    <t>SM-2024/10699</t>
  </si>
  <si>
    <t>HNK.Sopron 22--21 Hibakód 17 A 82 .Menet közben letilt.(Hibakresés, Bal oldali motor forgásérzékelő csere.)</t>
  </si>
  <si>
    <t>Futóműből ropogó hang hallatszik (Hibakeresés. Támasztókerék lötyög. Támasztókerék szétszerelése, perselyek cserélye. Összeszerelés. Álltalános kenés.)</t>
  </si>
  <si>
    <t>SM-2024/10701</t>
  </si>
  <si>
    <t>Leengedéskor nem áll meg, automatikusan leenged.
Elvégzett munka:Leengedő mágnes szelepek cseréje.</t>
  </si>
  <si>
    <t>SM-2024/10700</t>
  </si>
  <si>
    <t>Világítás és munkavillogó nem működik</t>
  </si>
  <si>
    <t>SM-2024/10698</t>
  </si>
  <si>
    <t>HNK.Sopron Heineken csille javítások 3 db.</t>
  </si>
  <si>
    <t>SM-2024/10765</t>
  </si>
  <si>
    <t>HNK: 17 Targonca bal ajtóreteszelője szétesett.</t>
  </si>
  <si>
    <t>SM-2024/10991</t>
  </si>
  <si>
    <t>HNK:12 Targonca hátsó ablakteleszkópjai meghibásodtak.</t>
  </si>
  <si>
    <t>SM-2024/10990</t>
  </si>
  <si>
    <t>Targonca jobb ajtókitámasztója meghibásodott.</t>
  </si>
  <si>
    <t>SM-2024/10989</t>
  </si>
  <si>
    <t>SM-2024/10986</t>
  </si>
  <si>
    <t>HNK:Targonca emelőfunkciója letilt.</t>
  </si>
  <si>
    <t>Emelőgép kormányoszlopja mozog.</t>
  </si>
  <si>
    <t>SM-2024/10985</t>
  </si>
  <si>
    <t>HNK:53 Emelőgép támasztókerekeiről és villakerekeiről a futófelület kitöredezett,villakerék perselyei eltörtek.Úthibák
miatt,rendellenes használat során.
Kerekek és perselyek cseréje.</t>
  </si>
  <si>
    <t>SM-2024/11025</t>
  </si>
  <si>
    <t>HNK:54 Emelőgép meghajtókerekéről a futófelület kitöredezett,.Úthibák miatt,rendellenes
használat során.</t>
  </si>
  <si>
    <t>SM-2024/11027</t>
  </si>
  <si>
    <t>SM-2024/11029</t>
  </si>
  <si>
    <t>HNK.Sopron 22-06 Fékmágnes kapcsolóról letört az érintkező.</t>
  </si>
  <si>
    <t>SM-2024/10764</t>
  </si>
  <si>
    <t>SM-2024/10763</t>
  </si>
  <si>
    <t>Targonca menetmotorok próbái.</t>
  </si>
  <si>
    <t>SM-2024/11124</t>
  </si>
  <si>
    <t>HNK:13 Targonca hátsó szélvédője kitörött.Rossz útviszonyok következtében.</t>
  </si>
  <si>
    <t>SM-2024/11123</t>
  </si>
  <si>
    <t>HNK: 22 Targonca villarácsa megrongálja az árut.Védőszivacs felszerelése Heineken kérésére.</t>
  </si>
  <si>
    <t>SM-2024/11122</t>
  </si>
  <si>
    <t>HNK: 01 Targonca állapotfelmérése.</t>
  </si>
  <si>
    <t>SM-2024/11121</t>
  </si>
  <si>
    <t>HNK: 04 Targonca állapotfelmérése.Jobb oldali ajtó mozog,hátsó terelőlemez zörgő hangot
hallat.Csavarok kiestek az úthibák miatt</t>
  </si>
  <si>
    <t xml:space="preserve"> SM-2024/11120</t>
  </si>
  <si>
    <t>SM-2024/11143</t>
  </si>
  <si>
    <t>HNK: 13 Targonca hátsó szélvédője kitörött.</t>
  </si>
  <si>
    <t>SM-2024/11343</t>
  </si>
  <si>
    <t>Gumi csere.(Gumik és kerekek szállítása szakműhelyb. Atra Győr. Kerékcsere.)</t>
  </si>
  <si>
    <t>HNK:23 Targonca fülkéje kopogó hangot hallat.</t>
  </si>
  <si>
    <t>SM-2024/11362</t>
  </si>
  <si>
    <t>Targonca hátsó gumiabroncsa lefordult a felniről.</t>
  </si>
  <si>
    <t>SM-2024/11361</t>
  </si>
  <si>
    <t>HNK:07 Targonca hátsó gumiabroncsa lefordult a felniről.Kerékcsapágyak ellenőrzése.</t>
  </si>
  <si>
    <t>SM-2024/11360</t>
  </si>
  <si>
    <t>HNK:03 Targonca.Állapotfelmérése.Balldali szélvédő kitörött.</t>
  </si>
  <si>
    <t>SM-2024/11352</t>
  </si>
  <si>
    <t>HNK:02 Targonca villakeretén lévő szivacsozása lekopott.Heineken kérésére.Állapotfelmérés.</t>
  </si>
  <si>
    <t>SM-2024/11346</t>
  </si>
  <si>
    <t>SM-2024/11391</t>
  </si>
  <si>
    <t>HNK:05 Targonca hátsó kerékcsapágyainak ellenőrzése kenése.</t>
  </si>
  <si>
    <t>SM-2024/11389</t>
  </si>
  <si>
    <t>HNK:25 Targonca hátsó kerékcsapágyainak ellenőrzése kenése.</t>
  </si>
  <si>
    <t>SM-2024/11387</t>
  </si>
  <si>
    <t>HNK:08Targonca hátsó kerékcsapágyainak ellenőrzése kenése.</t>
  </si>
  <si>
    <t>SM-2024/11386</t>
  </si>
  <si>
    <t>Targonca hátsó kerékcsapágyainak ellenőrzése kenése.</t>
  </si>
  <si>
    <t>SM-2024/11385</t>
  </si>
  <si>
    <t>Nagoya</t>
  </si>
  <si>
    <t>HNK: 18 Targonca hibakódot jelez, menet közben letilt.(Akkumulátor ajtó jeladó)</t>
  </si>
  <si>
    <t xml:space="preserve"> A meghajtó kerékről levált a fotófelület.</t>
  </si>
  <si>
    <t>RCB12B20003</t>
  </si>
  <si>
    <t>TCM SPR161-N3</t>
  </si>
  <si>
    <t xml:space="preserve"> Emelőgép hidraulika tartálya leesett a helyéről,és megrepedt,a rossz útviszonyok
miatt.Rendellenes használat során.</t>
  </si>
  <si>
    <t>Targonca hátsó gumiabroncsa levállt a felniről.Az úthibák miatt.</t>
  </si>
  <si>
    <t>SM-2024/11457</t>
  </si>
  <si>
    <t>Emelőgép kijelzőt tartó csavarok elvesztek,kijelző beesett a műszerfelba</t>
  </si>
  <si>
    <t>SM-2024/11456</t>
  </si>
  <si>
    <t>Targonca bal alsó oldalüvege kiesett.</t>
  </si>
  <si>
    <t>SM-2024/11455</t>
  </si>
  <si>
    <t>Emelőgép villakereléről levállt a futófelület,az úthibák miatt.Rendellenes használat
során.</t>
  </si>
  <si>
    <t>SM-2024/11452</t>
  </si>
  <si>
    <t>Emelőgép villakereléről levállt a futófelület,az úthibák miatt.Rendellenes használat során</t>
  </si>
  <si>
    <t>SM-2024/11451</t>
  </si>
  <si>
    <t>SM-2024/11450</t>
  </si>
  <si>
    <t>Vészkapcsoló a vezeték lecsúszik,visszaszerelése,rögzítése.</t>
  </si>
  <si>
    <t>HNK: 19 Targonca bal ajtózárjai töröttek.Bal oldali ablakretesz szétesett.</t>
  </si>
  <si>
    <t>SM-2024/11707</t>
  </si>
  <si>
    <t>Hátsó kerékcsapágy ellenőrzése, zsírzása.</t>
  </si>
  <si>
    <t>12V-os rendszer nem működik megfelelően. Zárlat gyanú. BlindSpot monitor tápkábele újrakötve, Hátsó Albaktörlőmotor vezetéke lekötve</t>
  </si>
  <si>
    <t>SM-2024/11706</t>
  </si>
  <si>
    <t>E</t>
  </si>
  <si>
    <t>T</t>
  </si>
  <si>
    <t>D</t>
  </si>
  <si>
    <t>TCM</t>
  </si>
  <si>
    <t>WIIQ vezetékszakadás</t>
  </si>
  <si>
    <t>Villakeréktartó tengelyeí
elkopotak.</t>
  </si>
  <si>
    <t>SM-2024/11781</t>
  </si>
  <si>
    <t>SM-2024/11782</t>
  </si>
  <si>
    <t>SM-2024/11783</t>
  </si>
  <si>
    <t>Ezelőtti vizsgálat során megállapították, hogy lámpának van baja. Most kiderült, hogy a lámpának semmi baja nincsen. Vezetékszakadás volt.</t>
  </si>
  <si>
    <t>HNK: 51 Emelőgép villakerekeiről levállt a futófelület,az úthibák miatt.Rendellenes használat
során.</t>
  </si>
  <si>
    <t>SM-2024/11822</t>
  </si>
  <si>
    <t>HNK: 10 Targonca menetmótorok próbája.</t>
  </si>
  <si>
    <t>SM-2024/11823</t>
  </si>
  <si>
    <t>HNK: 23 Fordító adapter fölszerelése.Heineken kérésére.</t>
  </si>
  <si>
    <t>SM-2024/11898</t>
  </si>
  <si>
    <t>SM-2024/11899</t>
  </si>
  <si>
    <t>Targonca összeszerelése.</t>
  </si>
  <si>
    <t>Menetmotor hűttés kialakítása, beszerelése.</t>
  </si>
  <si>
    <t>Hátsó kerékcsapágyak ellenőrzése kenése</t>
  </si>
  <si>
    <t>SM-2024/12071</t>
  </si>
  <si>
    <t>Targonca menet közben letilt.</t>
  </si>
  <si>
    <t>Targonca akku ajtókilincse elveszett.Ajtózár eltörött.</t>
  </si>
  <si>
    <t>SM-2024/12174</t>
  </si>
  <si>
    <t>HNK:153 Akkumulátor vizfeltöltője nem működik.</t>
  </si>
  <si>
    <t>SM-2024/12172</t>
  </si>
  <si>
    <t>HNK:24 Targonca jobb ajtózárja eltörött.</t>
  </si>
  <si>
    <t>SM-2024/12171</t>
  </si>
  <si>
    <t>HNK:10 Targonca első hid szétszerelése.</t>
  </si>
  <si>
    <t>SM-2024/12170</t>
  </si>
  <si>
    <t>HNK: 55 Emelőszerkezet nem emel.Heineken kérésére ellenőrzés.</t>
  </si>
  <si>
    <t>SM-2024/12167</t>
  </si>
  <si>
    <t>SM-2024/12247</t>
  </si>
  <si>
    <t>Targonca műhely rendezése.</t>
  </si>
  <si>
    <t>Targonca bal oldali ajtózárjai szétestek.</t>
  </si>
  <si>
    <t>SM-2024/12246</t>
  </si>
  <si>
    <t>Toyota vontató, pótkocsi kormányösszekötő csavarja elveszett.</t>
  </si>
  <si>
    <t>SM-2024/12242</t>
  </si>
  <si>
    <t>SM-2024/12240</t>
  </si>
  <si>
    <t>Targonca fordító adapter ajtóváza eltörött.</t>
  </si>
  <si>
    <t>SM-2024/12239</t>
  </si>
  <si>
    <t>SM-2024/12343</t>
  </si>
  <si>
    <t>Targonca hibakódot jelez.16A206.</t>
  </si>
  <si>
    <t>SM-2024/12393</t>
  </si>
  <si>
    <t>SM-2024/12389</t>
  </si>
  <si>
    <t>HNK: 22 Targonca bal taposólemeze letörött.</t>
  </si>
  <si>
    <t>SM-2024/12484</t>
  </si>
  <si>
    <t>Targonca bal oldali ajtókilincse szétesett.</t>
  </si>
  <si>
    <t>SM-2024/12483</t>
  </si>
  <si>
    <t>Targonca villéakeret magasítása letörött</t>
  </si>
  <si>
    <t>SM-2024/12481</t>
  </si>
  <si>
    <t>HNK: 08 Targonca szétszerelése.Bal oldali menetmotor nem működik.</t>
  </si>
  <si>
    <t>SM-2024/12480</t>
  </si>
  <si>
    <t>Targonca Bal oldali ajtója elmozdult a helyéről,ajtózár szorul.</t>
  </si>
  <si>
    <t>SM-2024/12529</t>
  </si>
  <si>
    <t>HNK: 08 Targonca első hid beszerelés.</t>
  </si>
  <si>
    <t>SM-2024/12528</t>
  </si>
  <si>
    <t>Targonca első gumiabroncsai berepedeztek.</t>
  </si>
  <si>
    <t>SM-2024/12575</t>
  </si>
  <si>
    <t>SM-2024/12574</t>
  </si>
  <si>
    <t>SM-2024/12066</t>
  </si>
  <si>
    <t>Emelőgép villakerekéről levállt a futófelület,az úthibák miatt.Rendellenes használat</t>
  </si>
  <si>
    <t>Targonca első hid beszerelés.</t>
  </si>
  <si>
    <t>Emelőgép villakerekéről levállt a futófelölet.Úthibák miatt.Rendellenes használat során</t>
  </si>
  <si>
    <t>SM-2024/12847</t>
  </si>
  <si>
    <t>Emelőgép meghajtókerekéről levállt a futófelület,az úthibák miatt.Rendellenes
használat során.</t>
  </si>
  <si>
    <t>Emelőgép villakerekéről levállt a futófelület,az úthibák miatt.Rendellenes használat
során.</t>
  </si>
  <si>
    <t>SM-2024/12845</t>
  </si>
  <si>
    <t>Targonca hibakódot jelez.16A206.Meghajtó motor hiba.</t>
  </si>
  <si>
    <t>SM-2024/12852</t>
  </si>
  <si>
    <t>SM-2024/12851</t>
  </si>
  <si>
    <t>Targonca hibakódot jelez.16A206.Meghajtó motor hiba</t>
  </si>
  <si>
    <t>HNK: 07 Targonca hibakódot jelez.16A206.</t>
  </si>
  <si>
    <t>SM-2024/12774</t>
  </si>
  <si>
    <t>HNK:18 Targonca akkuajtója menet közbe kinyílik.</t>
  </si>
  <si>
    <t>SM-2024/12646</t>
  </si>
  <si>
    <t>Targonca lámpa áthelyezés.</t>
  </si>
  <si>
    <t>SM-2024/12647</t>
  </si>
  <si>
    <t>SM-2024/12649</t>
  </si>
  <si>
    <t>Targonca kabin beázik.Gép alatt olajfolyás látható.Ajtózár nem működik</t>
  </si>
  <si>
    <t>Targonca jobb első ajtózárja letörött.</t>
  </si>
  <si>
    <t>SM-2024/12648</t>
  </si>
  <si>
    <t>HNK:09 Targonca elszállításra kerül.</t>
  </si>
  <si>
    <t>SM-2024/12650</t>
  </si>
  <si>
    <t>SM-2024/12987</t>
  </si>
  <si>
    <t>Kiegészítés</t>
  </si>
  <si>
    <t>Próba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</si>
</sst>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.\ mm\.\ dd\."/>
    <numFmt numFmtId="165" formatCode="#,##0.##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FF00"/>
      <name val="Calibri"/>
      <family val="2"/>
      <charset val="238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4"/>
      <color theme="1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sz val="12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FF0000"/>
      <name val="Calibri"/>
      <family val="2"/>
      <scheme val="minor"/>
    </font>
    <font>
      <sz val="36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2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2"/>
      <color rgb="FF000000"/>
      <name val="Times New Roman"/>
      <family val="1"/>
      <charset val="238"/>
    </font>
    <font>
      <b/>
      <sz val="12"/>
      <color rgb="FF000000"/>
      <name val="Times New Roman"/>
      <family val="1"/>
      <charset val="238"/>
    </font>
    <font>
      <sz val="12"/>
      <color theme="1"/>
      <name val="Times New Roman"/>
      <family val="1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rgb="FFFFFF00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33CCCC"/>
      </patternFill>
    </fill>
    <fill>
      <patternFill patternType="solid">
        <fgColor rgb="FF92D050"/>
        <bgColor rgb="FFC4BD97"/>
      </patternFill>
    </fill>
    <fill>
      <patternFill patternType="solid">
        <fgColor rgb="FFFFC000"/>
        <bgColor indexed="64"/>
      </patternFill>
    </fill>
    <fill>
      <patternFill patternType="solid">
        <fgColor rgb="FFFDEADA"/>
        <bgColor rgb="FFFCD5B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3D3D3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A9A9A9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00FF"/>
        <bgColor indexed="64"/>
      </patternFill>
    </fill>
  </fills>
  <borders count="9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0000"/>
      </bottom>
      <diagonal/>
    </border>
  </borders>
  <cellStyleXfs count="1">
    <xf numFmtId="0" fontId="0" fillId="0" borderId="0"/>
  </cellStyleXfs>
  <cellXfs count="593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0" fillId="0" borderId="16" xfId="0" applyFont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14" fontId="0" fillId="0" borderId="16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0" borderId="16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11" fillId="4" borderId="20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1" fillId="4" borderId="21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1" fillId="4" borderId="2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14" fontId="0" fillId="0" borderId="9" xfId="0" applyNumberFormat="1" applyBorder="1" applyAlignment="1">
      <alignment horizontal="center" vertical="center"/>
    </xf>
    <xf numFmtId="3" fontId="0" fillId="0" borderId="17" xfId="0" applyNumberFormat="1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3" fillId="5" borderId="10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13" fillId="5" borderId="11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13" fillId="5" borderId="27" xfId="0" applyFont="1" applyFill="1" applyBorder="1" applyAlignment="1">
      <alignment horizontal="center" vertical="center"/>
    </xf>
    <xf numFmtId="0" fontId="0" fillId="5" borderId="28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13" fillId="6" borderId="30" xfId="0" applyFont="1" applyFill="1" applyBorder="1" applyAlignment="1">
      <alignment horizontal="center" vertical="center"/>
    </xf>
    <xf numFmtId="0" fontId="0" fillId="6" borderId="31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13" fillId="6" borderId="11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3" fillId="6" borderId="27" xfId="0" applyFont="1" applyFill="1" applyBorder="1" applyAlignment="1">
      <alignment horizontal="center" vertical="center"/>
    </xf>
    <xf numFmtId="0" fontId="0" fillId="6" borderId="28" xfId="0" applyFill="1" applyBorder="1" applyAlignment="1">
      <alignment horizontal="center"/>
    </xf>
    <xf numFmtId="0" fontId="0" fillId="6" borderId="29" xfId="0" applyFill="1" applyBorder="1" applyAlignment="1">
      <alignment horizontal="center"/>
    </xf>
    <xf numFmtId="0" fontId="13" fillId="7" borderId="30" xfId="0" applyFont="1" applyFill="1" applyBorder="1" applyAlignment="1">
      <alignment horizontal="center" vertical="center"/>
    </xf>
    <xf numFmtId="0" fontId="0" fillId="7" borderId="31" xfId="0" applyFill="1" applyBorder="1" applyAlignment="1">
      <alignment horizontal="center"/>
    </xf>
    <xf numFmtId="0" fontId="0" fillId="7" borderId="32" xfId="0" applyFill="1" applyBorder="1" applyAlignment="1">
      <alignment horizontal="center"/>
    </xf>
    <xf numFmtId="0" fontId="13" fillId="7" borderId="11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13" fillId="7" borderId="12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13" fillId="8" borderId="30" xfId="0" applyFont="1" applyFill="1" applyBorder="1" applyAlignment="1">
      <alignment horizontal="center" vertical="center"/>
    </xf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13" fillId="8" borderId="27" xfId="0" applyFont="1" applyFill="1" applyBorder="1" applyAlignment="1">
      <alignment horizontal="center" vertical="center"/>
    </xf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13" fillId="7" borderId="10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3" fillId="7" borderId="27" xfId="0" applyFont="1" applyFill="1" applyBorder="1" applyAlignment="1">
      <alignment horizontal="center" vertical="center"/>
    </xf>
    <xf numFmtId="0" fontId="0" fillId="7" borderId="28" xfId="0" applyFill="1" applyBorder="1" applyAlignment="1">
      <alignment horizontal="center"/>
    </xf>
    <xf numFmtId="0" fontId="0" fillId="7" borderId="29" xfId="0" applyFill="1" applyBorder="1" applyAlignment="1">
      <alignment horizontal="center"/>
    </xf>
    <xf numFmtId="0" fontId="13" fillId="9" borderId="30" xfId="0" applyFont="1" applyFill="1" applyBorder="1" applyAlignment="1">
      <alignment horizontal="center" vertical="center"/>
    </xf>
    <xf numFmtId="0" fontId="0" fillId="9" borderId="31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13" fillId="9" borderId="11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13" fillId="9" borderId="27" xfId="0" applyFont="1" applyFill="1" applyBorder="1" applyAlignment="1">
      <alignment horizontal="center" vertical="center"/>
    </xf>
    <xf numFmtId="0" fontId="0" fillId="9" borderId="28" xfId="0" applyFill="1" applyBorder="1" applyAlignment="1">
      <alignment horizontal="center"/>
    </xf>
    <xf numFmtId="0" fontId="0" fillId="9" borderId="29" xfId="0" applyFill="1" applyBorder="1" applyAlignment="1">
      <alignment horizontal="center"/>
    </xf>
    <xf numFmtId="0" fontId="14" fillId="5" borderId="2" xfId="0" applyFont="1" applyFill="1" applyBorder="1" applyAlignment="1">
      <alignment horizontal="center"/>
    </xf>
    <xf numFmtId="0" fontId="14" fillId="5" borderId="28" xfId="0" applyFont="1" applyFill="1" applyBorder="1" applyAlignment="1">
      <alignment horizontal="center"/>
    </xf>
    <xf numFmtId="0" fontId="13" fillId="5" borderId="24" xfId="0" applyFont="1" applyFill="1" applyBorder="1" applyAlignment="1">
      <alignment horizontal="center" vertical="center"/>
    </xf>
    <xf numFmtId="0" fontId="14" fillId="5" borderId="25" xfId="0" applyFont="1" applyFill="1" applyBorder="1" applyAlignment="1">
      <alignment horizontal="center"/>
    </xf>
    <xf numFmtId="0" fontId="14" fillId="5" borderId="26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11" fillId="4" borderId="3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4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5" borderId="26" xfId="0" applyFill="1" applyBorder="1" applyAlignment="1">
      <alignment horizontal="center"/>
    </xf>
    <xf numFmtId="0" fontId="15" fillId="11" borderId="33" xfId="0" applyFont="1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15" fillId="11" borderId="37" xfId="0" applyFont="1" applyFill="1" applyBorder="1" applyAlignment="1">
      <alignment horizontal="center" vertical="center"/>
    </xf>
    <xf numFmtId="0" fontId="0" fillId="13" borderId="16" xfId="0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6" xfId="0" applyBorder="1"/>
    <xf numFmtId="0" fontId="16" fillId="2" borderId="5" xfId="0" applyFont="1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0" fillId="0" borderId="5" xfId="0" applyBorder="1"/>
    <xf numFmtId="0" fontId="0" fillId="13" borderId="31" xfId="0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27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/>
    </xf>
    <xf numFmtId="0" fontId="0" fillId="6" borderId="4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41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14" fontId="0" fillId="0" borderId="3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5" fillId="11" borderId="37" xfId="0" applyFont="1" applyFill="1" applyBorder="1" applyAlignment="1">
      <alignment horizontal="center" vertical="center" wrapText="1"/>
    </xf>
    <xf numFmtId="0" fontId="0" fillId="0" borderId="41" xfId="0" applyBorder="1"/>
    <xf numFmtId="0" fontId="13" fillId="7" borderId="15" xfId="0" applyFont="1" applyFill="1" applyBorder="1" applyAlignment="1">
      <alignment horizontal="center" vertical="center"/>
    </xf>
    <xf numFmtId="0" fontId="13" fillId="7" borderId="9" xfId="0" applyFont="1" applyFill="1" applyBorder="1" applyAlignment="1">
      <alignment horizontal="center" vertical="center"/>
    </xf>
    <xf numFmtId="0" fontId="13" fillId="7" borderId="46" xfId="0" applyFont="1" applyFill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13" fillId="5" borderId="40" xfId="0" applyFont="1" applyFill="1" applyBorder="1" applyAlignment="1">
      <alignment horizontal="center" vertical="center"/>
    </xf>
    <xf numFmtId="0" fontId="13" fillId="5" borderId="19" xfId="0" applyFont="1" applyFill="1" applyBorder="1" applyAlignment="1">
      <alignment horizontal="center" vertical="center"/>
    </xf>
    <xf numFmtId="0" fontId="13" fillId="5" borderId="41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15" fillId="0" borderId="3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5" fillId="2" borderId="40" xfId="0" applyFont="1" applyFill="1" applyBorder="1" applyAlignment="1">
      <alignment horizontal="center" vertical="center"/>
    </xf>
    <xf numFmtId="0" fontId="15" fillId="2" borderId="19" xfId="0" applyFont="1" applyFill="1" applyBorder="1" applyAlignment="1">
      <alignment horizontal="center" vertical="center"/>
    </xf>
    <xf numFmtId="0" fontId="15" fillId="2" borderId="49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 vertical="center"/>
    </xf>
    <xf numFmtId="0" fontId="0" fillId="13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3" fillId="6" borderId="40" xfId="0" applyFont="1" applyFill="1" applyBorder="1" applyAlignment="1">
      <alignment horizontal="center" vertical="center"/>
    </xf>
    <xf numFmtId="0" fontId="13" fillId="6" borderId="19" xfId="0" applyFont="1" applyFill="1" applyBorder="1" applyAlignment="1">
      <alignment horizontal="center" vertical="center"/>
    </xf>
    <xf numFmtId="0" fontId="13" fillId="6" borderId="41" xfId="0" applyFont="1" applyFill="1" applyBorder="1" applyAlignment="1">
      <alignment horizontal="center" vertical="center"/>
    </xf>
    <xf numFmtId="0" fontId="13" fillId="7" borderId="35" xfId="0" applyFont="1" applyFill="1" applyBorder="1" applyAlignment="1">
      <alignment horizontal="center" vertical="center"/>
    </xf>
    <xf numFmtId="0" fontId="13" fillId="7" borderId="19" xfId="0" applyFont="1" applyFill="1" applyBorder="1" applyAlignment="1">
      <alignment horizontal="center" vertical="center"/>
    </xf>
    <xf numFmtId="0" fontId="13" fillId="7" borderId="39" xfId="0" applyFont="1" applyFill="1" applyBorder="1" applyAlignment="1">
      <alignment horizontal="center" vertical="center"/>
    </xf>
    <xf numFmtId="0" fontId="13" fillId="8" borderId="40" xfId="0" applyFont="1" applyFill="1" applyBorder="1" applyAlignment="1">
      <alignment horizontal="center" vertical="center"/>
    </xf>
    <xf numFmtId="0" fontId="13" fillId="8" borderId="41" xfId="0" applyFont="1" applyFill="1" applyBorder="1" applyAlignment="1">
      <alignment horizontal="center" vertical="center"/>
    </xf>
    <xf numFmtId="0" fontId="13" fillId="7" borderId="4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35" xfId="0" applyBorder="1"/>
    <xf numFmtId="0" fontId="17" fillId="2" borderId="19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0" fillId="12" borderId="14" xfId="0" applyFill="1" applyBorder="1" applyAlignment="1">
      <alignment horizontal="center"/>
    </xf>
    <xf numFmtId="0" fontId="0" fillId="12" borderId="47" xfId="0" applyFill="1" applyBorder="1" applyAlignment="1">
      <alignment horizontal="center"/>
    </xf>
    <xf numFmtId="0" fontId="0" fillId="12" borderId="48" xfId="0" applyFill="1" applyBorder="1" applyAlignment="1">
      <alignment horizontal="center"/>
    </xf>
    <xf numFmtId="0" fontId="16" fillId="2" borderId="31" xfId="0" applyFont="1" applyFill="1" applyBorder="1" applyAlignment="1">
      <alignment horizontal="center" vertical="center"/>
    </xf>
    <xf numFmtId="0" fontId="16" fillId="2" borderId="28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3" xfId="0" applyBorder="1" applyAlignment="1">
      <alignment horizontal="center"/>
    </xf>
    <xf numFmtId="0" fontId="17" fillId="2" borderId="41" xfId="0" applyFont="1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13" fillId="11" borderId="21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14" fontId="0" fillId="0" borderId="27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4" fontId="0" fillId="0" borderId="30" xfId="0" applyNumberFormat="1" applyBorder="1" applyAlignment="1">
      <alignment horizontal="center"/>
    </xf>
    <xf numFmtId="0" fontId="11" fillId="4" borderId="54" xfId="0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4" fontId="0" fillId="14" borderId="10" xfId="0" applyNumberFormat="1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0" fillId="12" borderId="5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31" xfId="0" applyFill="1" applyBorder="1" applyAlignment="1">
      <alignment horizontal="center"/>
    </xf>
    <xf numFmtId="0" fontId="0" fillId="12" borderId="28" xfId="0" applyFill="1" applyBorder="1" applyAlignment="1">
      <alignment horizontal="center"/>
    </xf>
    <xf numFmtId="0" fontId="0" fillId="0" borderId="5" xfId="0" quotePrefix="1" applyBorder="1" applyAlignment="1">
      <alignment horizontal="center" vertical="center"/>
    </xf>
    <xf numFmtId="14" fontId="0" fillId="0" borderId="35" xfId="0" applyNumberFormat="1" applyBorder="1" applyAlignment="1">
      <alignment horizontal="center" vertical="center"/>
    </xf>
    <xf numFmtId="14" fontId="0" fillId="0" borderId="49" xfId="0" applyNumberForma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1" fillId="4" borderId="51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11" fillId="4" borderId="16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0" fontId="11" fillId="4" borderId="57" xfId="0" applyFont="1" applyFill="1" applyBorder="1" applyAlignment="1">
      <alignment horizontal="center" vertical="center"/>
    </xf>
    <xf numFmtId="0" fontId="11" fillId="4" borderId="37" xfId="0" applyFont="1" applyFill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1" fillId="4" borderId="32" xfId="0" applyFont="1" applyFill="1" applyBorder="1" applyAlignment="1">
      <alignment horizontal="center" vertical="center"/>
    </xf>
    <xf numFmtId="14" fontId="0" fillId="0" borderId="42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14" fontId="0" fillId="0" borderId="5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17" borderId="51" xfId="0" applyFont="1" applyFill="1" applyBorder="1"/>
    <xf numFmtId="0" fontId="0" fillId="2" borderId="1" xfId="0" applyFill="1" applyBorder="1" applyAlignment="1">
      <alignment horizontal="center" vertical="center"/>
    </xf>
    <xf numFmtId="0" fontId="6" fillId="0" borderId="51" xfId="0" applyFont="1" applyBorder="1"/>
    <xf numFmtId="0" fontId="0" fillId="17" borderId="60" xfId="0" applyFill="1" applyBorder="1"/>
    <xf numFmtId="0" fontId="0" fillId="17" borderId="32" xfId="0" applyFill="1" applyBorder="1"/>
    <xf numFmtId="0" fontId="0" fillId="2" borderId="40" xfId="0" applyFill="1" applyBorder="1" applyAlignment="1">
      <alignment horizontal="center" vertical="center"/>
    </xf>
    <xf numFmtId="0" fontId="0" fillId="2" borderId="61" xfId="0" applyFill="1" applyBorder="1"/>
    <xf numFmtId="0" fontId="0" fillId="0" borderId="62" xfId="0" applyBorder="1"/>
    <xf numFmtId="0" fontId="0" fillId="0" borderId="63" xfId="0" applyBorder="1"/>
    <xf numFmtId="0" fontId="0" fillId="17" borderId="9" xfId="0" applyFill="1" applyBorder="1"/>
    <xf numFmtId="0" fontId="0" fillId="17" borderId="16" xfId="0" applyFill="1" applyBorder="1"/>
    <xf numFmtId="0" fontId="0" fillId="2" borderId="19" xfId="0" applyFill="1" applyBorder="1" applyAlignment="1">
      <alignment horizontal="center" vertical="center"/>
    </xf>
    <xf numFmtId="0" fontId="0" fillId="2" borderId="65" xfId="0" applyFill="1" applyBorder="1"/>
    <xf numFmtId="0" fontId="0" fillId="0" borderId="56" xfId="0" applyBorder="1"/>
    <xf numFmtId="0" fontId="0" fillId="2" borderId="41" xfId="0" applyFill="1" applyBorder="1" applyAlignment="1">
      <alignment horizontal="center" vertical="center"/>
    </xf>
    <xf numFmtId="0" fontId="0" fillId="17" borderId="0" xfId="0" applyFill="1"/>
    <xf numFmtId="0" fontId="0" fillId="2" borderId="66" xfId="0" applyFill="1" applyBorder="1" applyAlignment="1">
      <alignment horizontal="center" vertical="center"/>
    </xf>
    <xf numFmtId="0" fontId="0" fillId="2" borderId="56" xfId="0" applyFill="1" applyBorder="1"/>
    <xf numFmtId="0" fontId="0" fillId="17" borderId="53" xfId="0" applyFill="1" applyBorder="1"/>
    <xf numFmtId="0" fontId="0" fillId="2" borderId="58" xfId="0" applyFill="1" applyBorder="1" applyAlignment="1">
      <alignment horizontal="center" vertical="center"/>
    </xf>
    <xf numFmtId="0" fontId="0" fillId="2" borderId="59" xfId="0" applyFill="1" applyBorder="1"/>
    <xf numFmtId="0" fontId="0" fillId="0" borderId="53" xfId="0" applyBorder="1"/>
    <xf numFmtId="0" fontId="0" fillId="0" borderId="59" xfId="0" applyBorder="1"/>
    <xf numFmtId="0" fontId="0" fillId="18" borderId="1" xfId="0" applyFill="1" applyBorder="1" applyAlignment="1">
      <alignment horizontal="center" vertical="center"/>
    </xf>
    <xf numFmtId="0" fontId="6" fillId="0" borderId="64" xfId="0" applyFont="1" applyBorder="1"/>
    <xf numFmtId="0" fontId="0" fillId="17" borderId="11" xfId="0" applyFill="1" applyBorder="1"/>
    <xf numFmtId="0" fontId="0" fillId="17" borderId="45" xfId="0" applyFill="1" applyBorder="1"/>
    <xf numFmtId="0" fontId="0" fillId="2" borderId="51" xfId="0" applyFill="1" applyBorder="1" applyAlignment="1">
      <alignment horizontal="center" vertical="center"/>
    </xf>
    <xf numFmtId="0" fontId="0" fillId="2" borderId="63" xfId="0" applyFill="1" applyBorder="1"/>
    <xf numFmtId="0" fontId="0" fillId="0" borderId="40" xfId="0" applyBorder="1"/>
    <xf numFmtId="0" fontId="0" fillId="0" borderId="60" xfId="0" applyBorder="1"/>
    <xf numFmtId="0" fontId="0" fillId="0" borderId="44" xfId="0" applyBorder="1"/>
    <xf numFmtId="0" fontId="0" fillId="2" borderId="64" xfId="0" applyFill="1" applyBorder="1" applyAlignment="1">
      <alignment horizontal="center" vertical="center"/>
    </xf>
    <xf numFmtId="0" fontId="0" fillId="0" borderId="19" xfId="0" applyBorder="1"/>
    <xf numFmtId="0" fontId="0" fillId="0" borderId="9" xfId="0" applyBorder="1"/>
    <xf numFmtId="0" fontId="0" fillId="0" borderId="45" xfId="0" applyBorder="1"/>
    <xf numFmtId="0" fontId="0" fillId="0" borderId="46" xfId="0" applyBorder="1"/>
    <xf numFmtId="0" fontId="0" fillId="0" borderId="34" xfId="0" applyBorder="1"/>
    <xf numFmtId="0" fontId="0" fillId="0" borderId="66" xfId="0" applyBorder="1"/>
    <xf numFmtId="0" fontId="0" fillId="0" borderId="64" xfId="0" applyBorder="1" applyAlignment="1">
      <alignment horizontal="center" vertical="center"/>
    </xf>
    <xf numFmtId="0" fontId="0" fillId="17" borderId="12" xfId="0" applyFill="1" applyBorder="1"/>
    <xf numFmtId="0" fontId="0" fillId="17" borderId="50" xfId="0" applyFill="1" applyBorder="1"/>
    <xf numFmtId="0" fontId="4" fillId="2" borderId="64" xfId="0" applyFont="1" applyFill="1" applyBorder="1" applyAlignment="1">
      <alignment horizontal="center" vertical="center"/>
    </xf>
    <xf numFmtId="0" fontId="0" fillId="17" borderId="27" xfId="0" applyFill="1" applyBorder="1"/>
    <xf numFmtId="0" fontId="0" fillId="17" borderId="34" xfId="0" applyFill="1" applyBorder="1"/>
    <xf numFmtId="0" fontId="0" fillId="17" borderId="41" xfId="0" applyFill="1" applyBorder="1" applyAlignment="1">
      <alignment horizontal="center" vertical="center"/>
    </xf>
    <xf numFmtId="0" fontId="0" fillId="0" borderId="58" xfId="0" applyBorder="1"/>
    <xf numFmtId="0" fontId="0" fillId="17" borderId="51" xfId="0" applyFill="1" applyBorder="1"/>
    <xf numFmtId="0" fontId="0" fillId="18" borderId="64" xfId="0" applyFill="1" applyBorder="1" applyAlignment="1">
      <alignment horizontal="center" vertical="center"/>
    </xf>
    <xf numFmtId="0" fontId="0" fillId="17" borderId="31" xfId="0" applyFill="1" applyBorder="1"/>
    <xf numFmtId="0" fontId="0" fillId="2" borderId="57" xfId="0" applyFill="1" applyBorder="1" applyAlignment="1">
      <alignment horizontal="center" vertical="center"/>
    </xf>
    <xf numFmtId="0" fontId="0" fillId="0" borderId="57" xfId="0" applyBorder="1"/>
    <xf numFmtId="0" fontId="0" fillId="17" borderId="2" xfId="0" applyFill="1" applyBorder="1"/>
    <xf numFmtId="0" fontId="0" fillId="17" borderId="28" xfId="0" applyFill="1" applyBorder="1"/>
    <xf numFmtId="0" fontId="0" fillId="17" borderId="29" xfId="0" applyFill="1" applyBorder="1"/>
    <xf numFmtId="0" fontId="0" fillId="17" borderId="64" xfId="0" applyFill="1" applyBorder="1"/>
    <xf numFmtId="0" fontId="0" fillId="17" borderId="30" xfId="0" applyFill="1" applyBorder="1"/>
    <xf numFmtId="0" fontId="0" fillId="17" borderId="44" xfId="0" applyFill="1" applyBorder="1"/>
    <xf numFmtId="0" fontId="0" fillId="0" borderId="16" xfId="0" applyBorder="1"/>
    <xf numFmtId="0" fontId="0" fillId="0" borderId="30" xfId="0" applyBorder="1"/>
    <xf numFmtId="0" fontId="0" fillId="0" borderId="31" xfId="0" applyBorder="1"/>
    <xf numFmtId="0" fontId="0" fillId="0" borderId="11" xfId="0" applyBorder="1"/>
    <xf numFmtId="0" fontId="0" fillId="0" borderId="39" xfId="0" applyBorder="1" applyAlignment="1">
      <alignment horizontal="center" vertical="center"/>
    </xf>
    <xf numFmtId="0" fontId="0" fillId="17" borderId="66" xfId="0" applyFill="1" applyBorder="1"/>
    <xf numFmtId="0" fontId="0" fillId="17" borderId="56" xfId="0" applyFill="1" applyBorder="1"/>
    <xf numFmtId="0" fontId="0" fillId="17" borderId="58" xfId="0" applyFill="1" applyBorder="1"/>
    <xf numFmtId="0" fontId="0" fillId="17" borderId="59" xfId="0" applyFill="1" applyBorder="1"/>
    <xf numFmtId="0" fontId="0" fillId="0" borderId="2" xfId="0" applyBorder="1" applyAlignment="1">
      <alignment horizontal="center"/>
    </xf>
    <xf numFmtId="0" fontId="6" fillId="0" borderId="1" xfId="0" applyFont="1" applyBorder="1"/>
    <xf numFmtId="0" fontId="0" fillId="0" borderId="62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17" borderId="62" xfId="0" applyFill="1" applyBorder="1"/>
    <xf numFmtId="0" fontId="0" fillId="0" borderId="57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17" borderId="57" xfId="0" applyFill="1" applyBorder="1"/>
    <xf numFmtId="0" fontId="0" fillId="17" borderId="63" xfId="0" applyFill="1" applyBorder="1"/>
    <xf numFmtId="49" fontId="20" fillId="19" borderId="67" xfId="0" applyNumberFormat="1" applyFont="1" applyFill="1" applyBorder="1" applyAlignment="1">
      <alignment horizontal="center" vertical="center" readingOrder="1"/>
    </xf>
    <xf numFmtId="0" fontId="20" fillId="20" borderId="0" xfId="0" applyFont="1" applyFill="1" applyAlignment="1">
      <alignment horizontal="left" vertical="center" readingOrder="1"/>
    </xf>
    <xf numFmtId="49" fontId="20" fillId="20" borderId="0" xfId="0" applyNumberFormat="1" applyFont="1" applyFill="1" applyAlignment="1">
      <alignment horizontal="left" vertical="center" readingOrder="1"/>
    </xf>
    <xf numFmtId="1" fontId="20" fillId="20" borderId="0" xfId="0" applyNumberFormat="1" applyFont="1" applyFill="1" applyAlignment="1">
      <alignment horizontal="left" vertical="center" readingOrder="1"/>
    </xf>
    <xf numFmtId="164" fontId="20" fillId="20" borderId="0" xfId="0" applyNumberFormat="1" applyFont="1" applyFill="1" applyAlignment="1">
      <alignment horizontal="left" vertical="center" readingOrder="1"/>
    </xf>
    <xf numFmtId="165" fontId="20" fillId="20" borderId="0" xfId="0" applyNumberFormat="1" applyFont="1" applyFill="1" applyAlignment="1">
      <alignment horizontal="right" vertical="center" readingOrder="1"/>
    </xf>
    <xf numFmtId="49" fontId="20" fillId="3" borderId="0" xfId="0" applyNumberFormat="1" applyFont="1" applyFill="1" applyAlignment="1">
      <alignment horizontal="left" vertical="center" readingOrder="1"/>
    </xf>
    <xf numFmtId="49" fontId="20" fillId="21" borderId="0" xfId="0" applyNumberFormat="1" applyFont="1" applyFill="1" applyAlignment="1">
      <alignment horizontal="left" vertical="center" readingOrder="1"/>
    </xf>
    <xf numFmtId="0" fontId="20" fillId="22" borderId="68" xfId="0" applyFont="1" applyFill="1" applyBorder="1" applyAlignment="1">
      <alignment horizontal="right" vertical="center" readingOrder="1"/>
    </xf>
    <xf numFmtId="0" fontId="20" fillId="22" borderId="69" xfId="0" applyFont="1" applyFill="1" applyBorder="1" applyAlignment="1">
      <alignment horizontal="right" vertical="center" readingOrder="1"/>
    </xf>
    <xf numFmtId="165" fontId="20" fillId="22" borderId="69" xfId="0" applyNumberFormat="1" applyFont="1" applyFill="1" applyBorder="1" applyAlignment="1">
      <alignment horizontal="right" vertical="center" readingOrder="1"/>
    </xf>
    <xf numFmtId="0" fontId="0" fillId="11" borderId="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 wrapText="1"/>
    </xf>
    <xf numFmtId="0" fontId="21" fillId="3" borderId="0" xfId="0" applyFont="1" applyFill="1" applyAlignment="1">
      <alignment horizontal="left" vertical="center"/>
    </xf>
    <xf numFmtId="0" fontId="0" fillId="10" borderId="17" xfId="0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 wrapText="1"/>
    </xf>
    <xf numFmtId="14" fontId="0" fillId="0" borderId="24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0" fillId="0" borderId="28" xfId="0" applyBorder="1"/>
    <xf numFmtId="0" fontId="0" fillId="14" borderId="14" xfId="0" applyFill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2" fillId="2" borderId="62" xfId="0" quotePrefix="1" applyFont="1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14" fontId="0" fillId="0" borderId="53" xfId="0" applyNumberFormat="1" applyBorder="1" applyAlignment="1">
      <alignment horizontal="center" vertical="center"/>
    </xf>
    <xf numFmtId="0" fontId="0" fillId="0" borderId="64" xfId="0" quotePrefix="1" applyBorder="1" applyAlignment="1">
      <alignment horizontal="center" vertical="center"/>
    </xf>
    <xf numFmtId="0" fontId="0" fillId="0" borderId="49" xfId="0" quotePrefix="1" applyBorder="1" applyAlignment="1">
      <alignment horizontal="center" vertical="center"/>
    </xf>
    <xf numFmtId="0" fontId="11" fillId="4" borderId="73" xfId="0" applyFont="1" applyFill="1" applyBorder="1" applyAlignment="1">
      <alignment horizontal="center" vertical="center"/>
    </xf>
    <xf numFmtId="14" fontId="0" fillId="11" borderId="10" xfId="0" applyNumberFormat="1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11" borderId="14" xfId="0" applyFill="1" applyBorder="1" applyAlignment="1">
      <alignment horizontal="center" vertical="center"/>
    </xf>
    <xf numFmtId="0" fontId="0" fillId="14" borderId="47" xfId="0" applyFill="1" applyBorder="1" applyAlignment="1">
      <alignment horizontal="center" vertical="center"/>
    </xf>
    <xf numFmtId="14" fontId="0" fillId="0" borderId="75" xfId="0" applyNumberForma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14" fontId="0" fillId="0" borderId="77" xfId="0" applyNumberFormat="1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14" fontId="0" fillId="0" borderId="80" xfId="0" applyNumberFormat="1" applyBorder="1" applyAlignment="1">
      <alignment horizontal="center" vertical="center"/>
    </xf>
    <xf numFmtId="14" fontId="0" fillId="14" borderId="80" xfId="0" applyNumberFormat="1" applyFill="1" applyBorder="1" applyAlignment="1">
      <alignment horizontal="center" vertical="center"/>
    </xf>
    <xf numFmtId="14" fontId="0" fillId="0" borderId="81" xfId="0" applyNumberFormat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14" fontId="0" fillId="10" borderId="10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49" fontId="23" fillId="19" borderId="85" xfId="0" applyNumberFormat="1" applyFont="1" applyFill="1" applyBorder="1" applyAlignment="1">
      <alignment horizontal="center" vertical="center" readingOrder="1"/>
    </xf>
    <xf numFmtId="49" fontId="23" fillId="20" borderId="21" xfId="0" applyNumberFormat="1" applyFont="1" applyFill="1" applyBorder="1" applyAlignment="1">
      <alignment horizontal="left" vertical="center" readingOrder="1"/>
    </xf>
    <xf numFmtId="49" fontId="23" fillId="23" borderId="21" xfId="0" applyNumberFormat="1" applyFont="1" applyFill="1" applyBorder="1" applyAlignment="1">
      <alignment horizontal="left" vertical="center" readingOrder="1"/>
    </xf>
    <xf numFmtId="49" fontId="24" fillId="20" borderId="0" xfId="0" applyNumberFormat="1" applyFont="1" applyFill="1" applyAlignment="1">
      <alignment horizontal="left" vertical="center" readingOrder="1"/>
    </xf>
    <xf numFmtId="0" fontId="25" fillId="0" borderId="0" xfId="0" applyFont="1"/>
    <xf numFmtId="0" fontId="11" fillId="4" borderId="2" xfId="0" applyFont="1" applyFill="1" applyBorder="1" applyAlignment="1">
      <alignment horizontal="center" vertical="center"/>
    </xf>
    <xf numFmtId="0" fontId="11" fillId="4" borderId="86" xfId="0" applyFont="1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11" fillId="4" borderId="24" xfId="0" applyFont="1" applyFill="1" applyBorder="1" applyAlignment="1">
      <alignment horizontal="center" vertical="center"/>
    </xf>
    <xf numFmtId="0" fontId="11" fillId="4" borderId="52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14" fontId="0" fillId="23" borderId="10" xfId="0" applyNumberFormat="1" applyFill="1" applyBorder="1" applyAlignment="1">
      <alignment horizontal="center" vertical="center"/>
    </xf>
    <xf numFmtId="0" fontId="0" fillId="23" borderId="2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0" fontId="0" fillId="23" borderId="14" xfId="0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0" fontId="22" fillId="2" borderId="16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1" fillId="4" borderId="44" xfId="0" applyFont="1" applyFill="1" applyBorder="1" applyAlignment="1">
      <alignment horizontal="center" vertical="center"/>
    </xf>
    <xf numFmtId="0" fontId="11" fillId="4" borderId="75" xfId="0" applyFont="1" applyFill="1" applyBorder="1" applyAlignment="1">
      <alignment horizontal="center" vertical="center"/>
    </xf>
    <xf numFmtId="0" fontId="11" fillId="4" borderId="74" xfId="0" applyFont="1" applyFill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/>
    </xf>
    <xf numFmtId="0" fontId="11" fillId="4" borderId="87" xfId="0" applyFont="1" applyFill="1" applyBorder="1" applyAlignment="1">
      <alignment horizontal="center" vertical="center"/>
    </xf>
    <xf numFmtId="0" fontId="11" fillId="4" borderId="76" xfId="0" applyFont="1" applyFill="1" applyBorder="1" applyAlignment="1">
      <alignment horizontal="center" vertical="center"/>
    </xf>
    <xf numFmtId="14" fontId="0" fillId="11" borderId="2" xfId="0" applyNumberFormat="1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13" fillId="6" borderId="36" xfId="0" applyFont="1" applyFill="1" applyBorder="1" applyAlignment="1">
      <alignment horizontal="center" vertical="center"/>
    </xf>
    <xf numFmtId="0" fontId="13" fillId="6" borderId="38" xfId="0" applyFont="1" applyFill="1" applyBorder="1" applyAlignment="1">
      <alignment horizontal="center" vertical="center"/>
    </xf>
    <xf numFmtId="0" fontId="13" fillId="6" borderId="43" xfId="0" applyFont="1" applyFill="1" applyBorder="1" applyAlignment="1">
      <alignment horizontal="center" vertical="center"/>
    </xf>
    <xf numFmtId="0" fontId="13" fillId="7" borderId="36" xfId="0" applyFont="1" applyFill="1" applyBorder="1" applyAlignment="1">
      <alignment horizontal="center" vertical="center"/>
    </xf>
    <xf numFmtId="0" fontId="13" fillId="7" borderId="38" xfId="0" applyFont="1" applyFill="1" applyBorder="1" applyAlignment="1">
      <alignment horizontal="center" vertical="center"/>
    </xf>
    <xf numFmtId="0" fontId="13" fillId="7" borderId="43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center" vertical="center"/>
    </xf>
    <xf numFmtId="0" fontId="13" fillId="8" borderId="43" xfId="0" applyFont="1" applyFill="1" applyBorder="1" applyAlignment="1">
      <alignment horizontal="center" vertical="center"/>
    </xf>
    <xf numFmtId="0" fontId="13" fillId="6" borderId="2" xfId="0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0" fontId="13" fillId="6" borderId="31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3" fillId="7" borderId="42" xfId="0" applyFont="1" applyFill="1" applyBorder="1" applyAlignment="1">
      <alignment horizontal="center" vertical="center"/>
    </xf>
    <xf numFmtId="0" fontId="13" fillId="7" borderId="28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5" borderId="36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14" fontId="0" fillId="0" borderId="32" xfId="0" applyNumberFormat="1" applyBorder="1" applyAlignment="1">
      <alignment horizontal="center" vertical="center"/>
    </xf>
    <xf numFmtId="14" fontId="22" fillId="0" borderId="21" xfId="0" applyNumberFormat="1" applyFont="1" applyBorder="1" applyAlignment="1">
      <alignment horizontal="center" vertical="center"/>
    </xf>
    <xf numFmtId="14" fontId="0" fillId="0" borderId="64" xfId="0" applyNumberFormat="1" applyBorder="1" applyAlignment="1">
      <alignment horizontal="center" vertical="center"/>
    </xf>
    <xf numFmtId="14" fontId="28" fillId="24" borderId="10" xfId="0" applyNumberFormat="1" applyFont="1" applyFill="1" applyBorder="1" applyAlignment="1">
      <alignment horizontal="center" vertical="center"/>
    </xf>
    <xf numFmtId="0" fontId="28" fillId="24" borderId="2" xfId="0" applyFont="1" applyFill="1" applyBorder="1" applyAlignment="1">
      <alignment horizontal="center" vertical="center"/>
    </xf>
    <xf numFmtId="0" fontId="28" fillId="24" borderId="5" xfId="0" applyFont="1" applyFill="1" applyBorder="1" applyAlignment="1">
      <alignment horizontal="center" vertical="center"/>
    </xf>
    <xf numFmtId="0" fontId="28" fillId="24" borderId="14" xfId="0" applyFont="1" applyFill="1" applyBorder="1" applyAlignment="1">
      <alignment horizontal="center" vertical="center"/>
    </xf>
    <xf numFmtId="14" fontId="7" fillId="24" borderId="10" xfId="0" applyNumberFormat="1" applyFont="1" applyFill="1" applyBorder="1" applyAlignment="1">
      <alignment horizontal="center" vertical="center"/>
    </xf>
    <xf numFmtId="0" fontId="7" fillId="24" borderId="2" xfId="0" applyFont="1" applyFill="1" applyBorder="1" applyAlignment="1">
      <alignment horizontal="center" vertical="center"/>
    </xf>
    <xf numFmtId="0" fontId="7" fillId="24" borderId="5" xfId="0" applyFont="1" applyFill="1" applyBorder="1" applyAlignment="1">
      <alignment horizontal="center" vertical="center"/>
    </xf>
    <xf numFmtId="0" fontId="7" fillId="24" borderId="14" xfId="0" applyFont="1" applyFill="1" applyBorder="1" applyAlignment="1">
      <alignment horizontal="center" vertical="center"/>
    </xf>
    <xf numFmtId="0" fontId="28" fillId="24" borderId="15" xfId="0" applyFont="1" applyFill="1" applyBorder="1" applyAlignment="1">
      <alignment horizontal="center" vertical="center"/>
    </xf>
    <xf numFmtId="0" fontId="28" fillId="24" borderId="0" xfId="0" applyFont="1" applyFill="1"/>
    <xf numFmtId="0" fontId="6" fillId="0" borderId="1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22" fillId="0" borderId="37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3" fillId="6" borderId="35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/>
    </xf>
    <xf numFmtId="0" fontId="0" fillId="5" borderId="43" xfId="0" applyFill="1" applyBorder="1" applyAlignment="1">
      <alignment horizontal="center"/>
    </xf>
    <xf numFmtId="0" fontId="6" fillId="0" borderId="57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29" fillId="26" borderId="1" xfId="0" applyFont="1" applyFill="1" applyBorder="1" applyAlignment="1">
      <alignment horizontal="center" vertical="center"/>
    </xf>
    <xf numFmtId="0" fontId="29" fillId="26" borderId="4" xfId="0" applyFont="1" applyFill="1" applyBorder="1" applyAlignment="1">
      <alignment horizontal="center" vertical="center"/>
    </xf>
    <xf numFmtId="0" fontId="29" fillId="26" borderId="5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5" borderId="36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0" fillId="27" borderId="2" xfId="0" applyFill="1" applyBorder="1" applyAlignment="1">
      <alignment horizontal="center" vertical="center"/>
    </xf>
    <xf numFmtId="0" fontId="28" fillId="27" borderId="5" xfId="0" applyFont="1" applyFill="1" applyBorder="1" applyAlignment="1">
      <alignment horizontal="center" vertical="center"/>
    </xf>
    <xf numFmtId="0" fontId="28" fillId="27" borderId="14" xfId="0" applyFont="1" applyFill="1" applyBorder="1" applyAlignment="1">
      <alignment horizontal="center" vertical="center"/>
    </xf>
    <xf numFmtId="14" fontId="7" fillId="27" borderId="10" xfId="0" applyNumberFormat="1" applyFont="1" applyFill="1" applyBorder="1" applyAlignment="1">
      <alignment horizontal="center" vertical="center"/>
    </xf>
    <xf numFmtId="0" fontId="7" fillId="27" borderId="2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14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14" fontId="2" fillId="11" borderId="10" xfId="0" applyNumberFormat="1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 wrapText="1"/>
    </xf>
    <xf numFmtId="14" fontId="2" fillId="11" borderId="11" xfId="0" applyNumberFormat="1" applyFont="1" applyFill="1" applyBorder="1" applyAlignment="1">
      <alignment horizontal="center" vertical="center"/>
    </xf>
    <xf numFmtId="14" fontId="2" fillId="11" borderId="27" xfId="0" applyNumberFormat="1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 vertical="center" wrapText="1"/>
    </xf>
    <xf numFmtId="14" fontId="30" fillId="0" borderId="25" xfId="0" applyNumberFormat="1" applyFont="1" applyBorder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52" xfId="0" applyFon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0" fillId="21" borderId="19" xfId="0" applyFill="1" applyBorder="1" applyAlignment="1">
      <alignment horizontal="center" vertical="center"/>
    </xf>
    <xf numFmtId="0" fontId="0" fillId="21" borderId="0" xfId="0" applyFill="1"/>
    <xf numFmtId="0" fontId="13" fillId="7" borderId="40" xfId="0" applyFont="1" applyFill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0" fillId="6" borderId="35" xfId="0" applyFill="1" applyBorder="1" applyAlignment="1">
      <alignment horizontal="center"/>
    </xf>
    <xf numFmtId="0" fontId="16" fillId="2" borderId="10" xfId="0" applyFont="1" applyFill="1" applyBorder="1" applyAlignment="1">
      <alignment horizontal="center" vertical="center"/>
    </xf>
    <xf numFmtId="0" fontId="15" fillId="2" borderId="35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/>
    </xf>
    <xf numFmtId="14" fontId="0" fillId="18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18" borderId="31" xfId="0" applyNumberFormat="1" applyFill="1" applyBorder="1" applyAlignment="1">
      <alignment horizontal="center" vertical="center"/>
    </xf>
    <xf numFmtId="14" fontId="6" fillId="17" borderId="11" xfId="0" applyNumberFormat="1" applyFont="1" applyFill="1" applyBorder="1" applyAlignment="1">
      <alignment horizontal="center" vertical="center"/>
    </xf>
    <xf numFmtId="14" fontId="6" fillId="17" borderId="12" xfId="0" applyNumberFormat="1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4" borderId="1" xfId="0" applyFont="1" applyFill="1" applyBorder="1" applyAlignment="1">
      <alignment horizontal="center" vertical="center"/>
    </xf>
    <xf numFmtId="14" fontId="0" fillId="18" borderId="6" xfId="0" applyNumberFormat="1" applyFill="1" applyBorder="1" applyAlignment="1">
      <alignment horizontal="center" vertical="center"/>
    </xf>
    <xf numFmtId="14" fontId="0" fillId="18" borderId="28" xfId="0" applyNumberFormat="1" applyFill="1" applyBorder="1" applyAlignment="1">
      <alignment horizontal="center" vertical="center"/>
    </xf>
    <xf numFmtId="0" fontId="13" fillId="6" borderId="4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13" fillId="8" borderId="7" xfId="0" applyFont="1" applyFill="1" applyBorder="1" applyAlignment="1">
      <alignment horizontal="center" vertical="center"/>
    </xf>
    <xf numFmtId="0" fontId="13" fillId="7" borderId="48" xfId="0" applyFont="1" applyFill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14" fontId="0" fillId="18" borderId="60" xfId="0" applyNumberFormat="1" applyFill="1" applyBorder="1" applyAlignment="1">
      <alignment horizontal="center" vertical="center"/>
    </xf>
    <xf numFmtId="14" fontId="6" fillId="17" borderId="1" xfId="0" applyNumberFormat="1" applyFont="1" applyFill="1" applyBorder="1" applyAlignment="1">
      <alignment horizontal="center" vertical="center" wrapText="1"/>
    </xf>
    <xf numFmtId="14" fontId="6" fillId="17" borderId="1" xfId="0" applyNumberFormat="1" applyFont="1" applyFill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4" fontId="0" fillId="18" borderId="9" xfId="0" applyNumberFormat="1" applyFill="1" applyBorder="1" applyAlignment="1">
      <alignment horizontal="center" vertical="center"/>
    </xf>
    <xf numFmtId="14" fontId="0" fillId="18" borderId="0" xfId="0" applyNumberFormat="1" applyFill="1" applyAlignment="1">
      <alignment horizontal="center" vertical="center"/>
    </xf>
    <xf numFmtId="14" fontId="0" fillId="18" borderId="16" xfId="0" applyNumberFormat="1" applyFill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0" fillId="5" borderId="43" xfId="0" quotePrefix="1" applyFill="1" applyBorder="1" applyAlignment="1">
      <alignment horizontal="center" vertical="center"/>
    </xf>
    <xf numFmtId="0" fontId="0" fillId="5" borderId="36" xfId="0" quotePrefix="1" applyFill="1" applyBorder="1" applyAlignment="1">
      <alignment horizontal="center" vertical="center"/>
    </xf>
    <xf numFmtId="0" fontId="0" fillId="5" borderId="38" xfId="0" quotePrefix="1" applyFill="1" applyBorder="1" applyAlignment="1">
      <alignment horizontal="center" vertical="center"/>
    </xf>
    <xf numFmtId="0" fontId="0" fillId="28" borderId="2" xfId="0" applyFill="1" applyBorder="1" applyAlignment="1">
      <alignment horizontal="center" vertical="center"/>
    </xf>
    <xf numFmtId="0" fontId="0" fillId="28" borderId="14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14" fontId="0" fillId="28" borderId="10" xfId="0" applyNumberFormat="1" applyFill="1" applyBorder="1" applyAlignment="1">
      <alignment horizontal="center" vertical="center"/>
    </xf>
    <xf numFmtId="0" fontId="0" fillId="28" borderId="16" xfId="0" applyFill="1" applyBorder="1"/>
    <xf numFmtId="0" fontId="11" fillId="4" borderId="89" xfId="0" applyFont="1" applyFill="1" applyBorder="1" applyAlignment="1">
      <alignment horizontal="center" vertical="center"/>
    </xf>
    <xf numFmtId="0" fontId="11" fillId="4" borderId="90" xfId="0" applyFon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0" fontId="0" fillId="14" borderId="17" xfId="0" applyFill="1" applyBorder="1" applyAlignment="1">
      <alignment horizontal="center" vertical="center" wrapText="1"/>
    </xf>
    <xf numFmtId="0" fontId="0" fillId="14" borderId="17" xfId="0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 wrapText="1"/>
    </xf>
    <xf numFmtId="0" fontId="7" fillId="24" borderId="17" xfId="0" applyFont="1" applyFill="1" applyBorder="1" applyAlignment="1">
      <alignment horizontal="center" vertical="center" wrapText="1"/>
    </xf>
    <xf numFmtId="0" fontId="7" fillId="27" borderId="17" xfId="0" applyFont="1" applyFill="1" applyBorder="1" applyAlignment="1">
      <alignment horizontal="center" vertical="center"/>
    </xf>
    <xf numFmtId="0" fontId="28" fillId="24" borderId="17" xfId="0" applyFont="1" applyFill="1" applyBorder="1" applyAlignment="1">
      <alignment horizontal="center" vertical="center"/>
    </xf>
    <xf numFmtId="0" fontId="7" fillId="24" borderId="17" xfId="0" applyFont="1" applyFill="1" applyBorder="1" applyAlignment="1">
      <alignment horizontal="center" vertical="center"/>
    </xf>
    <xf numFmtId="0" fontId="0" fillId="23" borderId="17" xfId="0" applyFill="1" applyBorder="1" applyAlignment="1">
      <alignment horizontal="center" vertical="center"/>
    </xf>
    <xf numFmtId="0" fontId="0" fillId="23" borderId="17" xfId="0" applyFill="1" applyBorder="1" applyAlignment="1">
      <alignment horizontal="center" vertical="center" wrapText="1"/>
    </xf>
    <xf numFmtId="0" fontId="0" fillId="0" borderId="91" xfId="0" applyBorder="1" applyAlignment="1">
      <alignment horizontal="center" vertical="center"/>
    </xf>
    <xf numFmtId="0" fontId="0" fillId="15" borderId="17" xfId="0" applyFill="1" applyBorder="1" applyAlignment="1">
      <alignment horizontal="center" vertical="center" wrapText="1"/>
    </xf>
    <xf numFmtId="0" fontId="0" fillId="15" borderId="17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 wrapText="1"/>
    </xf>
    <xf numFmtId="0" fontId="0" fillId="11" borderId="17" xfId="0" applyFill="1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27" borderId="35" xfId="0" applyFill="1" applyBorder="1" applyAlignment="1">
      <alignment horizontal="center" vertical="center"/>
    </xf>
    <xf numFmtId="0" fontId="0" fillId="14" borderId="35" xfId="0" applyFill="1" applyBorder="1" applyAlignment="1">
      <alignment horizontal="center" vertical="center"/>
    </xf>
    <xf numFmtId="0" fontId="0" fillId="25" borderId="35" xfId="0" applyFill="1" applyBorder="1" applyAlignment="1">
      <alignment horizontal="center" vertical="center"/>
    </xf>
    <xf numFmtId="0" fontId="0" fillId="24" borderId="35" xfId="0" applyFill="1" applyBorder="1" applyAlignment="1">
      <alignment horizontal="center" vertical="center"/>
    </xf>
    <xf numFmtId="0" fontId="0" fillId="23" borderId="35" xfId="0" applyFill="1" applyBorder="1" applyAlignment="1">
      <alignment horizontal="center" vertical="center"/>
    </xf>
    <xf numFmtId="0" fontId="7" fillId="24" borderId="35" xfId="0" applyFont="1" applyFill="1" applyBorder="1" applyAlignment="1">
      <alignment horizontal="center" vertical="center"/>
    </xf>
    <xf numFmtId="0" fontId="28" fillId="24" borderId="35" xfId="0" applyFont="1" applyFill="1" applyBorder="1" applyAlignment="1">
      <alignment horizontal="center" vertical="center"/>
    </xf>
    <xf numFmtId="0" fontId="0" fillId="14" borderId="64" xfId="0" applyFill="1" applyBorder="1" applyAlignment="1">
      <alignment horizontal="center" vertical="center"/>
    </xf>
    <xf numFmtId="0" fontId="0" fillId="14" borderId="93" xfId="0" applyFill="1" applyBorder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4" fontId="7" fillId="29" borderId="10" xfId="0" applyNumberFormat="1" applyFont="1" applyFill="1" applyBorder="1" applyAlignment="1">
      <alignment horizontal="center" vertical="center"/>
    </xf>
    <xf numFmtId="0" fontId="7" fillId="29" borderId="2" xfId="0" applyFont="1" applyFill="1" applyBorder="1" applyAlignment="1">
      <alignment horizontal="center" vertical="center"/>
    </xf>
    <xf numFmtId="0" fontId="7" fillId="29" borderId="17" xfId="0" applyFont="1" applyFill="1" applyBorder="1" applyAlignment="1">
      <alignment horizontal="center" vertical="center"/>
    </xf>
    <xf numFmtId="0" fontId="7" fillId="29" borderId="17" xfId="0" applyFont="1" applyFill="1" applyBorder="1" applyAlignment="1">
      <alignment horizontal="center" vertical="center" wrapText="1"/>
    </xf>
    <xf numFmtId="14" fontId="0" fillId="8" borderId="10" xfId="0" applyNumberFormat="1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1" fillId="4" borderId="62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14" fontId="1" fillId="11" borderId="2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19" fillId="16" borderId="21" xfId="0" applyFont="1" applyFill="1" applyBorder="1" applyAlignment="1">
      <alignment horizontal="center" vertical="center"/>
    </xf>
    <xf numFmtId="0" fontId="19" fillId="16" borderId="20" xfId="0" applyFont="1" applyFill="1" applyBorder="1" applyAlignment="1">
      <alignment horizontal="center" vertical="center"/>
    </xf>
    <xf numFmtId="0" fontId="19" fillId="16" borderId="53" xfId="0" applyFont="1" applyFill="1" applyBorder="1" applyAlignment="1">
      <alignment horizontal="center" vertical="center"/>
    </xf>
    <xf numFmtId="0" fontId="19" fillId="16" borderId="59" xfId="0" applyFont="1" applyFill="1" applyBorder="1" applyAlignment="1">
      <alignment horizontal="center" vertical="center"/>
    </xf>
    <xf numFmtId="0" fontId="20" fillId="22" borderId="70" xfId="0" applyFont="1" applyFill="1" applyBorder="1" applyAlignment="1">
      <alignment horizontal="right" vertical="center" readingOrder="1"/>
    </xf>
    <xf numFmtId="0" fontId="20" fillId="22" borderId="71" xfId="0" applyFont="1" applyFill="1" applyBorder="1" applyAlignment="1">
      <alignment horizontal="right" vertical="center" readingOrder="1"/>
    </xf>
    <xf numFmtId="0" fontId="6" fillId="0" borderId="51" xfId="0" applyFont="1" applyBorder="1" applyAlignment="1">
      <alignment horizontal="center" vertical="center" textRotation="180"/>
    </xf>
    <xf numFmtId="0" fontId="6" fillId="0" borderId="64" xfId="0" applyFont="1" applyBorder="1" applyAlignment="1">
      <alignment horizontal="center" vertical="center" textRotation="180"/>
    </xf>
    <xf numFmtId="0" fontId="6" fillId="0" borderId="49" xfId="0" applyFont="1" applyBorder="1" applyAlignment="1">
      <alignment horizontal="center" vertical="center" textRotation="180"/>
    </xf>
    <xf numFmtId="0" fontId="21" fillId="3" borderId="72" xfId="0" applyFont="1" applyFill="1" applyBorder="1" applyAlignment="1">
      <alignment horizontal="center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0" fillId="0" borderId="51" xfId="0" applyBorder="1" applyAlignment="1">
      <alignment horizontal="center" vertical="center" textRotation="180"/>
    </xf>
    <xf numFmtId="0" fontId="0" fillId="0" borderId="66" xfId="0" applyBorder="1" applyAlignment="1">
      <alignment horizontal="center" vertical="center" textRotation="180"/>
    </xf>
    <xf numFmtId="0" fontId="0" fillId="0" borderId="64" xfId="0" applyBorder="1" applyAlignment="1">
      <alignment horizontal="center" vertical="center" textRotation="180"/>
    </xf>
    <xf numFmtId="0" fontId="0" fillId="0" borderId="49" xfId="0" applyBorder="1" applyAlignment="1">
      <alignment horizontal="center" vertical="center" textRotation="180"/>
    </xf>
    <xf numFmtId="0" fontId="6" fillId="0" borderId="57" xfId="0" applyFont="1" applyBorder="1" applyAlignment="1">
      <alignment horizontal="center" vertical="center" textRotation="180"/>
    </xf>
    <xf numFmtId="0" fontId="6" fillId="0" borderId="66" xfId="0" applyFont="1" applyBorder="1" applyAlignment="1">
      <alignment horizontal="center" vertical="center" textRotation="180"/>
    </xf>
    <xf numFmtId="0" fontId="6" fillId="0" borderId="58" xfId="0" applyFont="1" applyBorder="1" applyAlignment="1">
      <alignment horizontal="center" vertical="center" textRotation="180"/>
    </xf>
    <xf numFmtId="0" fontId="6" fillId="11" borderId="51" xfId="0" applyFont="1" applyFill="1" applyBorder="1" applyAlignment="1">
      <alignment horizontal="center" vertical="center" textRotation="180"/>
    </xf>
    <xf numFmtId="0" fontId="6" fillId="11" borderId="64" xfId="0" applyFont="1" applyFill="1" applyBorder="1" applyAlignment="1">
      <alignment horizontal="center" vertical="center" textRotation="180"/>
    </xf>
    <xf numFmtId="0" fontId="6" fillId="11" borderId="49" xfId="0" applyFont="1" applyFill="1" applyBorder="1" applyAlignment="1">
      <alignment horizontal="center" vertical="center" textRotation="180"/>
    </xf>
  </cellXfs>
  <cellStyles count="1">
    <cellStyle name="Normál" xfId="0" builtinId="0"/>
  </cellStyles>
  <dxfs count="6518"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indexed="20"/>
      </font>
      <fill>
        <patternFill>
          <bgColor indexed="13"/>
        </patternFill>
      </fill>
    </dxf>
    <dxf>
      <font>
        <color indexed="20"/>
      </font>
      <fill>
        <patternFill>
          <bgColor indexed="13"/>
        </patternFill>
      </fill>
    </dxf>
    <dxf>
      <fill>
        <patternFill>
          <bgColor theme="9" tint="0.39994506668294322"/>
        </patternFill>
      </fill>
    </dxf>
    <dxf>
      <font>
        <color rgb="FFFFFF00"/>
      </font>
      <fill>
        <patternFill patternType="solid">
          <bgColor rgb="FFFF0000"/>
        </patternFill>
      </fill>
    </dxf>
    <dxf>
      <fill>
        <patternFill>
          <bgColor theme="9" tint="0.39994506668294322"/>
        </patternFill>
      </fill>
    </dxf>
    <dxf>
      <font>
        <color rgb="FFFFFF00"/>
      </font>
      <fill>
        <patternFill patternType="solid">
          <bgColor rgb="FFFF0000"/>
        </patternFill>
      </fill>
    </dxf>
    <dxf>
      <fill>
        <patternFill>
          <bgColor theme="9" tint="0.39994506668294322"/>
        </patternFill>
      </fill>
    </dxf>
    <dxf>
      <font>
        <color rgb="FFFFFF00"/>
      </font>
      <fill>
        <patternFill patternType="solid">
          <bgColor rgb="FFFF0000"/>
        </patternFill>
      </fill>
    </dxf>
    <dxf>
      <fill>
        <patternFill>
          <bgColor theme="9" tint="0.39994506668294322"/>
        </patternFill>
      </fill>
    </dxf>
    <dxf>
      <font>
        <color rgb="FFFFFF00"/>
      </font>
      <fill>
        <patternFill patternType="solid">
          <bgColor rgb="FFFF0000"/>
        </patternFill>
      </fill>
    </dxf>
    <dxf>
      <fill>
        <patternFill>
          <bgColor theme="9" tint="0.39994506668294322"/>
        </patternFill>
      </fill>
    </dxf>
    <dxf>
      <font>
        <color rgb="FFFFFF00"/>
      </font>
      <fill>
        <patternFill patternType="solid">
          <bgColor rgb="FFFF0000"/>
        </patternFill>
      </fill>
    </dxf>
    <dxf>
      <fill>
        <patternFill>
          <bgColor theme="9" tint="0.39994506668294322"/>
        </patternFill>
      </fill>
    </dxf>
    <dxf>
      <font>
        <color rgb="FFFFFF00"/>
      </font>
      <fill>
        <patternFill patternType="solid">
          <bgColor rgb="FFFF0000"/>
        </patternFill>
      </fill>
    </dxf>
    <dxf>
      <fill>
        <patternFill>
          <bgColor theme="9" tint="0.39994506668294322"/>
        </patternFill>
      </fill>
    </dxf>
    <dxf>
      <font>
        <color rgb="FFFFFF00"/>
      </font>
      <fill>
        <patternFill patternType="solid"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fgColor theme="0"/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0</xdr:row>
          <xdr:rowOff>76200</xdr:rowOff>
        </xdr:from>
        <xdr:to>
          <xdr:col>2</xdr:col>
          <xdr:colOff>1800225</xdr:colOff>
          <xdr:row>0</xdr:row>
          <xdr:rowOff>438150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0</xdr:row>
          <xdr:rowOff>76200</xdr:rowOff>
        </xdr:from>
        <xdr:to>
          <xdr:col>2</xdr:col>
          <xdr:colOff>1800225</xdr:colOff>
          <xdr:row>0</xdr:row>
          <xdr:rowOff>438150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>
    <pageSetUpPr fitToPage="1"/>
  </sheetPr>
  <dimension ref="A1:O2206"/>
  <sheetViews>
    <sheetView tabSelected="1" zoomScaleNormal="100" workbookViewId="0">
      <selection activeCell="C8" sqref="C8"/>
    </sheetView>
  </sheetViews>
  <sheetFormatPr defaultRowHeight="15" x14ac:dyDescent="0.25"/>
  <cols>
    <col min="1" max="1" width="22.5703125" style="1" customWidth="1"/>
    <col min="2" max="2" width="25.140625" style="1" customWidth="1"/>
    <col min="3" max="3" width="84.7109375" style="1" customWidth="1"/>
    <col min="4" max="4" width="15.28515625" style="28" customWidth="1"/>
    <col min="5" max="5" width="18.7109375" style="1" customWidth="1"/>
    <col min="6" max="6" width="20.7109375" style="1" customWidth="1"/>
    <col min="7" max="7" width="15.5703125" style="1" customWidth="1"/>
    <col min="8" max="8" width="11" style="122" customWidth="1"/>
    <col min="9" max="9" width="11.140625" style="2" customWidth="1"/>
    <col min="10" max="10" width="19.28515625" style="1" customWidth="1"/>
    <col min="11" max="11" width="19.28515625" style="2" customWidth="1"/>
    <col min="12" max="12" width="12.28515625" style="1" customWidth="1"/>
    <col min="13" max="13" width="10.42578125" customWidth="1"/>
    <col min="14" max="14" width="12.5703125" customWidth="1"/>
    <col min="15" max="15" width="9.7109375" customWidth="1"/>
  </cols>
  <sheetData>
    <row r="1" spans="1:15" ht="46.15" customHeight="1" thickBot="1" x14ac:dyDescent="0.3">
      <c r="A1" s="32" t="s">
        <v>0</v>
      </c>
      <c r="B1" s="32" t="s">
        <v>93</v>
      </c>
      <c r="C1" s="34" t="s">
        <v>1</v>
      </c>
      <c r="D1" s="32" t="s">
        <v>92</v>
      </c>
      <c r="E1" s="385" t="s">
        <v>119</v>
      </c>
      <c r="F1" s="32" t="s">
        <v>359</v>
      </c>
      <c r="G1" s="32" t="s">
        <v>254</v>
      </c>
      <c r="H1" s="32" t="s">
        <v>1052</v>
      </c>
      <c r="I1" s="32" t="s">
        <v>1308</v>
      </c>
      <c r="J1" s="34" t="s">
        <v>1874</v>
      </c>
      <c r="K1" s="380" t="s">
        <v>1875</v>
      </c>
      <c r="L1" s="387" t="s">
        <v>95</v>
      </c>
      <c r="M1" s="7">
        <f>COUNTIF(D:D,"Kész")</f>
        <v>1320</v>
      </c>
      <c r="N1" s="386" t="s">
        <v>96</v>
      </c>
      <c r="O1" s="7">
        <f>COUNTIF(D:D,"Folyamatban")</f>
        <v>13</v>
      </c>
    </row>
    <row r="2" spans="1:15" ht="31.9" customHeight="1" x14ac:dyDescent="0.25">
      <c r="A2" s="14"/>
      <c r="B2" s="2"/>
      <c r="C2" s="4"/>
      <c r="D2" s="17"/>
      <c r="E2" s="18"/>
      <c r="F2" s="4" t="str">
        <f>IFERROR(VLOOKUP(B2,targlist02,3,0),"Nincs Adat")</f>
        <v>Nincs Adat</v>
      </c>
      <c r="G2" s="4"/>
      <c r="H2" s="4"/>
      <c r="J2" s="19" t="str">
        <f>IF(I2="H",IFERROR(VLOOKUP(E2,podone,1,0),"Nincs Po"),"Nem Heineken Költség")</f>
        <v>Nem Heineken Költség</v>
      </c>
      <c r="K2" s="2" t="str">
        <f>IFERROR(VLOOKUP(E2,poprice,4,0),"")</f>
        <v/>
      </c>
    </row>
    <row r="3" spans="1:15" ht="31.9" customHeight="1" x14ac:dyDescent="0.25">
      <c r="A3" s="14">
        <v>45590.790717592594</v>
      </c>
      <c r="B3" s="2" t="s">
        <v>2936</v>
      </c>
      <c r="C3" s="4" t="s">
        <v>585</v>
      </c>
      <c r="D3" s="17" t="s">
        <v>95</v>
      </c>
      <c r="E3" s="18" t="s">
        <v>2934</v>
      </c>
      <c r="F3" s="4" t="str">
        <f t="shared" ref="F3:F66" si="0">IFERROR(VLOOKUP(B3,targlist02,3,0),"Nincs Adat")</f>
        <v>Nincs Adat</v>
      </c>
      <c r="G3" s="4">
        <v>6007</v>
      </c>
      <c r="H3" s="4"/>
      <c r="J3" s="19" t="str">
        <f t="shared" ref="J3:J66" si="1">IF(I3="H",IFERROR(VLOOKUP(E3,podone,1,0),"Nincs Po"),"Nem Heineken Költség")</f>
        <v>Nem Heineken Költség</v>
      </c>
      <c r="K3" s="2" t="str">
        <f t="shared" ref="K3:K66" si="2">IFERROR(VLOOKUP(E3,poprice,4,0),"")</f>
        <v/>
      </c>
    </row>
    <row r="4" spans="1:15" ht="30" customHeight="1" x14ac:dyDescent="0.25">
      <c r="A4" s="14">
        <v>45574</v>
      </c>
      <c r="B4" s="2" t="s">
        <v>8</v>
      </c>
      <c r="C4" s="4" t="s">
        <v>2921</v>
      </c>
      <c r="D4" s="111" t="s">
        <v>95</v>
      </c>
      <c r="E4" s="18" t="s">
        <v>2920</v>
      </c>
      <c r="F4" s="4" t="str">
        <f t="shared" si="0"/>
        <v>EUB09D700744</v>
      </c>
      <c r="G4" s="4"/>
      <c r="H4" s="4"/>
      <c r="J4" s="19" t="str">
        <f t="shared" si="1"/>
        <v>Nem Heineken Költség</v>
      </c>
      <c r="K4" s="2" t="str">
        <f t="shared" si="2"/>
        <v/>
      </c>
    </row>
    <row r="5" spans="1:15" ht="30" customHeight="1" x14ac:dyDescent="0.25">
      <c r="A5" s="14">
        <v>45574</v>
      </c>
      <c r="B5" s="2" t="s">
        <v>11</v>
      </c>
      <c r="C5" s="4" t="s">
        <v>2918</v>
      </c>
      <c r="D5" s="111" t="s">
        <v>95</v>
      </c>
      <c r="E5" s="18" t="s">
        <v>2919</v>
      </c>
      <c r="F5" s="4" t="str">
        <f t="shared" si="0"/>
        <v>EUB09D700850</v>
      </c>
      <c r="G5" s="4">
        <v>6532</v>
      </c>
      <c r="H5" s="4"/>
      <c r="J5" s="19" t="str">
        <f t="shared" si="1"/>
        <v>Nem Heineken Költség</v>
      </c>
      <c r="K5" s="2" t="str">
        <f t="shared" si="2"/>
        <v/>
      </c>
    </row>
    <row r="6" spans="1:15" ht="26.45" customHeight="1" x14ac:dyDescent="0.25">
      <c r="A6" s="14">
        <v>45574</v>
      </c>
      <c r="B6" s="2" t="s">
        <v>81</v>
      </c>
      <c r="C6" s="178" t="s">
        <v>2916</v>
      </c>
      <c r="D6" s="111" t="s">
        <v>95</v>
      </c>
      <c r="E6" s="18" t="s">
        <v>2917</v>
      </c>
      <c r="F6" s="4" t="str">
        <f t="shared" si="0"/>
        <v>PTP200R239155</v>
      </c>
      <c r="G6" s="4">
        <v>884</v>
      </c>
      <c r="H6" s="4"/>
      <c r="I6" s="2" t="s">
        <v>1728</v>
      </c>
      <c r="J6" s="19" t="str">
        <f t="shared" si="1"/>
        <v>Nincs Po</v>
      </c>
      <c r="K6" s="2" t="str">
        <f t="shared" si="2"/>
        <v/>
      </c>
    </row>
    <row r="7" spans="1:15" ht="29.45" customHeight="1" x14ac:dyDescent="0.25">
      <c r="A7" s="14">
        <v>45574</v>
      </c>
      <c r="B7" s="2" t="s">
        <v>77</v>
      </c>
      <c r="C7" s="178" t="s">
        <v>2915</v>
      </c>
      <c r="D7" s="111" t="s">
        <v>95</v>
      </c>
      <c r="E7" s="18" t="s">
        <v>2914</v>
      </c>
      <c r="F7" s="4" t="str">
        <f t="shared" si="0"/>
        <v>PTP200R239151</v>
      </c>
      <c r="G7" s="4">
        <v>1597</v>
      </c>
      <c r="H7" s="4"/>
      <c r="I7" s="2" t="s">
        <v>1728</v>
      </c>
      <c r="J7" s="19" t="str">
        <f t="shared" si="1"/>
        <v>Nincs Po</v>
      </c>
      <c r="K7" s="2" t="str">
        <f t="shared" si="2"/>
        <v/>
      </c>
    </row>
    <row r="8" spans="1:15" ht="30" customHeight="1" x14ac:dyDescent="0.25">
      <c r="A8" s="14">
        <v>45573</v>
      </c>
      <c r="B8" s="2" t="s">
        <v>8</v>
      </c>
      <c r="C8" s="4" t="s">
        <v>2922</v>
      </c>
      <c r="D8" s="111" t="s">
        <v>95</v>
      </c>
      <c r="E8" s="18" t="s">
        <v>2923</v>
      </c>
      <c r="F8" s="4" t="str">
        <f t="shared" si="0"/>
        <v>EUB09D700744</v>
      </c>
      <c r="G8" s="4"/>
      <c r="H8" s="4"/>
      <c r="J8" s="19" t="str">
        <f t="shared" si="1"/>
        <v>Nem Heineken Költség</v>
      </c>
      <c r="K8" s="2" t="str">
        <f t="shared" si="2"/>
        <v/>
      </c>
    </row>
    <row r="9" spans="1:15" ht="30" customHeight="1" x14ac:dyDescent="0.25">
      <c r="A9" s="14">
        <v>45569</v>
      </c>
      <c r="B9" s="2" t="s">
        <v>10</v>
      </c>
      <c r="C9" s="4" t="s">
        <v>2932</v>
      </c>
      <c r="D9" s="111" t="s">
        <v>95</v>
      </c>
      <c r="E9" s="18" t="s">
        <v>2933</v>
      </c>
      <c r="F9" s="4" t="str">
        <f t="shared" si="0"/>
        <v>EUB09D700794</v>
      </c>
      <c r="G9" s="4">
        <v>4836</v>
      </c>
      <c r="H9" s="4"/>
      <c r="J9" s="19" t="str">
        <f t="shared" si="1"/>
        <v>Nem Heineken Költség</v>
      </c>
      <c r="K9" s="2" t="str">
        <f t="shared" si="2"/>
        <v/>
      </c>
    </row>
    <row r="10" spans="1:15" ht="30" customHeight="1" x14ac:dyDescent="0.25">
      <c r="A10" s="14">
        <v>45569</v>
      </c>
      <c r="B10" s="2" t="s">
        <v>5</v>
      </c>
      <c r="C10" s="4" t="s">
        <v>2930</v>
      </c>
      <c r="D10" s="111" t="s">
        <v>95</v>
      </c>
      <c r="E10" s="18" t="s">
        <v>2931</v>
      </c>
      <c r="F10" s="4" t="str">
        <f t="shared" si="0"/>
        <v>JAG2N1E701603</v>
      </c>
      <c r="G10" s="4">
        <v>1841</v>
      </c>
      <c r="H10" s="4"/>
      <c r="J10" s="19" t="str">
        <f t="shared" si="1"/>
        <v>Nem Heineken Költség</v>
      </c>
      <c r="K10" s="2" t="str">
        <f t="shared" si="2"/>
        <v/>
      </c>
    </row>
    <row r="11" spans="1:15" ht="30" customHeight="1" x14ac:dyDescent="0.25">
      <c r="A11" s="14">
        <v>45569</v>
      </c>
      <c r="B11" s="2" t="s">
        <v>22</v>
      </c>
      <c r="C11" s="4" t="s">
        <v>2929</v>
      </c>
      <c r="D11" s="111" t="s">
        <v>95</v>
      </c>
      <c r="E11" s="18" t="s">
        <v>2928</v>
      </c>
      <c r="F11" s="4" t="str">
        <f t="shared" si="0"/>
        <v>EUB09D700838</v>
      </c>
      <c r="G11" s="4">
        <v>3332</v>
      </c>
      <c r="H11" s="4"/>
      <c r="J11" s="19" t="str">
        <f t="shared" si="1"/>
        <v>Nem Heineken Költség</v>
      </c>
      <c r="K11" s="2" t="str">
        <f t="shared" si="2"/>
        <v/>
      </c>
    </row>
    <row r="12" spans="1:15" ht="30" customHeight="1" x14ac:dyDescent="0.25">
      <c r="A12" s="14">
        <v>45569</v>
      </c>
      <c r="B12" s="2" t="s">
        <v>23</v>
      </c>
      <c r="C12" s="4" t="s">
        <v>2926</v>
      </c>
      <c r="D12" s="111" t="s">
        <v>95</v>
      </c>
      <c r="E12" s="18" t="s">
        <v>2927</v>
      </c>
      <c r="F12" s="4" t="str">
        <f t="shared" si="0"/>
        <v>EUB09D700740</v>
      </c>
      <c r="G12" s="4">
        <v>2861</v>
      </c>
      <c r="H12" s="4"/>
      <c r="J12" s="19" t="str">
        <f t="shared" si="1"/>
        <v>Nem Heineken Költség</v>
      </c>
      <c r="K12" s="2" t="str">
        <f t="shared" si="2"/>
        <v/>
      </c>
    </row>
    <row r="13" spans="1:15" ht="30" customHeight="1" x14ac:dyDescent="0.25">
      <c r="A13" s="14">
        <v>45569</v>
      </c>
      <c r="B13" s="2" t="s">
        <v>19</v>
      </c>
      <c r="C13" s="4" t="s">
        <v>2924</v>
      </c>
      <c r="D13" s="111" t="s">
        <v>95</v>
      </c>
      <c r="E13" s="18" t="s">
        <v>2925</v>
      </c>
      <c r="F13" s="4" t="str">
        <f t="shared" si="0"/>
        <v>EUB09D700836</v>
      </c>
      <c r="G13" s="4">
        <v>6509</v>
      </c>
      <c r="H13" s="4"/>
      <c r="J13" s="19" t="str">
        <f t="shared" si="1"/>
        <v>Nem Heineken Költség</v>
      </c>
      <c r="K13" s="2" t="str">
        <f t="shared" si="2"/>
        <v/>
      </c>
    </row>
    <row r="14" spans="1:15" ht="30" customHeight="1" x14ac:dyDescent="0.25">
      <c r="A14" s="14">
        <v>45568</v>
      </c>
      <c r="B14" s="2" t="s">
        <v>9</v>
      </c>
      <c r="C14" s="4" t="s">
        <v>2912</v>
      </c>
      <c r="D14" s="111" t="s">
        <v>95</v>
      </c>
      <c r="E14" s="18" t="s">
        <v>2909</v>
      </c>
      <c r="F14" s="4" t="str">
        <f t="shared" si="0"/>
        <v>EUB09D700745</v>
      </c>
      <c r="G14" s="4">
        <v>5683</v>
      </c>
      <c r="H14" s="4"/>
      <c r="J14" s="19" t="str">
        <f t="shared" si="1"/>
        <v>Nem Heineken Költség</v>
      </c>
      <c r="K14" s="2" t="str">
        <f t="shared" si="2"/>
        <v/>
      </c>
    </row>
    <row r="15" spans="1:15" ht="30" customHeight="1" x14ac:dyDescent="0.25">
      <c r="A15" s="14">
        <v>45568</v>
      </c>
      <c r="B15" s="2" t="s">
        <v>18</v>
      </c>
      <c r="C15" s="4" t="s">
        <v>2907</v>
      </c>
      <c r="D15" s="111" t="s">
        <v>95</v>
      </c>
      <c r="E15" s="18" t="s">
        <v>2908</v>
      </c>
      <c r="F15" s="4" t="str">
        <f t="shared" si="0"/>
        <v>EUB09D700992</v>
      </c>
      <c r="G15" s="4">
        <v>7530</v>
      </c>
      <c r="H15" s="4"/>
      <c r="J15" s="19" t="str">
        <f t="shared" si="1"/>
        <v>Nem Heineken Költség</v>
      </c>
      <c r="K15" s="2" t="str">
        <f t="shared" si="2"/>
        <v/>
      </c>
    </row>
    <row r="16" spans="1:15" ht="30" customHeight="1" x14ac:dyDescent="0.25">
      <c r="A16" s="14">
        <v>45567</v>
      </c>
      <c r="B16" s="2" t="s">
        <v>9</v>
      </c>
      <c r="C16" s="2" t="s">
        <v>2905</v>
      </c>
      <c r="D16" s="111" t="s">
        <v>95</v>
      </c>
      <c r="E16" s="18" t="s">
        <v>2906</v>
      </c>
      <c r="F16" s="4" t="str">
        <f t="shared" si="0"/>
        <v>EUB09D700745</v>
      </c>
      <c r="G16" s="4">
        <v>5683</v>
      </c>
      <c r="H16" s="4"/>
      <c r="J16" s="19" t="str">
        <f t="shared" si="1"/>
        <v>Nem Heineken Költség</v>
      </c>
      <c r="K16" s="2" t="str">
        <f t="shared" si="2"/>
        <v/>
      </c>
    </row>
    <row r="17" spans="1:15" ht="30" customHeight="1" x14ac:dyDescent="0.25">
      <c r="A17" s="14">
        <v>45567</v>
      </c>
      <c r="B17" s="2" t="s">
        <v>18</v>
      </c>
      <c r="C17" s="4" t="s">
        <v>2903</v>
      </c>
      <c r="D17" s="111" t="s">
        <v>95</v>
      </c>
      <c r="E17" s="18" t="s">
        <v>2904</v>
      </c>
      <c r="F17" s="4" t="str">
        <f t="shared" si="0"/>
        <v>EUB09D700992</v>
      </c>
      <c r="G17" s="4">
        <v>7523</v>
      </c>
      <c r="H17" s="4"/>
      <c r="J17" s="19" t="str">
        <f t="shared" si="1"/>
        <v>Nem Heineken Költség</v>
      </c>
      <c r="K17" s="2" t="str">
        <f t="shared" si="2"/>
        <v/>
      </c>
    </row>
    <row r="18" spans="1:15" ht="40.15" customHeight="1" x14ac:dyDescent="0.25">
      <c r="A18" s="14">
        <v>45566</v>
      </c>
      <c r="B18" s="2" t="s">
        <v>9</v>
      </c>
      <c r="C18" s="4" t="s">
        <v>2901</v>
      </c>
      <c r="D18" s="111" t="s">
        <v>95</v>
      </c>
      <c r="E18" s="18" t="s">
        <v>2902</v>
      </c>
      <c r="F18" s="4" t="str">
        <f t="shared" si="0"/>
        <v>EUB09D700745</v>
      </c>
      <c r="G18" s="4">
        <v>5683</v>
      </c>
      <c r="H18" s="4"/>
      <c r="J18" s="19" t="str">
        <f t="shared" si="1"/>
        <v>Nem Heineken Költség</v>
      </c>
      <c r="K18" s="2" t="str">
        <f t="shared" si="2"/>
        <v/>
      </c>
    </row>
    <row r="19" spans="1:15" ht="30" customHeight="1" x14ac:dyDescent="0.25">
      <c r="A19" s="14">
        <v>45566</v>
      </c>
      <c r="B19" s="2" t="s">
        <v>21</v>
      </c>
      <c r="C19" s="4" t="s">
        <v>2899</v>
      </c>
      <c r="D19" s="111" t="s">
        <v>95</v>
      </c>
      <c r="E19" s="18" t="s">
        <v>2900</v>
      </c>
      <c r="F19" s="4" t="str">
        <f t="shared" si="0"/>
        <v>EUB09D700842</v>
      </c>
      <c r="G19" s="4">
        <v>5898</v>
      </c>
      <c r="H19" s="4"/>
      <c r="J19" s="19" t="str">
        <f t="shared" si="1"/>
        <v>Nem Heineken Költség</v>
      </c>
      <c r="K19" s="2" t="str">
        <f t="shared" si="2"/>
        <v/>
      </c>
    </row>
    <row r="20" spans="1:15" ht="30" customHeight="1" x14ac:dyDescent="0.25">
      <c r="A20" s="14">
        <v>45566</v>
      </c>
      <c r="B20" s="2" t="s">
        <v>19</v>
      </c>
      <c r="C20" s="4" t="s">
        <v>2897</v>
      </c>
      <c r="D20" s="111" t="s">
        <v>95</v>
      </c>
      <c r="E20" s="18" t="s">
        <v>2898</v>
      </c>
      <c r="F20" s="4" t="str">
        <f t="shared" si="0"/>
        <v>EUB09D700836</v>
      </c>
      <c r="G20" s="4">
        <v>6492</v>
      </c>
      <c r="H20" s="4"/>
      <c r="J20" s="19" t="str">
        <f t="shared" si="1"/>
        <v>Nem Heineken Költség</v>
      </c>
      <c r="K20" s="2" t="str">
        <f t="shared" si="2"/>
        <v/>
      </c>
    </row>
    <row r="21" spans="1:15" s="441" customFormat="1" ht="31.9" customHeight="1" x14ac:dyDescent="0.25">
      <c r="A21" s="14">
        <v>45566</v>
      </c>
      <c r="B21" s="2" t="s">
        <v>23</v>
      </c>
      <c r="C21" s="4" t="s">
        <v>2895</v>
      </c>
      <c r="D21" s="111" t="s">
        <v>95</v>
      </c>
      <c r="E21" s="18" t="s">
        <v>2896</v>
      </c>
      <c r="F21" s="4" t="str">
        <f t="shared" si="0"/>
        <v>EUB09D700740</v>
      </c>
      <c r="G21" s="4">
        <v>2846</v>
      </c>
      <c r="H21" s="4"/>
      <c r="I21" s="2"/>
      <c r="J21" s="19" t="str">
        <f t="shared" si="1"/>
        <v>Nem Heineken Költség</v>
      </c>
      <c r="K21" s="2" t="str">
        <f t="shared" si="2"/>
        <v/>
      </c>
      <c r="L21" s="1"/>
      <c r="M21"/>
      <c r="N21"/>
      <c r="O21"/>
    </row>
    <row r="22" spans="1:15" ht="29.45" customHeight="1" x14ac:dyDescent="0.25">
      <c r="A22" s="14">
        <v>45565</v>
      </c>
      <c r="B22" s="2" t="s">
        <v>142</v>
      </c>
      <c r="C22" s="4" t="s">
        <v>2913</v>
      </c>
      <c r="D22" s="111" t="s">
        <v>95</v>
      </c>
      <c r="E22" s="18" t="s">
        <v>2894</v>
      </c>
      <c r="F22" s="4" t="str">
        <f t="shared" si="0"/>
        <v>LO20N2RCB13B00112</v>
      </c>
      <c r="G22" s="4">
        <v>2228</v>
      </c>
      <c r="H22" s="4"/>
      <c r="I22" s="2" t="s">
        <v>1728</v>
      </c>
      <c r="J22" s="19" t="str">
        <f t="shared" si="1"/>
        <v>SM-2024/12389</v>
      </c>
      <c r="K22" s="2">
        <f t="shared" si="2"/>
        <v>209.69</v>
      </c>
    </row>
    <row r="23" spans="1:15" ht="30" customHeight="1" x14ac:dyDescent="0.25">
      <c r="A23" s="14">
        <v>45565</v>
      </c>
      <c r="B23" s="2" t="s">
        <v>9</v>
      </c>
      <c r="C23" s="4" t="s">
        <v>2892</v>
      </c>
      <c r="D23" s="111" t="s">
        <v>95</v>
      </c>
      <c r="E23" s="18" t="s">
        <v>2893</v>
      </c>
      <c r="F23" s="4" t="str">
        <f t="shared" si="0"/>
        <v>EUB09D700745</v>
      </c>
      <c r="G23" s="4">
        <v>5683</v>
      </c>
      <c r="H23" s="4"/>
      <c r="J23" s="19" t="str">
        <f t="shared" si="1"/>
        <v>Nem Heineken Költség</v>
      </c>
      <c r="K23" s="2" t="str">
        <f t="shared" si="2"/>
        <v/>
      </c>
    </row>
    <row r="24" spans="1:15" ht="30" customHeight="1" x14ac:dyDescent="0.25">
      <c r="A24" s="14">
        <v>45562</v>
      </c>
      <c r="B24" s="2" t="s">
        <v>19</v>
      </c>
      <c r="C24" s="4" t="s">
        <v>2810</v>
      </c>
      <c r="D24" s="111" t="s">
        <v>95</v>
      </c>
      <c r="E24" s="18" t="s">
        <v>2891</v>
      </c>
      <c r="F24" s="4" t="str">
        <f t="shared" si="0"/>
        <v>EUB09D700836</v>
      </c>
      <c r="G24" s="4">
        <v>6477</v>
      </c>
      <c r="H24" s="4"/>
      <c r="J24" s="19" t="str">
        <f t="shared" si="1"/>
        <v>Nem Heineken Költség</v>
      </c>
      <c r="K24" s="2" t="str">
        <f t="shared" si="2"/>
        <v/>
      </c>
    </row>
    <row r="25" spans="1:15" ht="30" customHeight="1" x14ac:dyDescent="0.25">
      <c r="A25" s="14">
        <v>45561</v>
      </c>
      <c r="B25" s="2" t="s">
        <v>24</v>
      </c>
      <c r="C25" s="4" t="s">
        <v>2889</v>
      </c>
      <c r="D25" s="111" t="s">
        <v>95</v>
      </c>
      <c r="E25" s="18" t="s">
        <v>2890</v>
      </c>
      <c r="F25" s="4" t="str">
        <f t="shared" si="0"/>
        <v>EUB09D700704</v>
      </c>
      <c r="G25" s="4">
        <v>4180</v>
      </c>
      <c r="H25" s="4"/>
      <c r="J25" s="19" t="str">
        <f t="shared" si="1"/>
        <v>Nem Heineken Költség</v>
      </c>
      <c r="K25" s="2" t="str">
        <f t="shared" si="2"/>
        <v/>
      </c>
    </row>
    <row r="26" spans="1:15" ht="30" customHeight="1" x14ac:dyDescent="0.25">
      <c r="A26" s="14">
        <v>45561</v>
      </c>
      <c r="B26" s="2" t="s">
        <v>78</v>
      </c>
      <c r="C26" s="4" t="s">
        <v>779</v>
      </c>
      <c r="D26" s="111" t="s">
        <v>95</v>
      </c>
      <c r="E26" s="18" t="s">
        <v>2888</v>
      </c>
      <c r="F26" s="4" t="str">
        <f t="shared" si="0"/>
        <v>PTP200R239152</v>
      </c>
      <c r="G26" s="4">
        <v>2264</v>
      </c>
      <c r="H26" s="4"/>
      <c r="J26" s="19" t="str">
        <f t="shared" si="1"/>
        <v>Nem Heineken Költség</v>
      </c>
      <c r="K26" s="2" t="str">
        <f t="shared" si="2"/>
        <v/>
      </c>
    </row>
    <row r="27" spans="1:15" ht="30" customHeight="1" x14ac:dyDescent="0.25">
      <c r="A27" s="14">
        <v>45561</v>
      </c>
      <c r="B27" s="2" t="s">
        <v>1203</v>
      </c>
      <c r="C27" s="4" t="s">
        <v>2886</v>
      </c>
      <c r="D27" s="111" t="s">
        <v>95</v>
      </c>
      <c r="E27" s="18" t="s">
        <v>2887</v>
      </c>
      <c r="F27" s="4" t="str">
        <f t="shared" si="0"/>
        <v>Nincs Adat</v>
      </c>
      <c r="G27" s="4"/>
      <c r="H27" s="4"/>
      <c r="J27" s="19" t="str">
        <f t="shared" si="1"/>
        <v>Nem Heineken Költség</v>
      </c>
      <c r="K27" s="2" t="str">
        <f t="shared" si="2"/>
        <v/>
      </c>
    </row>
    <row r="28" spans="1:15" ht="30" customHeight="1" x14ac:dyDescent="0.25">
      <c r="A28" s="14">
        <v>45561</v>
      </c>
      <c r="B28" s="2" t="s">
        <v>25</v>
      </c>
      <c r="C28" s="4" t="s">
        <v>2884</v>
      </c>
      <c r="D28" s="111" t="s">
        <v>95</v>
      </c>
      <c r="E28" s="18" t="s">
        <v>2885</v>
      </c>
      <c r="F28" s="4" t="str">
        <f t="shared" si="0"/>
        <v>EUB09D700741</v>
      </c>
      <c r="G28" s="4">
        <v>3725</v>
      </c>
      <c r="H28" s="4"/>
      <c r="J28" s="19" t="str">
        <f t="shared" si="1"/>
        <v>Nem Heineken Költség</v>
      </c>
      <c r="K28" s="2" t="str">
        <f t="shared" si="2"/>
        <v/>
      </c>
    </row>
    <row r="29" spans="1:15" ht="30" customHeight="1" x14ac:dyDescent="0.25">
      <c r="A29" s="14">
        <v>45561</v>
      </c>
      <c r="B29" s="2" t="s">
        <v>1004</v>
      </c>
      <c r="C29" s="4" t="s">
        <v>2883</v>
      </c>
      <c r="D29" s="111" t="s">
        <v>95</v>
      </c>
      <c r="E29" s="18" t="s">
        <v>2882</v>
      </c>
      <c r="F29" s="4" t="str">
        <f t="shared" si="0"/>
        <v>Nincs Adat</v>
      </c>
      <c r="G29" s="4"/>
      <c r="H29" s="4"/>
      <c r="J29" s="19" t="str">
        <f t="shared" si="1"/>
        <v>Nem Heineken Költség</v>
      </c>
      <c r="K29" s="2" t="str">
        <f t="shared" si="2"/>
        <v/>
      </c>
    </row>
    <row r="30" spans="1:15" ht="30" customHeight="1" x14ac:dyDescent="0.25">
      <c r="A30" s="14">
        <v>45560</v>
      </c>
      <c r="B30" s="2" t="s">
        <v>81</v>
      </c>
      <c r="C30" s="4" t="s">
        <v>2880</v>
      </c>
      <c r="D30" s="111" t="s">
        <v>95</v>
      </c>
      <c r="E30" s="18" t="s">
        <v>2881</v>
      </c>
      <c r="F30" s="4" t="str">
        <f t="shared" si="0"/>
        <v>PTP200R239155</v>
      </c>
      <c r="G30" s="4">
        <v>878</v>
      </c>
      <c r="H30" s="4"/>
      <c r="I30" s="2" t="s">
        <v>1728</v>
      </c>
      <c r="J30" s="19" t="str">
        <f t="shared" si="1"/>
        <v>Nincs Po</v>
      </c>
      <c r="K30" s="2" t="str">
        <f t="shared" si="2"/>
        <v/>
      </c>
    </row>
    <row r="31" spans="1:15" ht="30" customHeight="1" x14ac:dyDescent="0.25">
      <c r="A31" s="14">
        <v>45560</v>
      </c>
      <c r="B31" s="2" t="s">
        <v>11</v>
      </c>
      <c r="C31" s="4" t="s">
        <v>2878</v>
      </c>
      <c r="D31" s="111" t="s">
        <v>95</v>
      </c>
      <c r="E31" s="18" t="s">
        <v>2879</v>
      </c>
      <c r="F31" s="4" t="str">
        <f t="shared" si="0"/>
        <v>EUB09D700850</v>
      </c>
      <c r="G31" s="4">
        <v>1561</v>
      </c>
      <c r="H31" s="4"/>
      <c r="J31" s="19" t="str">
        <f t="shared" si="1"/>
        <v>Nem Heineken Költség</v>
      </c>
      <c r="K31" s="2" t="str">
        <f t="shared" si="2"/>
        <v/>
      </c>
    </row>
    <row r="32" spans="1:15" ht="30" customHeight="1" x14ac:dyDescent="0.25">
      <c r="A32" s="14">
        <v>45560</v>
      </c>
      <c r="B32" s="2" t="s">
        <v>25</v>
      </c>
      <c r="C32" s="4" t="s">
        <v>2876</v>
      </c>
      <c r="D32" s="111" t="s">
        <v>95</v>
      </c>
      <c r="E32" s="18" t="s">
        <v>2877</v>
      </c>
      <c r="F32" s="4" t="str">
        <f t="shared" si="0"/>
        <v>EUB09D700741</v>
      </c>
      <c r="G32" s="4">
        <v>3714</v>
      </c>
      <c r="H32" s="4"/>
      <c r="J32" s="19" t="str">
        <f t="shared" si="1"/>
        <v>Nem Heineken Költség</v>
      </c>
      <c r="K32" s="2" t="str">
        <f t="shared" si="2"/>
        <v/>
      </c>
    </row>
    <row r="33" spans="1:11" ht="30" customHeight="1" x14ac:dyDescent="0.25">
      <c r="A33" s="14">
        <v>45560</v>
      </c>
      <c r="B33" s="2" t="s">
        <v>79</v>
      </c>
      <c r="C33" s="4" t="s">
        <v>2874</v>
      </c>
      <c r="D33" s="111" t="s">
        <v>95</v>
      </c>
      <c r="E33" s="18" t="s">
        <v>2875</v>
      </c>
      <c r="F33" s="4" t="str">
        <f t="shared" si="0"/>
        <v>PTP200R239153</v>
      </c>
      <c r="G33" s="4">
        <v>2100</v>
      </c>
      <c r="H33" s="4"/>
      <c r="J33" s="19" t="str">
        <f t="shared" si="1"/>
        <v>Nem Heineken Költség</v>
      </c>
      <c r="K33" s="2" t="str">
        <f t="shared" si="2"/>
        <v/>
      </c>
    </row>
    <row r="34" spans="1:11" ht="30" customHeight="1" x14ac:dyDescent="0.25">
      <c r="A34" s="14">
        <v>45560</v>
      </c>
      <c r="B34" s="2" t="s">
        <v>2</v>
      </c>
      <c r="C34" s="4" t="s">
        <v>2872</v>
      </c>
      <c r="D34" s="111" t="s">
        <v>95</v>
      </c>
      <c r="E34" s="18" t="s">
        <v>2873</v>
      </c>
      <c r="F34" s="4" t="str">
        <f t="shared" si="0"/>
        <v>JA2N1E700427</v>
      </c>
      <c r="G34" s="4">
        <v>3313</v>
      </c>
      <c r="H34" s="4"/>
      <c r="J34" s="19" t="str">
        <f t="shared" si="1"/>
        <v>Nem Heineken Költség</v>
      </c>
      <c r="K34" s="2" t="str">
        <f t="shared" si="2"/>
        <v/>
      </c>
    </row>
    <row r="35" spans="1:11" ht="30" customHeight="1" x14ac:dyDescent="0.25">
      <c r="A35" s="14">
        <v>45558</v>
      </c>
      <c r="B35" s="3" t="s">
        <v>77</v>
      </c>
      <c r="C35" s="4" t="s">
        <v>2911</v>
      </c>
      <c r="D35" s="111" t="s">
        <v>95</v>
      </c>
      <c r="E35" s="18" t="s">
        <v>2910</v>
      </c>
      <c r="F35" s="4" t="str">
        <f t="shared" si="0"/>
        <v>PTP200R239151</v>
      </c>
      <c r="G35" s="4">
        <v>1554</v>
      </c>
      <c r="H35" s="4"/>
      <c r="I35" s="2" t="s">
        <v>1728</v>
      </c>
      <c r="J35" s="19" t="str">
        <f t="shared" si="1"/>
        <v>SM-2024/12066</v>
      </c>
      <c r="K35" s="2">
        <f t="shared" si="2"/>
        <v>209.69</v>
      </c>
    </row>
    <row r="36" spans="1:11" ht="30" customHeight="1" x14ac:dyDescent="0.25">
      <c r="A36" s="14">
        <v>45558</v>
      </c>
      <c r="B36" s="2" t="s">
        <v>8</v>
      </c>
      <c r="C36" s="4" t="s">
        <v>2871</v>
      </c>
      <c r="D36" s="111" t="s">
        <v>95</v>
      </c>
      <c r="E36" s="18" t="s">
        <v>2870</v>
      </c>
      <c r="F36" s="4" t="str">
        <f t="shared" si="0"/>
        <v>EUB09D700744</v>
      </c>
      <c r="G36" s="4">
        <v>5979</v>
      </c>
      <c r="H36" s="4"/>
      <c r="J36" s="19" t="str">
        <f t="shared" si="1"/>
        <v>Nem Heineken Költség</v>
      </c>
      <c r="K36" s="2" t="str">
        <f t="shared" si="2"/>
        <v/>
      </c>
    </row>
    <row r="37" spans="1:11" ht="30" customHeight="1" x14ac:dyDescent="0.25">
      <c r="A37" s="14">
        <v>45554</v>
      </c>
      <c r="B37" s="2" t="s">
        <v>11</v>
      </c>
      <c r="C37" s="4" t="s">
        <v>2867</v>
      </c>
      <c r="D37" s="111" t="s">
        <v>95</v>
      </c>
      <c r="E37" s="18" t="s">
        <v>2866</v>
      </c>
      <c r="F37" s="4" t="str">
        <f t="shared" si="0"/>
        <v>EUB09D700850</v>
      </c>
      <c r="G37" s="4">
        <v>6520</v>
      </c>
      <c r="H37" s="4"/>
      <c r="J37" s="19" t="str">
        <f t="shared" si="1"/>
        <v>Nem Heineken Költség</v>
      </c>
      <c r="K37" s="2" t="str">
        <f t="shared" si="2"/>
        <v/>
      </c>
    </row>
    <row r="38" spans="1:11" ht="30" customHeight="1" x14ac:dyDescent="0.25">
      <c r="A38" s="14">
        <v>45554</v>
      </c>
      <c r="B38" s="2" t="s">
        <v>11</v>
      </c>
      <c r="C38" s="4" t="s">
        <v>2868</v>
      </c>
      <c r="D38" s="111" t="s">
        <v>95</v>
      </c>
      <c r="E38" s="18" t="s">
        <v>2866</v>
      </c>
      <c r="F38" s="4" t="str">
        <f t="shared" si="0"/>
        <v>EUB09D700850</v>
      </c>
      <c r="G38" s="4">
        <v>6520</v>
      </c>
      <c r="H38" s="4"/>
      <c r="J38" s="19" t="str">
        <f t="shared" si="1"/>
        <v>Nem Heineken Költség</v>
      </c>
      <c r="K38" s="2" t="str">
        <f t="shared" si="2"/>
        <v/>
      </c>
    </row>
    <row r="39" spans="1:11" ht="30" customHeight="1" x14ac:dyDescent="0.25">
      <c r="A39" s="527">
        <v>45554</v>
      </c>
      <c r="B39" s="524" t="s">
        <v>11</v>
      </c>
      <c r="C39" s="526" t="s">
        <v>2869</v>
      </c>
      <c r="D39" s="111" t="s">
        <v>95</v>
      </c>
      <c r="E39" s="525" t="s">
        <v>2866</v>
      </c>
      <c r="F39" s="526" t="str">
        <f t="shared" si="0"/>
        <v>EUB09D700850</v>
      </c>
      <c r="G39" s="526">
        <v>6520</v>
      </c>
      <c r="H39" s="4"/>
      <c r="J39" s="19" t="str">
        <f t="shared" si="1"/>
        <v>Nem Heineken Költség</v>
      </c>
      <c r="K39" s="2" t="str">
        <f t="shared" si="2"/>
        <v/>
      </c>
    </row>
    <row r="40" spans="1:11" ht="30" customHeight="1" x14ac:dyDescent="0.25">
      <c r="A40" s="14">
        <v>45554</v>
      </c>
      <c r="B40" s="2" t="s">
        <v>24</v>
      </c>
      <c r="C40" s="4" t="s">
        <v>2864</v>
      </c>
      <c r="D40" s="111" t="s">
        <v>95</v>
      </c>
      <c r="E40" s="18" t="s">
        <v>2865</v>
      </c>
      <c r="F40" s="4" t="str">
        <f t="shared" si="0"/>
        <v>EUB09D700704</v>
      </c>
      <c r="G40" s="4">
        <v>4152</v>
      </c>
      <c r="H40" s="4"/>
      <c r="I40" s="2" t="s">
        <v>1728</v>
      </c>
      <c r="J40" s="19" t="str">
        <f t="shared" si="1"/>
        <v>SM-2024/11898</v>
      </c>
      <c r="K40" s="2">
        <f t="shared" si="2"/>
        <v>205.49</v>
      </c>
    </row>
    <row r="41" spans="1:11" ht="30" customHeight="1" x14ac:dyDescent="0.25">
      <c r="A41" s="14">
        <v>45553</v>
      </c>
      <c r="B41" s="2" t="s">
        <v>11</v>
      </c>
      <c r="C41" s="4" t="s">
        <v>2862</v>
      </c>
      <c r="D41" s="111" t="s">
        <v>95</v>
      </c>
      <c r="E41" s="18" t="s">
        <v>2863</v>
      </c>
      <c r="F41" s="4" t="str">
        <f t="shared" si="0"/>
        <v>EUB09D700850</v>
      </c>
      <c r="G41" s="4">
        <v>6520</v>
      </c>
      <c r="H41" s="4"/>
      <c r="J41" s="19" t="str">
        <f t="shared" si="1"/>
        <v>Nem Heineken Költség</v>
      </c>
      <c r="K41" s="2" t="str">
        <f t="shared" si="2"/>
        <v/>
      </c>
    </row>
    <row r="42" spans="1:11" ht="30" customHeight="1" x14ac:dyDescent="0.25">
      <c r="A42" s="14">
        <v>45553</v>
      </c>
      <c r="B42" s="2" t="s">
        <v>77</v>
      </c>
      <c r="C42" s="178" t="s">
        <v>2860</v>
      </c>
      <c r="D42" s="111" t="s">
        <v>95</v>
      </c>
      <c r="E42" s="18" t="s">
        <v>2861</v>
      </c>
      <c r="F42" s="4" t="str">
        <f t="shared" si="0"/>
        <v>PTP200R239151</v>
      </c>
      <c r="G42" s="4">
        <v>1551</v>
      </c>
      <c r="H42" s="4"/>
      <c r="I42" s="2" t="s">
        <v>1728</v>
      </c>
      <c r="J42" s="19" t="str">
        <f t="shared" si="1"/>
        <v>SM-2024/11822</v>
      </c>
      <c r="K42" s="2">
        <f t="shared" si="2"/>
        <v>209.69</v>
      </c>
    </row>
    <row r="43" spans="1:11" ht="30" customHeight="1" x14ac:dyDescent="0.25">
      <c r="A43" s="561">
        <v>45552</v>
      </c>
      <c r="B43" s="562" t="s">
        <v>13</v>
      </c>
      <c r="C43" s="526" t="s">
        <v>2847</v>
      </c>
      <c r="D43" s="111" t="s">
        <v>95</v>
      </c>
      <c r="E43" s="563" t="s">
        <v>2858</v>
      </c>
      <c r="F43" s="4" t="str">
        <f t="shared" si="0"/>
        <v>EUB09D700268</v>
      </c>
      <c r="G43" s="564">
        <v>5400</v>
      </c>
      <c r="H43" s="4"/>
      <c r="J43" s="19" t="str">
        <f t="shared" si="1"/>
        <v>Nem Heineken Költség</v>
      </c>
      <c r="K43" s="2" t="str">
        <f t="shared" si="2"/>
        <v/>
      </c>
    </row>
    <row r="44" spans="1:11" ht="30" customHeight="1" x14ac:dyDescent="0.25">
      <c r="A44" s="561">
        <v>45552</v>
      </c>
      <c r="B44" s="562" t="s">
        <v>10</v>
      </c>
      <c r="C44" s="526" t="s">
        <v>2847</v>
      </c>
      <c r="D44" s="111" t="s">
        <v>95</v>
      </c>
      <c r="E44" s="563" t="s">
        <v>2857</v>
      </c>
      <c r="F44" s="4" t="str">
        <f t="shared" si="0"/>
        <v>EUB09D700794</v>
      </c>
      <c r="G44" s="564">
        <v>4746</v>
      </c>
      <c r="H44" s="4"/>
      <c r="J44" s="19" t="str">
        <f t="shared" si="1"/>
        <v>Nem Heineken Költség</v>
      </c>
      <c r="K44" s="2" t="str">
        <f t="shared" si="2"/>
        <v/>
      </c>
    </row>
    <row r="45" spans="1:11" ht="30" customHeight="1" x14ac:dyDescent="0.25">
      <c r="A45" s="14">
        <v>45552</v>
      </c>
      <c r="B45" s="2" t="s">
        <v>80</v>
      </c>
      <c r="C45" s="178" t="s">
        <v>2855</v>
      </c>
      <c r="D45" s="111" t="s">
        <v>95</v>
      </c>
      <c r="E45" s="18" t="s">
        <v>2856</v>
      </c>
      <c r="F45" s="4" t="str">
        <f t="shared" si="0"/>
        <v>PTP200R239154</v>
      </c>
      <c r="G45" s="4">
        <v>394</v>
      </c>
      <c r="H45" s="4" t="s">
        <v>2851</v>
      </c>
      <c r="J45" s="19" t="str">
        <f t="shared" si="1"/>
        <v>Nem Heineken Költség</v>
      </c>
      <c r="K45" s="2" t="str">
        <f t="shared" si="2"/>
        <v/>
      </c>
    </row>
    <row r="46" spans="1:11" ht="30" customHeight="1" x14ac:dyDescent="0.25">
      <c r="A46" s="14">
        <v>45552</v>
      </c>
      <c r="B46" s="2" t="s">
        <v>66</v>
      </c>
      <c r="C46" s="4" t="s">
        <v>2854</v>
      </c>
      <c r="D46" s="111" t="s">
        <v>95</v>
      </c>
      <c r="E46" s="18" t="s">
        <v>2856</v>
      </c>
      <c r="F46" s="4" t="str">
        <f t="shared" si="0"/>
        <v>Nincs Adat</v>
      </c>
      <c r="G46" s="4">
        <v>394</v>
      </c>
      <c r="H46" s="4" t="s">
        <v>2850</v>
      </c>
      <c r="J46" s="19" t="str">
        <f t="shared" si="1"/>
        <v>Nem Heineken Költség</v>
      </c>
      <c r="K46" s="2" t="str">
        <f t="shared" si="2"/>
        <v/>
      </c>
    </row>
    <row r="47" spans="1:11" ht="30" customHeight="1" x14ac:dyDescent="0.25">
      <c r="A47" s="14">
        <v>45551</v>
      </c>
      <c r="B47" s="2" t="s">
        <v>14</v>
      </c>
      <c r="C47" s="178" t="s">
        <v>2848</v>
      </c>
      <c r="D47" s="111" t="s">
        <v>95</v>
      </c>
      <c r="E47" s="18" t="s">
        <v>2849</v>
      </c>
      <c r="F47" s="4" t="str">
        <f t="shared" si="0"/>
        <v>EUB09D700269</v>
      </c>
      <c r="G47" s="4">
        <v>4859</v>
      </c>
      <c r="H47" s="4" t="s">
        <v>2850</v>
      </c>
      <c r="J47" s="19" t="str">
        <f t="shared" si="1"/>
        <v>Nem Heineken Költség</v>
      </c>
      <c r="K47" s="2" t="str">
        <f t="shared" si="2"/>
        <v/>
      </c>
    </row>
    <row r="48" spans="1:11" ht="30" customHeight="1" x14ac:dyDescent="0.25">
      <c r="A48" s="527">
        <v>45551</v>
      </c>
      <c r="B48" s="524" t="s">
        <v>14</v>
      </c>
      <c r="C48" s="526" t="s">
        <v>2847</v>
      </c>
      <c r="D48" s="111" t="s">
        <v>95</v>
      </c>
      <c r="E48" s="525" t="s">
        <v>2849</v>
      </c>
      <c r="F48" s="4" t="str">
        <f t="shared" si="0"/>
        <v>EUB09D700269</v>
      </c>
      <c r="G48" s="526">
        <v>4859</v>
      </c>
      <c r="H48" s="4" t="s">
        <v>2851</v>
      </c>
      <c r="J48" s="19" t="str">
        <f t="shared" si="1"/>
        <v>Nem Heineken Költség</v>
      </c>
      <c r="K48" s="2" t="str">
        <f t="shared" si="2"/>
        <v/>
      </c>
    </row>
    <row r="49" spans="1:11" ht="30" customHeight="1" x14ac:dyDescent="0.25">
      <c r="A49" s="14">
        <v>45551</v>
      </c>
      <c r="B49" s="2" t="s">
        <v>79</v>
      </c>
      <c r="C49" s="178" t="s">
        <v>2859</v>
      </c>
      <c r="D49" s="111" t="s">
        <v>95</v>
      </c>
      <c r="E49" s="18" t="s">
        <v>2846</v>
      </c>
      <c r="F49" s="4" t="str">
        <f t="shared" si="0"/>
        <v>PTP200R239153</v>
      </c>
      <c r="G49" s="4">
        <v>2087</v>
      </c>
      <c r="H49" s="4" t="s">
        <v>2850</v>
      </c>
      <c r="J49" s="19" t="str">
        <f t="shared" si="1"/>
        <v>Nem Heineken Költség</v>
      </c>
      <c r="K49" s="2" t="str">
        <f t="shared" si="2"/>
        <v/>
      </c>
    </row>
    <row r="50" spans="1:11" ht="30" customHeight="1" x14ac:dyDescent="0.25">
      <c r="A50" s="14">
        <v>45546</v>
      </c>
      <c r="B50" s="2" t="s">
        <v>78</v>
      </c>
      <c r="C50" s="178" t="s">
        <v>2839</v>
      </c>
      <c r="D50" s="111" t="s">
        <v>95</v>
      </c>
      <c r="E50" s="18" t="s">
        <v>2843</v>
      </c>
      <c r="F50" s="4" t="str">
        <f t="shared" si="0"/>
        <v>PTP200R239152</v>
      </c>
      <c r="G50" s="4">
        <v>2230</v>
      </c>
      <c r="H50" s="4" t="s">
        <v>2851</v>
      </c>
      <c r="I50" s="2" t="s">
        <v>1728</v>
      </c>
      <c r="J50" s="19" t="str">
        <f t="shared" si="1"/>
        <v>SM-2024/11450</v>
      </c>
      <c r="K50" s="2">
        <f t="shared" si="2"/>
        <v>209.69</v>
      </c>
    </row>
    <row r="51" spans="1:11" ht="30" customHeight="1" x14ac:dyDescent="0.25">
      <c r="A51" s="14">
        <v>45546</v>
      </c>
      <c r="B51" s="2" t="s">
        <v>77</v>
      </c>
      <c r="C51" s="22" t="s">
        <v>2841</v>
      </c>
      <c r="D51" s="111" t="s">
        <v>95</v>
      </c>
      <c r="E51" s="18" t="s">
        <v>2842</v>
      </c>
      <c r="F51" s="4" t="str">
        <f t="shared" si="0"/>
        <v>PTP200R239151</v>
      </c>
      <c r="G51" s="4">
        <v>1536</v>
      </c>
      <c r="H51" s="4" t="s">
        <v>2851</v>
      </c>
      <c r="I51" s="2" t="s">
        <v>1728</v>
      </c>
      <c r="J51" s="19" t="str">
        <f t="shared" si="1"/>
        <v>SM-2024/11451</v>
      </c>
      <c r="K51" s="2">
        <f t="shared" si="2"/>
        <v>123.58</v>
      </c>
    </row>
    <row r="52" spans="1:11" ht="30" customHeight="1" x14ac:dyDescent="0.25">
      <c r="A52" s="14">
        <v>45546</v>
      </c>
      <c r="B52" s="2" t="s">
        <v>81</v>
      </c>
      <c r="C52" s="35" t="s">
        <v>2839</v>
      </c>
      <c r="D52" s="111" t="s">
        <v>95</v>
      </c>
      <c r="E52" s="18" t="s">
        <v>2840</v>
      </c>
      <c r="F52" s="4" t="str">
        <f t="shared" si="0"/>
        <v>PTP200R239155</v>
      </c>
      <c r="G52" s="4">
        <v>857</v>
      </c>
      <c r="H52" s="4" t="s">
        <v>2851</v>
      </c>
      <c r="I52" s="2" t="s">
        <v>1728</v>
      </c>
      <c r="J52" s="19" t="str">
        <f t="shared" si="1"/>
        <v>SM-2024/11452</v>
      </c>
      <c r="K52" s="2">
        <f t="shared" si="2"/>
        <v>123.58</v>
      </c>
    </row>
    <row r="53" spans="1:11" ht="30" customHeight="1" x14ac:dyDescent="0.25">
      <c r="A53" s="14">
        <v>45546</v>
      </c>
      <c r="B53" s="2" t="s">
        <v>5</v>
      </c>
      <c r="C53" s="22" t="s">
        <v>2837</v>
      </c>
      <c r="D53" s="111" t="s">
        <v>95</v>
      </c>
      <c r="E53" s="18" t="s">
        <v>2838</v>
      </c>
      <c r="F53" s="4" t="str">
        <f t="shared" si="0"/>
        <v>JAG2N1E701603</v>
      </c>
      <c r="G53" s="4">
        <v>1712</v>
      </c>
      <c r="H53" s="4" t="s">
        <v>2851</v>
      </c>
      <c r="J53" s="19" t="str">
        <f t="shared" si="1"/>
        <v>Nem Heineken Költség</v>
      </c>
      <c r="K53" s="2" t="str">
        <f t="shared" si="2"/>
        <v/>
      </c>
    </row>
    <row r="54" spans="1:11" ht="30" customHeight="1" x14ac:dyDescent="0.25">
      <c r="A54" s="14">
        <v>45546</v>
      </c>
      <c r="B54" s="2" t="s">
        <v>80</v>
      </c>
      <c r="C54" s="22" t="s">
        <v>2835</v>
      </c>
      <c r="D54" s="111" t="s">
        <v>95</v>
      </c>
      <c r="E54" s="18" t="s">
        <v>2836</v>
      </c>
      <c r="F54" s="4" t="str">
        <f t="shared" si="0"/>
        <v>PTP200R239154</v>
      </c>
      <c r="G54" s="4">
        <v>379</v>
      </c>
      <c r="H54" s="4" t="s">
        <v>2851</v>
      </c>
      <c r="J54" s="19" t="str">
        <f t="shared" si="1"/>
        <v>Nem Heineken Költség</v>
      </c>
      <c r="K54" s="2" t="str">
        <f t="shared" si="2"/>
        <v/>
      </c>
    </row>
    <row r="55" spans="1:11" ht="30" customHeight="1" x14ac:dyDescent="0.25">
      <c r="A55" s="14">
        <v>45546</v>
      </c>
      <c r="B55" s="2" t="s">
        <v>9</v>
      </c>
      <c r="C55" s="22" t="s">
        <v>2844</v>
      </c>
      <c r="D55" s="111" t="s">
        <v>95</v>
      </c>
      <c r="E55" s="18" t="s">
        <v>2834</v>
      </c>
      <c r="F55" s="4" t="str">
        <f t="shared" si="0"/>
        <v>EUB09D700745</v>
      </c>
      <c r="G55" s="4">
        <v>5593</v>
      </c>
      <c r="H55" s="4" t="s">
        <v>2850</v>
      </c>
      <c r="J55" s="19" t="str">
        <f t="shared" si="1"/>
        <v>Nem Heineken Költség</v>
      </c>
      <c r="K55" s="2" t="str">
        <f t="shared" si="2"/>
        <v/>
      </c>
    </row>
    <row r="56" spans="1:11" ht="30" customHeight="1" x14ac:dyDescent="0.25">
      <c r="A56" s="527">
        <v>45541</v>
      </c>
      <c r="B56" s="524" t="s">
        <v>19</v>
      </c>
      <c r="C56" s="531" t="s">
        <v>2825</v>
      </c>
      <c r="D56" s="111" t="s">
        <v>95</v>
      </c>
      <c r="E56" s="525" t="s">
        <v>2826</v>
      </c>
      <c r="F56" s="4" t="str">
        <f t="shared" si="0"/>
        <v>EUB09D700836</v>
      </c>
      <c r="G56" s="526">
        <v>6378</v>
      </c>
      <c r="H56" s="4" t="s">
        <v>2851</v>
      </c>
      <c r="I56" s="524" t="s">
        <v>2827</v>
      </c>
      <c r="J56" s="19" t="str">
        <f t="shared" si="1"/>
        <v>Nem Heineken Költség</v>
      </c>
      <c r="K56" s="2" t="str">
        <f t="shared" si="2"/>
        <v/>
      </c>
    </row>
    <row r="57" spans="1:11" ht="30" customHeight="1" x14ac:dyDescent="0.25">
      <c r="A57" s="527">
        <v>45541</v>
      </c>
      <c r="B57" s="524" t="s">
        <v>9</v>
      </c>
      <c r="C57" s="531" t="s">
        <v>2823</v>
      </c>
      <c r="D57" s="111" t="s">
        <v>95</v>
      </c>
      <c r="E57" s="525" t="s">
        <v>2824</v>
      </c>
      <c r="F57" s="4" t="str">
        <f t="shared" si="0"/>
        <v>EUB09D700745</v>
      </c>
      <c r="G57" s="526">
        <v>5556</v>
      </c>
      <c r="H57" s="4" t="s">
        <v>2851</v>
      </c>
      <c r="I57" s="524" t="s">
        <v>2827</v>
      </c>
      <c r="J57" s="19" t="str">
        <f t="shared" si="1"/>
        <v>Nem Heineken Költség</v>
      </c>
      <c r="K57" s="2" t="str">
        <f t="shared" si="2"/>
        <v/>
      </c>
    </row>
    <row r="58" spans="1:11" ht="30" customHeight="1" x14ac:dyDescent="0.25">
      <c r="A58" s="527">
        <v>45541</v>
      </c>
      <c r="B58" s="524" t="s">
        <v>26</v>
      </c>
      <c r="C58" s="531" t="s">
        <v>2821</v>
      </c>
      <c r="D58" s="111" t="s">
        <v>95</v>
      </c>
      <c r="E58" s="525" t="s">
        <v>2822</v>
      </c>
      <c r="F58" s="4" t="str">
        <f t="shared" si="0"/>
        <v>EFC09D60002</v>
      </c>
      <c r="G58" s="526">
        <v>6567</v>
      </c>
      <c r="H58" s="4" t="s">
        <v>2851</v>
      </c>
      <c r="I58" s="524" t="s">
        <v>2827</v>
      </c>
      <c r="J58" s="19" t="str">
        <f t="shared" si="1"/>
        <v>Nem Heineken Költség</v>
      </c>
      <c r="K58" s="2" t="str">
        <f t="shared" si="2"/>
        <v/>
      </c>
    </row>
    <row r="59" spans="1:11" ht="30" customHeight="1" x14ac:dyDescent="0.25">
      <c r="A59" s="527">
        <v>45541</v>
      </c>
      <c r="B59" s="524" t="s">
        <v>6</v>
      </c>
      <c r="C59" s="531" t="s">
        <v>2819</v>
      </c>
      <c r="D59" s="111" t="s">
        <v>95</v>
      </c>
      <c r="E59" s="525" t="s">
        <v>2820</v>
      </c>
      <c r="F59" s="4" t="str">
        <f t="shared" si="0"/>
        <v>EUB09D700742</v>
      </c>
      <c r="G59" s="526">
        <v>6578</v>
      </c>
      <c r="H59" s="4" t="s">
        <v>2851</v>
      </c>
      <c r="I59" s="524" t="s">
        <v>2827</v>
      </c>
      <c r="J59" s="19" t="str">
        <f t="shared" si="1"/>
        <v>Nem Heineken Költség</v>
      </c>
      <c r="K59" s="2" t="str">
        <f t="shared" si="2"/>
        <v/>
      </c>
    </row>
    <row r="60" spans="1:11" ht="30" customHeight="1" x14ac:dyDescent="0.25">
      <c r="A60" s="14">
        <v>45541</v>
      </c>
      <c r="B60" s="2" t="s">
        <v>20</v>
      </c>
      <c r="C60" s="22" t="s">
        <v>2845</v>
      </c>
      <c r="D60" s="111" t="s">
        <v>95</v>
      </c>
      <c r="E60" s="18" t="s">
        <v>2818</v>
      </c>
      <c r="F60" s="4" t="str">
        <f t="shared" si="0"/>
        <v>EUB09D700832</v>
      </c>
      <c r="G60" s="4">
        <v>4830</v>
      </c>
      <c r="H60" s="4" t="s">
        <v>2851</v>
      </c>
      <c r="J60" s="19" t="str">
        <f t="shared" si="1"/>
        <v>Nem Heineken Költség</v>
      </c>
      <c r="K60" s="2" t="str">
        <f t="shared" si="2"/>
        <v/>
      </c>
    </row>
    <row r="61" spans="1:11" ht="30" customHeight="1" x14ac:dyDescent="0.25">
      <c r="A61" s="557">
        <v>45540</v>
      </c>
      <c r="B61" s="558" t="s">
        <v>3</v>
      </c>
      <c r="C61" s="559" t="s">
        <v>2816</v>
      </c>
      <c r="D61" s="111" t="s">
        <v>95</v>
      </c>
      <c r="E61" s="18" t="s">
        <v>2817</v>
      </c>
      <c r="F61" s="4" t="str">
        <f t="shared" si="0"/>
        <v>JA2N1E700428</v>
      </c>
      <c r="G61" s="4">
        <v>2563</v>
      </c>
      <c r="H61" s="4"/>
      <c r="I61" s="2" t="s">
        <v>1728</v>
      </c>
      <c r="J61" s="19" t="str">
        <f t="shared" si="1"/>
        <v>SM-2024/11346</v>
      </c>
      <c r="K61" s="2">
        <f t="shared" si="2"/>
        <v>216.66</v>
      </c>
    </row>
    <row r="62" spans="1:11" ht="30" customHeight="1" x14ac:dyDescent="0.25">
      <c r="A62" s="557">
        <v>45540</v>
      </c>
      <c r="B62" s="558" t="s">
        <v>4</v>
      </c>
      <c r="C62" s="559" t="s">
        <v>2814</v>
      </c>
      <c r="D62" s="111" t="s">
        <v>95</v>
      </c>
      <c r="E62" s="18" t="s">
        <v>2815</v>
      </c>
      <c r="F62" s="4" t="str">
        <f t="shared" si="0"/>
        <v>JAG2N1E701604</v>
      </c>
      <c r="G62" s="4">
        <v>2382</v>
      </c>
      <c r="H62" s="4" t="s">
        <v>2851</v>
      </c>
      <c r="J62" s="19" t="str">
        <f t="shared" si="1"/>
        <v>Nem Heineken Költség</v>
      </c>
      <c r="K62" s="2" t="str">
        <f t="shared" si="2"/>
        <v/>
      </c>
    </row>
    <row r="63" spans="1:11" ht="30" customHeight="1" x14ac:dyDescent="0.25">
      <c r="A63" s="527">
        <v>45540</v>
      </c>
      <c r="B63" s="524" t="s">
        <v>8</v>
      </c>
      <c r="C63" s="531" t="s">
        <v>2812</v>
      </c>
      <c r="D63" s="111" t="s">
        <v>95</v>
      </c>
      <c r="E63" s="525" t="s">
        <v>2813</v>
      </c>
      <c r="F63" s="4" t="str">
        <f t="shared" si="0"/>
        <v>EUB09D700744</v>
      </c>
      <c r="G63" s="526">
        <v>5862</v>
      </c>
      <c r="H63" s="4" t="s">
        <v>2851</v>
      </c>
      <c r="I63" s="524" t="s">
        <v>2827</v>
      </c>
      <c r="J63" s="19" t="str">
        <f t="shared" si="1"/>
        <v>Nem Heineken Költség</v>
      </c>
      <c r="K63" s="2" t="str">
        <f t="shared" si="2"/>
        <v/>
      </c>
    </row>
    <row r="64" spans="1:11" ht="30" customHeight="1" x14ac:dyDescent="0.25">
      <c r="A64" s="14">
        <v>45540</v>
      </c>
      <c r="B64" s="2" t="s">
        <v>21</v>
      </c>
      <c r="C64" s="22" t="s">
        <v>2810</v>
      </c>
      <c r="D64" s="111" t="s">
        <v>95</v>
      </c>
      <c r="E64" s="18" t="s">
        <v>2811</v>
      </c>
      <c r="F64" s="4" t="str">
        <f t="shared" si="0"/>
        <v>EUB09D700842</v>
      </c>
      <c r="G64" s="4">
        <v>5758</v>
      </c>
      <c r="H64" s="4" t="s">
        <v>2851</v>
      </c>
      <c r="J64" s="19" t="str">
        <f t="shared" si="1"/>
        <v>Nem Heineken Költség</v>
      </c>
      <c r="K64" s="2" t="str">
        <f t="shared" si="2"/>
        <v/>
      </c>
    </row>
    <row r="65" spans="1:11" ht="30" customHeight="1" x14ac:dyDescent="0.25">
      <c r="A65" s="14">
        <v>45540</v>
      </c>
      <c r="B65" s="2" t="s">
        <v>24</v>
      </c>
      <c r="C65" s="22" t="s">
        <v>2808</v>
      </c>
      <c r="D65" s="111" t="s">
        <v>95</v>
      </c>
      <c r="E65" s="18" t="s">
        <v>2809</v>
      </c>
      <c r="F65" s="4" t="str">
        <f t="shared" si="0"/>
        <v>EUB09D700704</v>
      </c>
      <c r="G65" s="4">
        <v>4049</v>
      </c>
      <c r="H65" s="4" t="s">
        <v>2851</v>
      </c>
      <c r="J65" s="19" t="str">
        <f t="shared" si="1"/>
        <v>Nem Heineken Költség</v>
      </c>
      <c r="K65" s="2" t="str">
        <f t="shared" si="2"/>
        <v/>
      </c>
    </row>
    <row r="66" spans="1:11" ht="30" customHeight="1" x14ac:dyDescent="0.25">
      <c r="A66" s="14">
        <v>45540</v>
      </c>
      <c r="B66" s="2" t="s">
        <v>21</v>
      </c>
      <c r="C66" s="22" t="s">
        <v>2807</v>
      </c>
      <c r="D66" s="111" t="s">
        <v>95</v>
      </c>
      <c r="E66" s="18" t="s">
        <v>2806</v>
      </c>
      <c r="F66" s="4" t="str">
        <f t="shared" si="0"/>
        <v>EUB09D700842</v>
      </c>
      <c r="G66" s="4">
        <v>5758</v>
      </c>
      <c r="H66" s="4" t="s">
        <v>2851</v>
      </c>
      <c r="J66" s="19" t="str">
        <f t="shared" si="1"/>
        <v>Nem Heineken Költség</v>
      </c>
      <c r="K66" s="2" t="str">
        <f t="shared" si="2"/>
        <v/>
      </c>
    </row>
    <row r="67" spans="1:11" ht="30" customHeight="1" x14ac:dyDescent="0.25">
      <c r="A67" s="14">
        <v>45537</v>
      </c>
      <c r="B67" s="2" t="s">
        <v>14</v>
      </c>
      <c r="C67" s="22" t="s">
        <v>2805</v>
      </c>
      <c r="D67" s="111" t="s">
        <v>95</v>
      </c>
      <c r="E67" s="18" t="s">
        <v>2804</v>
      </c>
      <c r="F67" s="4" t="str">
        <f t="shared" ref="F67:F130" si="3">IFERROR(VLOOKUP(B67,targlist02,3,0),"Nincs Adat")</f>
        <v>EUB09D700269</v>
      </c>
      <c r="G67" s="4">
        <v>4793</v>
      </c>
      <c r="H67" s="4" t="s">
        <v>2851</v>
      </c>
      <c r="J67" s="19" t="str">
        <f t="shared" ref="J67:J130" si="4">IF(I67="H",IFERROR(VLOOKUP(E67,podone,1,0),"Nincs Po"),"Nem Heineken Költség")</f>
        <v>Nem Heineken Költség</v>
      </c>
      <c r="K67" s="2" t="str">
        <f t="shared" ref="K67:K130" si="5">IFERROR(VLOOKUP(E67,poprice,4,0),"")</f>
        <v/>
      </c>
    </row>
    <row r="68" spans="1:11" ht="30" customHeight="1" x14ac:dyDescent="0.25">
      <c r="A68" s="557">
        <v>45537</v>
      </c>
      <c r="B68" s="558" t="s">
        <v>5</v>
      </c>
      <c r="C68" s="560" t="s">
        <v>2802</v>
      </c>
      <c r="D68" s="111" t="s">
        <v>95</v>
      </c>
      <c r="E68" s="18" t="s">
        <v>2803</v>
      </c>
      <c r="F68" s="4" t="str">
        <f t="shared" si="3"/>
        <v>JAG2N1E701603</v>
      </c>
      <c r="G68" s="4">
        <v>1671</v>
      </c>
      <c r="H68" s="4" t="s">
        <v>2851</v>
      </c>
      <c r="J68" s="19" t="str">
        <f t="shared" si="4"/>
        <v>Nem Heineken Költség</v>
      </c>
      <c r="K68" s="2" t="str">
        <f t="shared" si="5"/>
        <v/>
      </c>
    </row>
    <row r="69" spans="1:11" ht="30" customHeight="1" x14ac:dyDescent="0.25">
      <c r="A69" s="557">
        <v>45537</v>
      </c>
      <c r="B69" s="558" t="s">
        <v>2</v>
      </c>
      <c r="C69" s="559" t="s">
        <v>2800</v>
      </c>
      <c r="D69" s="111" t="s">
        <v>95</v>
      </c>
      <c r="E69" s="18" t="s">
        <v>2801</v>
      </c>
      <c r="F69" s="4" t="str">
        <f t="shared" si="3"/>
        <v>JA2N1E700427</v>
      </c>
      <c r="G69" s="4">
        <v>3187</v>
      </c>
      <c r="H69" s="4" t="s">
        <v>2851</v>
      </c>
      <c r="J69" s="19" t="str">
        <f t="shared" si="4"/>
        <v>Nem Heineken Költség</v>
      </c>
      <c r="K69" s="2" t="str">
        <f t="shared" si="5"/>
        <v/>
      </c>
    </row>
    <row r="70" spans="1:11" ht="30" customHeight="1" x14ac:dyDescent="0.25">
      <c r="A70" s="14">
        <v>45537</v>
      </c>
      <c r="B70" s="2" t="s">
        <v>23</v>
      </c>
      <c r="C70" s="22" t="s">
        <v>2798</v>
      </c>
      <c r="D70" s="111" t="s">
        <v>95</v>
      </c>
      <c r="E70" s="18" t="s">
        <v>2799</v>
      </c>
      <c r="F70" s="4" t="str">
        <f t="shared" si="3"/>
        <v>EUB09D700740</v>
      </c>
      <c r="G70" s="4">
        <v>2747</v>
      </c>
      <c r="H70" s="4" t="s">
        <v>1728</v>
      </c>
      <c r="I70" s="2" t="s">
        <v>1728</v>
      </c>
      <c r="J70" s="19" t="str">
        <f t="shared" si="4"/>
        <v>SM-2024/11122</v>
      </c>
      <c r="K70" s="2">
        <f t="shared" si="5"/>
        <v>136.13999999999999</v>
      </c>
    </row>
    <row r="71" spans="1:11" ht="30" customHeight="1" x14ac:dyDescent="0.25">
      <c r="A71" s="14">
        <v>45537</v>
      </c>
      <c r="B71" s="2" t="s">
        <v>14</v>
      </c>
      <c r="C71" s="22" t="s">
        <v>2796</v>
      </c>
      <c r="D71" s="111" t="s">
        <v>95</v>
      </c>
      <c r="E71" s="18" t="s">
        <v>2797</v>
      </c>
      <c r="F71" s="4" t="str">
        <f t="shared" si="3"/>
        <v>EUB09D700269</v>
      </c>
      <c r="G71" s="4">
        <v>4793</v>
      </c>
      <c r="H71" s="4" t="s">
        <v>2851</v>
      </c>
      <c r="J71" s="19" t="str">
        <f t="shared" si="4"/>
        <v>Nem Heineken Költség</v>
      </c>
      <c r="K71" s="2" t="str">
        <f t="shared" si="5"/>
        <v/>
      </c>
    </row>
    <row r="72" spans="1:11" ht="30" customHeight="1" x14ac:dyDescent="0.25">
      <c r="A72" s="14">
        <v>45537</v>
      </c>
      <c r="B72" s="2" t="s">
        <v>11</v>
      </c>
      <c r="C72" s="22" t="s">
        <v>2794</v>
      </c>
      <c r="D72" s="111" t="s">
        <v>95</v>
      </c>
      <c r="E72" s="18" t="s">
        <v>2795</v>
      </c>
      <c r="F72" s="4" t="str">
        <f t="shared" si="3"/>
        <v>EUB09D700850</v>
      </c>
      <c r="G72" s="4"/>
      <c r="H72" s="4" t="s">
        <v>2853</v>
      </c>
      <c r="J72" s="19" t="str">
        <f t="shared" si="4"/>
        <v>Nem Heineken Költség</v>
      </c>
      <c r="K72" s="2" t="str">
        <f t="shared" si="5"/>
        <v/>
      </c>
    </row>
    <row r="73" spans="1:11" ht="30" customHeight="1" x14ac:dyDescent="0.25">
      <c r="A73" s="14">
        <v>45534</v>
      </c>
      <c r="B73" s="2" t="s">
        <v>19</v>
      </c>
      <c r="C73" s="22" t="s">
        <v>2828</v>
      </c>
      <c r="D73" s="111" t="s">
        <v>95</v>
      </c>
      <c r="E73" s="18" t="s">
        <v>2790</v>
      </c>
      <c r="F73" s="4" t="str">
        <f t="shared" si="3"/>
        <v>EUB09D700836</v>
      </c>
      <c r="G73" s="4">
        <v>6348</v>
      </c>
      <c r="H73" s="4" t="s">
        <v>2850</v>
      </c>
      <c r="J73" s="19" t="str">
        <f t="shared" si="4"/>
        <v>Nem Heineken Költség</v>
      </c>
      <c r="K73" s="2" t="str">
        <f t="shared" si="5"/>
        <v/>
      </c>
    </row>
    <row r="74" spans="1:11" ht="30" customHeight="1" x14ac:dyDescent="0.25">
      <c r="A74" s="14">
        <v>45534</v>
      </c>
      <c r="B74" s="2" t="s">
        <v>80</v>
      </c>
      <c r="C74" s="35" t="s">
        <v>2788</v>
      </c>
      <c r="D74" s="111" t="s">
        <v>95</v>
      </c>
      <c r="E74" s="18" t="s">
        <v>2789</v>
      </c>
      <c r="F74" s="4" t="str">
        <f t="shared" si="3"/>
        <v>PTP200R239154</v>
      </c>
      <c r="G74" s="4">
        <v>368</v>
      </c>
      <c r="H74" s="4" t="s">
        <v>2851</v>
      </c>
      <c r="I74" s="2" t="s">
        <v>1728</v>
      </c>
      <c r="J74" s="19" t="str">
        <f t="shared" si="4"/>
        <v>SM-2024/11027</v>
      </c>
      <c r="K74" s="2">
        <f t="shared" si="5"/>
        <v>425.67</v>
      </c>
    </row>
    <row r="75" spans="1:11" ht="30" customHeight="1" x14ac:dyDescent="0.25">
      <c r="A75" s="14">
        <v>45534</v>
      </c>
      <c r="B75" s="2" t="s">
        <v>79</v>
      </c>
      <c r="C75" s="35" t="s">
        <v>2786</v>
      </c>
      <c r="D75" s="111" t="s">
        <v>95</v>
      </c>
      <c r="E75" s="18" t="s">
        <v>2787</v>
      </c>
      <c r="F75" s="4" t="str">
        <f t="shared" si="3"/>
        <v>PTP200R239153</v>
      </c>
      <c r="G75" s="4">
        <v>2081</v>
      </c>
      <c r="H75" s="4" t="s">
        <v>2851</v>
      </c>
      <c r="I75" s="2" t="s">
        <v>1728</v>
      </c>
      <c r="J75" s="19" t="str">
        <f t="shared" si="4"/>
        <v>SM-2024/11025</v>
      </c>
      <c r="K75" s="2" t="str">
        <f t="shared" si="5"/>
        <v/>
      </c>
    </row>
    <row r="76" spans="1:11" ht="30" customHeight="1" x14ac:dyDescent="0.25">
      <c r="A76" s="14">
        <v>45533</v>
      </c>
      <c r="B76" s="2" t="s">
        <v>194</v>
      </c>
      <c r="C76" s="22" t="s">
        <v>2784</v>
      </c>
      <c r="D76" s="111" t="s">
        <v>95</v>
      </c>
      <c r="E76" s="18" t="s">
        <v>2785</v>
      </c>
      <c r="F76" s="4" t="str">
        <f t="shared" si="3"/>
        <v>PDP-242697</v>
      </c>
      <c r="G76" s="4">
        <v>54</v>
      </c>
      <c r="H76" s="4" t="s">
        <v>2851</v>
      </c>
      <c r="J76" s="19" t="str">
        <f t="shared" si="4"/>
        <v>Nem Heineken Költség</v>
      </c>
      <c r="K76" s="2" t="str">
        <f t="shared" si="5"/>
        <v/>
      </c>
    </row>
    <row r="77" spans="1:11" ht="30" customHeight="1" x14ac:dyDescent="0.25">
      <c r="A77" s="14">
        <v>45533</v>
      </c>
      <c r="B77" s="2" t="s">
        <v>10</v>
      </c>
      <c r="C77" s="22" t="s">
        <v>2783</v>
      </c>
      <c r="D77" s="111" t="s">
        <v>95</v>
      </c>
      <c r="E77" s="18" t="s">
        <v>2782</v>
      </c>
      <c r="F77" s="4" t="str">
        <f t="shared" si="3"/>
        <v>EUB09D700794</v>
      </c>
      <c r="G77" s="4">
        <v>4656</v>
      </c>
      <c r="H77" s="4" t="s">
        <v>2850</v>
      </c>
      <c r="J77" s="19" t="str">
        <f t="shared" si="4"/>
        <v>Nem Heineken Költség</v>
      </c>
      <c r="K77" s="2" t="str">
        <f t="shared" si="5"/>
        <v/>
      </c>
    </row>
    <row r="78" spans="1:11" ht="30" customHeight="1" x14ac:dyDescent="0.25">
      <c r="A78" s="14">
        <v>45533</v>
      </c>
      <c r="B78" s="2" t="s">
        <v>16</v>
      </c>
      <c r="C78" s="22" t="s">
        <v>2780</v>
      </c>
      <c r="D78" s="111" t="s">
        <v>95</v>
      </c>
      <c r="E78" s="18" t="s">
        <v>2781</v>
      </c>
      <c r="F78" s="4" t="str">
        <f t="shared" si="3"/>
        <v>EUB09D700851</v>
      </c>
      <c r="G78" s="4">
        <v>6041</v>
      </c>
      <c r="H78" s="4" t="s">
        <v>2851</v>
      </c>
      <c r="J78" s="19" t="str">
        <f t="shared" si="4"/>
        <v>Nem Heineken Költség</v>
      </c>
      <c r="K78" s="2" t="str">
        <f t="shared" si="5"/>
        <v/>
      </c>
    </row>
    <row r="79" spans="1:11" ht="30" customHeight="1" x14ac:dyDescent="0.25">
      <c r="A79" s="14">
        <v>45533</v>
      </c>
      <c r="B79" s="2" t="s">
        <v>13</v>
      </c>
      <c r="C79" s="22" t="s">
        <v>2778</v>
      </c>
      <c r="D79" s="111" t="s">
        <v>95</v>
      </c>
      <c r="E79" s="18" t="s">
        <v>2779</v>
      </c>
      <c r="F79" s="4" t="str">
        <f t="shared" si="3"/>
        <v>EUB09D700268</v>
      </c>
      <c r="G79" s="4">
        <v>5220</v>
      </c>
      <c r="H79" s="4" t="s">
        <v>2851</v>
      </c>
      <c r="J79" s="19" t="str">
        <f t="shared" si="4"/>
        <v>Nem Heineken Költség</v>
      </c>
      <c r="K79" s="2" t="str">
        <f t="shared" si="5"/>
        <v/>
      </c>
    </row>
    <row r="80" spans="1:11" ht="30" customHeight="1" x14ac:dyDescent="0.25">
      <c r="A80" s="14">
        <v>45533</v>
      </c>
      <c r="B80" s="2" t="s">
        <v>18</v>
      </c>
      <c r="C80" s="22" t="s">
        <v>2776</v>
      </c>
      <c r="D80" s="111" t="s">
        <v>95</v>
      </c>
      <c r="E80" s="18" t="s">
        <v>2777</v>
      </c>
      <c r="F80" s="4" t="str">
        <f t="shared" si="3"/>
        <v>EUB09D700992</v>
      </c>
      <c r="G80" s="4">
        <v>7209</v>
      </c>
      <c r="H80" s="4" t="s">
        <v>2851</v>
      </c>
      <c r="J80" s="19" t="str">
        <f t="shared" si="4"/>
        <v>Nem Heineken Költség</v>
      </c>
      <c r="K80" s="2" t="str">
        <f t="shared" si="5"/>
        <v/>
      </c>
    </row>
    <row r="81" spans="1:11" ht="33" customHeight="1" x14ac:dyDescent="0.25">
      <c r="A81" s="14">
        <v>45533</v>
      </c>
      <c r="B81" s="2" t="s">
        <v>7</v>
      </c>
      <c r="C81" s="35" t="s">
        <v>2762</v>
      </c>
      <c r="D81" s="111" t="s">
        <v>95</v>
      </c>
      <c r="E81" s="18" t="s">
        <v>2763</v>
      </c>
      <c r="F81" s="4" t="str">
        <f t="shared" si="3"/>
        <v>EUB09D700743</v>
      </c>
      <c r="G81" s="4">
        <v>6065</v>
      </c>
      <c r="H81" s="4" t="s">
        <v>2851</v>
      </c>
      <c r="J81" s="19" t="str">
        <f t="shared" si="4"/>
        <v>Nem Heineken Költség</v>
      </c>
      <c r="K81" s="2" t="str">
        <f t="shared" si="5"/>
        <v/>
      </c>
    </row>
    <row r="82" spans="1:11" ht="30" customHeight="1" x14ac:dyDescent="0.25">
      <c r="A82" s="14">
        <v>45530</v>
      </c>
      <c r="B82" s="2" t="s">
        <v>81</v>
      </c>
      <c r="C82" s="22" t="s">
        <v>2829</v>
      </c>
      <c r="D82" s="111" t="s">
        <v>95</v>
      </c>
      <c r="E82" s="18" t="s">
        <v>2793</v>
      </c>
      <c r="F82" s="4" t="str">
        <f t="shared" si="3"/>
        <v>PTP200R239155</v>
      </c>
      <c r="G82" s="4">
        <v>805</v>
      </c>
      <c r="H82" s="4" t="s">
        <v>2851</v>
      </c>
      <c r="I82" s="2" t="s">
        <v>1728</v>
      </c>
      <c r="J82" s="19" t="str">
        <f t="shared" si="4"/>
        <v>SM-2024/10763</v>
      </c>
      <c r="K82" s="2">
        <f t="shared" si="5"/>
        <v>511.77</v>
      </c>
    </row>
    <row r="83" spans="1:11" ht="49.9" customHeight="1" x14ac:dyDescent="0.25">
      <c r="A83" s="14">
        <v>45530</v>
      </c>
      <c r="B83" s="2" t="s">
        <v>153</v>
      </c>
      <c r="C83" s="22" t="s">
        <v>2791</v>
      </c>
      <c r="D83" s="111" t="s">
        <v>95</v>
      </c>
      <c r="E83" s="18" t="s">
        <v>2792</v>
      </c>
      <c r="F83" s="4" t="str">
        <f t="shared" si="3"/>
        <v>Nincs Adat</v>
      </c>
      <c r="G83" s="4">
        <v>95</v>
      </c>
      <c r="H83" s="4" t="s">
        <v>2853</v>
      </c>
      <c r="J83" s="19" t="str">
        <f t="shared" si="4"/>
        <v>Nem Heineken Költség</v>
      </c>
      <c r="K83" s="2" t="str">
        <f t="shared" si="5"/>
        <v/>
      </c>
    </row>
    <row r="84" spans="1:11" ht="49.9" customHeight="1" x14ac:dyDescent="0.25">
      <c r="A84" s="14">
        <v>45530</v>
      </c>
      <c r="B84" s="2" t="s">
        <v>2493</v>
      </c>
      <c r="C84" s="22" t="s">
        <v>2774</v>
      </c>
      <c r="D84" s="111" t="s">
        <v>95</v>
      </c>
      <c r="E84" s="18" t="s">
        <v>2775</v>
      </c>
      <c r="F84" s="4" t="str">
        <f t="shared" si="3"/>
        <v>Nincs Adat</v>
      </c>
      <c r="G84" s="4"/>
      <c r="H84" s="4" t="s">
        <v>2852</v>
      </c>
      <c r="J84" s="19" t="str">
        <f t="shared" si="4"/>
        <v>Nem Heineken Költség</v>
      </c>
      <c r="K84" s="2" t="str">
        <f t="shared" si="5"/>
        <v/>
      </c>
    </row>
    <row r="85" spans="1:11" ht="30" customHeight="1" x14ac:dyDescent="0.25">
      <c r="A85" s="14">
        <v>45527</v>
      </c>
      <c r="B85" s="2" t="s">
        <v>2167</v>
      </c>
      <c r="C85" s="22" t="s">
        <v>2772</v>
      </c>
      <c r="D85" s="111" t="s">
        <v>95</v>
      </c>
      <c r="E85" s="18" t="s">
        <v>2773</v>
      </c>
      <c r="F85" s="4" t="str">
        <f t="shared" si="3"/>
        <v>Nincs Adat</v>
      </c>
      <c r="G85" s="4">
        <v>2544</v>
      </c>
      <c r="H85" s="4" t="s">
        <v>2850</v>
      </c>
      <c r="J85" s="19" t="str">
        <f t="shared" si="4"/>
        <v>Nem Heineken Költség</v>
      </c>
      <c r="K85" s="2" t="str">
        <f t="shared" si="5"/>
        <v/>
      </c>
    </row>
    <row r="86" spans="1:11" ht="30" customHeight="1" x14ac:dyDescent="0.25">
      <c r="A86" s="14">
        <v>45527</v>
      </c>
      <c r="B86" s="2" t="s">
        <v>2438</v>
      </c>
      <c r="C86" s="35" t="s">
        <v>2770</v>
      </c>
      <c r="D86" s="111" t="s">
        <v>95</v>
      </c>
      <c r="E86" s="18" t="s">
        <v>2771</v>
      </c>
      <c r="F86" s="4" t="str">
        <f t="shared" si="3"/>
        <v>Nincs Adat</v>
      </c>
      <c r="G86" s="4">
        <v>118</v>
      </c>
      <c r="H86" s="4" t="s">
        <v>2850</v>
      </c>
      <c r="J86" s="19" t="str">
        <f t="shared" si="4"/>
        <v>Nem Heineken Költség</v>
      </c>
      <c r="K86" s="2" t="str">
        <f t="shared" si="5"/>
        <v/>
      </c>
    </row>
    <row r="87" spans="1:11" ht="30" customHeight="1" x14ac:dyDescent="0.25">
      <c r="A87" s="14">
        <v>45527</v>
      </c>
      <c r="B87" s="2" t="s">
        <v>81</v>
      </c>
      <c r="C87" s="35" t="s">
        <v>2768</v>
      </c>
      <c r="D87" s="111" t="s">
        <v>95</v>
      </c>
      <c r="E87" s="18" t="s">
        <v>2769</v>
      </c>
      <c r="F87" s="4" t="str">
        <f t="shared" si="3"/>
        <v>PTP200R239155</v>
      </c>
      <c r="G87" s="4">
        <v>805</v>
      </c>
      <c r="H87" s="4" t="s">
        <v>2851</v>
      </c>
      <c r="I87" s="2" t="s">
        <v>1728</v>
      </c>
      <c r="J87" s="19" t="str">
        <f t="shared" si="4"/>
        <v>SM-2024/10701</v>
      </c>
      <c r="K87" s="2">
        <f t="shared" si="5"/>
        <v>131.80000000000001</v>
      </c>
    </row>
    <row r="88" spans="1:11" ht="30" customHeight="1" x14ac:dyDescent="0.25">
      <c r="A88" s="14">
        <v>45527</v>
      </c>
      <c r="B88" s="2" t="s">
        <v>22</v>
      </c>
      <c r="C88" s="22" t="s">
        <v>2767</v>
      </c>
      <c r="D88" s="111" t="s">
        <v>95</v>
      </c>
      <c r="E88" s="18" t="s">
        <v>2766</v>
      </c>
      <c r="F88" s="4" t="str">
        <f t="shared" si="3"/>
        <v>EUB09D700838</v>
      </c>
      <c r="G88" s="4">
        <v>3154</v>
      </c>
      <c r="H88" s="4" t="s">
        <v>2850</v>
      </c>
      <c r="J88" s="19" t="str">
        <f t="shared" si="4"/>
        <v>Nem Heineken Költség</v>
      </c>
      <c r="K88" s="2" t="str">
        <f t="shared" si="5"/>
        <v/>
      </c>
    </row>
    <row r="89" spans="1:11" ht="30" customHeight="1" x14ac:dyDescent="0.25">
      <c r="A89" s="14">
        <v>45525</v>
      </c>
      <c r="B89" s="2" t="s">
        <v>82</v>
      </c>
      <c r="C89" s="22" t="s">
        <v>2764</v>
      </c>
      <c r="D89" s="111" t="s">
        <v>95</v>
      </c>
      <c r="E89" s="18" t="s">
        <v>2765</v>
      </c>
      <c r="F89" s="4" t="str">
        <f t="shared" si="3"/>
        <v>Nincs Adat</v>
      </c>
      <c r="G89" s="4">
        <v>341</v>
      </c>
      <c r="H89" s="4" t="s">
        <v>2850</v>
      </c>
      <c r="J89" s="19" t="str">
        <f t="shared" si="4"/>
        <v>Nem Heineken Költség</v>
      </c>
      <c r="K89" s="2" t="str">
        <f t="shared" si="5"/>
        <v/>
      </c>
    </row>
    <row r="90" spans="1:11" ht="30" customHeight="1" x14ac:dyDescent="0.25">
      <c r="A90" s="14">
        <v>45525</v>
      </c>
      <c r="B90" s="2" t="s">
        <v>6</v>
      </c>
      <c r="C90" s="22" t="s">
        <v>2758</v>
      </c>
      <c r="D90" s="111" t="s">
        <v>95</v>
      </c>
      <c r="E90" s="18" t="s">
        <v>2759</v>
      </c>
      <c r="F90" s="4" t="str">
        <f t="shared" si="3"/>
        <v>EUB09D700742</v>
      </c>
      <c r="G90" s="4">
        <v>6432</v>
      </c>
      <c r="H90" s="4"/>
      <c r="I90" s="2" t="s">
        <v>1728</v>
      </c>
      <c r="J90" s="19" t="str">
        <f t="shared" si="4"/>
        <v>Nincs Po</v>
      </c>
      <c r="K90" s="2" t="str">
        <f t="shared" si="5"/>
        <v/>
      </c>
    </row>
    <row r="91" spans="1:11" ht="30" customHeight="1" x14ac:dyDescent="0.25">
      <c r="A91" s="14">
        <v>45519</v>
      </c>
      <c r="B91" s="2" t="s">
        <v>14</v>
      </c>
      <c r="C91" s="22" t="s">
        <v>2756</v>
      </c>
      <c r="D91" s="111" t="s">
        <v>95</v>
      </c>
      <c r="E91" s="18" t="s">
        <v>2757</v>
      </c>
      <c r="F91" s="4" t="str">
        <f t="shared" si="3"/>
        <v>EUB09D700269</v>
      </c>
      <c r="G91" s="4">
        <v>4698</v>
      </c>
      <c r="H91" s="4"/>
      <c r="I91" s="2" t="s">
        <v>1728</v>
      </c>
      <c r="J91" s="19" t="str">
        <f t="shared" si="4"/>
        <v>Nincs Po</v>
      </c>
      <c r="K91" s="2" t="str">
        <f t="shared" si="5"/>
        <v/>
      </c>
    </row>
    <row r="92" spans="1:11" ht="30" customHeight="1" x14ac:dyDescent="0.25">
      <c r="A92" s="14">
        <v>45518</v>
      </c>
      <c r="B92" s="2" t="s">
        <v>18</v>
      </c>
      <c r="C92" s="22" t="s">
        <v>2754</v>
      </c>
      <c r="D92" s="111" t="s">
        <v>95</v>
      </c>
      <c r="E92" s="18" t="s">
        <v>2755</v>
      </c>
      <c r="F92" s="4" t="str">
        <f t="shared" si="3"/>
        <v>EUB09D700992</v>
      </c>
      <c r="G92" s="4">
        <v>7124</v>
      </c>
      <c r="H92" s="4" t="s">
        <v>2851</v>
      </c>
      <c r="J92" s="19" t="str">
        <f t="shared" si="4"/>
        <v>Nem Heineken Költség</v>
      </c>
      <c r="K92" s="2" t="str">
        <f t="shared" si="5"/>
        <v/>
      </c>
    </row>
    <row r="93" spans="1:11" ht="30" customHeight="1" x14ac:dyDescent="0.25">
      <c r="A93" s="14">
        <v>45518</v>
      </c>
      <c r="B93" s="2" t="s">
        <v>2438</v>
      </c>
      <c r="C93" s="22" t="s">
        <v>2752</v>
      </c>
      <c r="D93" s="111" t="s">
        <v>95</v>
      </c>
      <c r="E93" s="18" t="s">
        <v>2753</v>
      </c>
      <c r="F93" s="4" t="str">
        <f t="shared" si="3"/>
        <v>Nincs Adat</v>
      </c>
      <c r="G93" s="4">
        <v>118</v>
      </c>
      <c r="H93" s="4" t="s">
        <v>2850</v>
      </c>
      <c r="J93" s="19" t="str">
        <f t="shared" si="4"/>
        <v>Nem Heineken Költség</v>
      </c>
      <c r="K93" s="2" t="str">
        <f t="shared" si="5"/>
        <v/>
      </c>
    </row>
    <row r="94" spans="1:11" ht="30" customHeight="1" x14ac:dyDescent="0.25">
      <c r="A94" s="14">
        <v>45518</v>
      </c>
      <c r="B94" s="2" t="s">
        <v>13</v>
      </c>
      <c r="C94" s="22" t="s">
        <v>2750</v>
      </c>
      <c r="D94" s="111" t="s">
        <v>95</v>
      </c>
      <c r="E94" s="18" t="s">
        <v>2751</v>
      </c>
      <c r="F94" s="4" t="str">
        <f t="shared" si="3"/>
        <v>EUB09D700268</v>
      </c>
      <c r="G94" s="4">
        <v>5106</v>
      </c>
      <c r="H94" s="4"/>
      <c r="I94" s="2" t="s">
        <v>1728</v>
      </c>
      <c r="J94" s="19" t="str">
        <f t="shared" si="4"/>
        <v>Nincs Po</v>
      </c>
      <c r="K94" s="2" t="str">
        <f t="shared" si="5"/>
        <v/>
      </c>
    </row>
    <row r="95" spans="1:11" ht="30" customHeight="1" x14ac:dyDescent="0.25">
      <c r="A95" s="14">
        <v>45517</v>
      </c>
      <c r="B95" s="2" t="s">
        <v>8</v>
      </c>
      <c r="C95" s="22" t="s">
        <v>2748</v>
      </c>
      <c r="D95" s="111" t="s">
        <v>95</v>
      </c>
      <c r="E95" s="18" t="s">
        <v>2749</v>
      </c>
      <c r="F95" s="4" t="str">
        <f t="shared" si="3"/>
        <v>EUB09D700744</v>
      </c>
      <c r="G95" s="4">
        <v>5679</v>
      </c>
      <c r="H95" s="4"/>
      <c r="I95" s="2" t="s">
        <v>1728</v>
      </c>
      <c r="J95" s="19" t="str">
        <f t="shared" si="4"/>
        <v>Nincs Po</v>
      </c>
      <c r="K95" s="2" t="str">
        <f t="shared" si="5"/>
        <v/>
      </c>
    </row>
    <row r="96" spans="1:11" ht="30" customHeight="1" x14ac:dyDescent="0.25">
      <c r="A96" s="14">
        <v>45517</v>
      </c>
      <c r="B96" s="2" t="s">
        <v>8</v>
      </c>
      <c r="C96" s="22" t="s">
        <v>2746</v>
      </c>
      <c r="D96" s="111" t="s">
        <v>95</v>
      </c>
      <c r="E96" s="18" t="s">
        <v>2747</v>
      </c>
      <c r="F96" s="4" t="str">
        <f t="shared" si="3"/>
        <v>EUB09D700744</v>
      </c>
      <c r="G96" s="4">
        <v>5679</v>
      </c>
      <c r="H96" s="4"/>
      <c r="I96" s="2" t="s">
        <v>1728</v>
      </c>
      <c r="J96" s="19" t="str">
        <f t="shared" si="4"/>
        <v>Nincs Po</v>
      </c>
      <c r="K96" s="2" t="str">
        <f t="shared" si="5"/>
        <v/>
      </c>
    </row>
    <row r="97" spans="1:11" ht="30" customHeight="1" x14ac:dyDescent="0.25">
      <c r="A97" s="14">
        <v>45517</v>
      </c>
      <c r="B97" s="2" t="s">
        <v>7</v>
      </c>
      <c r="C97" s="22" t="s">
        <v>2760</v>
      </c>
      <c r="D97" s="111" t="s">
        <v>95</v>
      </c>
      <c r="E97" s="18" t="s">
        <v>2745</v>
      </c>
      <c r="F97" s="4" t="str">
        <f t="shared" si="3"/>
        <v>EUB09D700743</v>
      </c>
      <c r="G97" s="4">
        <v>5965</v>
      </c>
      <c r="H97" s="4"/>
      <c r="I97" s="2" t="s">
        <v>1728</v>
      </c>
      <c r="J97" s="19" t="str">
        <f t="shared" si="4"/>
        <v>Nincs Po</v>
      </c>
      <c r="K97" s="2" t="str">
        <f t="shared" si="5"/>
        <v/>
      </c>
    </row>
    <row r="98" spans="1:11" ht="30" customHeight="1" x14ac:dyDescent="0.25">
      <c r="A98" s="14">
        <v>45517</v>
      </c>
      <c r="B98" s="2" t="s">
        <v>7</v>
      </c>
      <c r="C98" s="22" t="s">
        <v>2743</v>
      </c>
      <c r="D98" s="111" t="s">
        <v>95</v>
      </c>
      <c r="E98" s="18" t="s">
        <v>2744</v>
      </c>
      <c r="F98" s="4" t="str">
        <f t="shared" si="3"/>
        <v>EUB09D700743</v>
      </c>
      <c r="G98" s="4">
        <v>5965</v>
      </c>
      <c r="H98" s="4"/>
      <c r="I98" s="2" t="s">
        <v>1728</v>
      </c>
      <c r="J98" s="19" t="str">
        <f t="shared" si="4"/>
        <v>Nincs Po</v>
      </c>
      <c r="K98" s="2" t="str">
        <f t="shared" si="5"/>
        <v/>
      </c>
    </row>
    <row r="99" spans="1:11" ht="30" customHeight="1" x14ac:dyDescent="0.25">
      <c r="A99" s="14">
        <v>45513</v>
      </c>
      <c r="B99" s="2" t="s">
        <v>10</v>
      </c>
      <c r="C99" s="22" t="s">
        <v>2742</v>
      </c>
      <c r="D99" s="111" t="s">
        <v>95</v>
      </c>
      <c r="E99" s="18" t="s">
        <v>2741</v>
      </c>
      <c r="F99" s="4" t="str">
        <f t="shared" si="3"/>
        <v>EUB09D700794</v>
      </c>
      <c r="G99" s="4">
        <v>4555</v>
      </c>
      <c r="H99" s="4" t="s">
        <v>2851</v>
      </c>
      <c r="J99" s="19" t="str">
        <f t="shared" si="4"/>
        <v>Nem Heineken Költség</v>
      </c>
      <c r="K99" s="2" t="str">
        <f t="shared" si="5"/>
        <v/>
      </c>
    </row>
    <row r="100" spans="1:11" ht="30" customHeight="1" x14ac:dyDescent="0.25">
      <c r="A100" s="14">
        <v>45513</v>
      </c>
      <c r="B100" s="2" t="s">
        <v>10</v>
      </c>
      <c r="C100" s="22" t="s">
        <v>2737</v>
      </c>
      <c r="D100" s="111" t="s">
        <v>95</v>
      </c>
      <c r="E100" s="18" t="s">
        <v>2738</v>
      </c>
      <c r="F100" s="4" t="str">
        <f t="shared" si="3"/>
        <v>EUB09D700794</v>
      </c>
      <c r="G100" s="4">
        <v>4564</v>
      </c>
      <c r="H100" s="4"/>
      <c r="I100" s="2" t="s">
        <v>1728</v>
      </c>
      <c r="J100" s="19" t="str">
        <f t="shared" si="4"/>
        <v>Nincs Po</v>
      </c>
      <c r="K100" s="2" t="str">
        <f t="shared" si="5"/>
        <v/>
      </c>
    </row>
    <row r="101" spans="1:11" ht="30" customHeight="1" x14ac:dyDescent="0.25">
      <c r="A101" s="14">
        <v>45513</v>
      </c>
      <c r="B101" s="2" t="s">
        <v>10</v>
      </c>
      <c r="C101" s="22" t="s">
        <v>2735</v>
      </c>
      <c r="D101" s="111" t="s">
        <v>95</v>
      </c>
      <c r="E101" s="18" t="s">
        <v>2736</v>
      </c>
      <c r="F101" s="4" t="str">
        <f t="shared" si="3"/>
        <v>EUB09D700794</v>
      </c>
      <c r="G101" s="4">
        <v>4564</v>
      </c>
      <c r="H101" s="4"/>
      <c r="I101" s="2" t="s">
        <v>1728</v>
      </c>
      <c r="J101" s="19" t="str">
        <f t="shared" si="4"/>
        <v>Nincs Po</v>
      </c>
      <c r="K101" s="2" t="str">
        <f t="shared" si="5"/>
        <v/>
      </c>
    </row>
    <row r="102" spans="1:11" ht="30" customHeight="1" x14ac:dyDescent="0.25">
      <c r="A102" s="14">
        <v>45512</v>
      </c>
      <c r="B102" s="2" t="s">
        <v>891</v>
      </c>
      <c r="C102" s="22" t="s">
        <v>2739</v>
      </c>
      <c r="D102" s="111" t="s">
        <v>95</v>
      </c>
      <c r="E102" s="18" t="s">
        <v>2740</v>
      </c>
      <c r="F102" s="4">
        <f t="shared" si="3"/>
        <v>10817</v>
      </c>
      <c r="G102" s="4">
        <v>273</v>
      </c>
      <c r="H102" s="4" t="s">
        <v>2851</v>
      </c>
      <c r="J102" s="19" t="str">
        <f t="shared" si="4"/>
        <v>Nem Heineken Költség</v>
      </c>
      <c r="K102" s="2" t="str">
        <f t="shared" si="5"/>
        <v/>
      </c>
    </row>
    <row r="103" spans="1:11" ht="30" customHeight="1" x14ac:dyDescent="0.25">
      <c r="A103" s="14">
        <v>45512</v>
      </c>
      <c r="B103" s="2" t="s">
        <v>25</v>
      </c>
      <c r="C103" s="22" t="s">
        <v>2733</v>
      </c>
      <c r="D103" s="111" t="s">
        <v>95</v>
      </c>
      <c r="E103" s="18" t="s">
        <v>2734</v>
      </c>
      <c r="F103" s="4" t="str">
        <f t="shared" si="3"/>
        <v>EUB09D700741</v>
      </c>
      <c r="G103" s="4">
        <v>3462</v>
      </c>
      <c r="H103" s="4" t="s">
        <v>2851</v>
      </c>
      <c r="J103" s="19" t="str">
        <f t="shared" si="4"/>
        <v>Nem Heineken Költség</v>
      </c>
      <c r="K103" s="2" t="str">
        <f t="shared" si="5"/>
        <v/>
      </c>
    </row>
    <row r="104" spans="1:11" ht="30" customHeight="1" x14ac:dyDescent="0.25">
      <c r="A104" s="14">
        <v>45512</v>
      </c>
      <c r="B104" s="2" t="s">
        <v>891</v>
      </c>
      <c r="C104" s="22" t="s">
        <v>2731</v>
      </c>
      <c r="D104" s="111" t="s">
        <v>95</v>
      </c>
      <c r="E104" s="18" t="s">
        <v>2732</v>
      </c>
      <c r="F104" s="4">
        <f t="shared" si="3"/>
        <v>10817</v>
      </c>
      <c r="G104" s="4">
        <v>273</v>
      </c>
      <c r="H104" s="4"/>
      <c r="J104" s="19" t="str">
        <f t="shared" si="4"/>
        <v>Nem Heineken Költség</v>
      </c>
      <c r="K104" s="2" t="str">
        <f t="shared" si="5"/>
        <v/>
      </c>
    </row>
    <row r="105" spans="1:11" ht="30" customHeight="1" x14ac:dyDescent="0.25">
      <c r="A105" s="14">
        <v>45511</v>
      </c>
      <c r="B105" s="2" t="s">
        <v>2449</v>
      </c>
      <c r="C105" s="35" t="s">
        <v>2729</v>
      </c>
      <c r="D105" s="111" t="s">
        <v>95</v>
      </c>
      <c r="E105" s="18" t="s">
        <v>2730</v>
      </c>
      <c r="F105" s="4" t="str">
        <f t="shared" si="3"/>
        <v>RCB12B20003</v>
      </c>
      <c r="G105" s="4">
        <v>66</v>
      </c>
      <c r="H105" s="4" t="s">
        <v>2851</v>
      </c>
      <c r="I105" s="2" t="s">
        <v>1728</v>
      </c>
      <c r="J105" s="19" t="str">
        <f t="shared" si="4"/>
        <v>SM-2024/10063</v>
      </c>
      <c r="K105" s="2">
        <f t="shared" si="5"/>
        <v>247.19</v>
      </c>
    </row>
    <row r="106" spans="1:11" ht="30" customHeight="1" x14ac:dyDescent="0.25">
      <c r="A106" s="14">
        <v>45511</v>
      </c>
      <c r="B106" s="2" t="s">
        <v>9</v>
      </c>
      <c r="C106" s="22" t="s">
        <v>2727</v>
      </c>
      <c r="D106" s="111" t="s">
        <v>95</v>
      </c>
      <c r="E106" s="18" t="s">
        <v>2728</v>
      </c>
      <c r="F106" s="4" t="str">
        <f t="shared" si="3"/>
        <v>EUB09D700745</v>
      </c>
      <c r="G106" s="4">
        <v>5262</v>
      </c>
      <c r="H106" s="4" t="s">
        <v>2851</v>
      </c>
      <c r="J106" s="19" t="str">
        <f t="shared" si="4"/>
        <v>Nem Heineken Költség</v>
      </c>
      <c r="K106" s="2" t="str">
        <f t="shared" si="5"/>
        <v/>
      </c>
    </row>
    <row r="107" spans="1:11" ht="30" customHeight="1" x14ac:dyDescent="0.25">
      <c r="A107" s="14">
        <v>45510</v>
      </c>
      <c r="B107" s="2" t="s">
        <v>141</v>
      </c>
      <c r="C107" s="22" t="s">
        <v>2725</v>
      </c>
      <c r="D107" s="111" t="s">
        <v>95</v>
      </c>
      <c r="E107" s="18" t="s">
        <v>2726</v>
      </c>
      <c r="F107" s="4" t="str">
        <f t="shared" si="3"/>
        <v>LO20N2RCB13B00110</v>
      </c>
      <c r="G107" s="4">
        <v>1587</v>
      </c>
      <c r="H107" s="4" t="s">
        <v>2851</v>
      </c>
      <c r="J107" s="19" t="str">
        <f t="shared" si="4"/>
        <v>Nem Heineken Költség</v>
      </c>
      <c r="K107" s="2">
        <f t="shared" si="5"/>
        <v>238.66</v>
      </c>
    </row>
    <row r="108" spans="1:11" ht="30" customHeight="1" x14ac:dyDescent="0.25">
      <c r="A108" s="14">
        <v>45510</v>
      </c>
      <c r="B108" s="2" t="s">
        <v>82</v>
      </c>
      <c r="C108" s="22" t="s">
        <v>2723</v>
      </c>
      <c r="D108" s="111" t="s">
        <v>95</v>
      </c>
      <c r="E108" s="18" t="s">
        <v>2724</v>
      </c>
      <c r="F108" s="4" t="str">
        <f t="shared" si="3"/>
        <v>Nincs Adat</v>
      </c>
      <c r="G108" s="4">
        <v>1436</v>
      </c>
      <c r="H108" s="4" t="s">
        <v>2850</v>
      </c>
      <c r="J108" s="19" t="str">
        <f t="shared" si="4"/>
        <v>Nem Heineken Költség</v>
      </c>
      <c r="K108" s="2" t="str">
        <f t="shared" si="5"/>
        <v/>
      </c>
    </row>
    <row r="109" spans="1:11" ht="30" customHeight="1" x14ac:dyDescent="0.25">
      <c r="A109" s="14">
        <v>45510</v>
      </c>
      <c r="B109" s="2" t="s">
        <v>23</v>
      </c>
      <c r="C109" s="22" t="s">
        <v>2721</v>
      </c>
      <c r="D109" s="111" t="s">
        <v>95</v>
      </c>
      <c r="E109" s="18" t="s">
        <v>2722</v>
      </c>
      <c r="F109" s="4" t="str">
        <f t="shared" si="3"/>
        <v>EUB09D700740</v>
      </c>
      <c r="G109" s="4">
        <v>2664</v>
      </c>
      <c r="H109" s="4" t="s">
        <v>2850</v>
      </c>
      <c r="J109" s="19" t="str">
        <f t="shared" si="4"/>
        <v>Nem Heineken Költség</v>
      </c>
      <c r="K109" s="2" t="str">
        <f t="shared" si="5"/>
        <v/>
      </c>
    </row>
    <row r="110" spans="1:11" ht="30" customHeight="1" x14ac:dyDescent="0.25">
      <c r="A110" s="14">
        <v>45509</v>
      </c>
      <c r="B110" s="2" t="s">
        <v>77</v>
      </c>
      <c r="C110" s="22" t="s">
        <v>2719</v>
      </c>
      <c r="D110" s="111" t="s">
        <v>95</v>
      </c>
      <c r="E110" s="18" t="s">
        <v>2720</v>
      </c>
      <c r="F110" s="4" t="str">
        <f t="shared" si="3"/>
        <v>PTP200R239151</v>
      </c>
      <c r="G110" s="4">
        <v>1433</v>
      </c>
      <c r="H110" s="4" t="s">
        <v>2851</v>
      </c>
      <c r="J110" s="19" t="str">
        <f t="shared" si="4"/>
        <v>Nem Heineken Költség</v>
      </c>
      <c r="K110" s="2" t="str">
        <f t="shared" si="5"/>
        <v/>
      </c>
    </row>
    <row r="111" spans="1:11" ht="30" customHeight="1" x14ac:dyDescent="0.25">
      <c r="A111" s="14">
        <v>45509</v>
      </c>
      <c r="B111" s="2" t="s">
        <v>9</v>
      </c>
      <c r="C111" s="22" t="s">
        <v>2717</v>
      </c>
      <c r="D111" s="111" t="s">
        <v>95</v>
      </c>
      <c r="E111" s="18" t="s">
        <v>2718</v>
      </c>
      <c r="F111" s="4" t="str">
        <f t="shared" si="3"/>
        <v>EUB09D700745</v>
      </c>
      <c r="G111" s="4">
        <v>5242</v>
      </c>
      <c r="H111" s="4" t="s">
        <v>2851</v>
      </c>
      <c r="J111" s="19" t="str">
        <f t="shared" si="4"/>
        <v>Nem Heineken Költség</v>
      </c>
      <c r="K111" s="2" t="str">
        <f t="shared" si="5"/>
        <v/>
      </c>
    </row>
    <row r="112" spans="1:11" ht="30" customHeight="1" x14ac:dyDescent="0.25">
      <c r="A112" s="14">
        <v>45509</v>
      </c>
      <c r="B112" s="2" t="s">
        <v>25</v>
      </c>
      <c r="C112" s="22" t="s">
        <v>2715</v>
      </c>
      <c r="D112" s="111" t="s">
        <v>95</v>
      </c>
      <c r="E112" s="18" t="s">
        <v>2716</v>
      </c>
      <c r="F112" s="4" t="str">
        <f t="shared" si="3"/>
        <v>EUB09D700741</v>
      </c>
      <c r="G112" s="4">
        <v>2324</v>
      </c>
      <c r="H112" s="4" t="s">
        <v>2851</v>
      </c>
      <c r="J112" s="19" t="str">
        <f t="shared" si="4"/>
        <v>Nem Heineken Költség</v>
      </c>
      <c r="K112" s="2" t="str">
        <f t="shared" si="5"/>
        <v/>
      </c>
    </row>
    <row r="113" spans="1:11" ht="30" customHeight="1" x14ac:dyDescent="0.25">
      <c r="A113" s="14">
        <v>45509</v>
      </c>
      <c r="B113" s="2" t="s">
        <v>130</v>
      </c>
      <c r="C113" s="22" t="s">
        <v>2714</v>
      </c>
      <c r="D113" s="111" t="s">
        <v>95</v>
      </c>
      <c r="E113" s="18" t="s">
        <v>2713</v>
      </c>
      <c r="F113" s="4" t="str">
        <f t="shared" si="3"/>
        <v>Nincs Adat</v>
      </c>
      <c r="G113" s="4"/>
      <c r="H113" s="4" t="s">
        <v>2850</v>
      </c>
      <c r="J113" s="19" t="str">
        <f t="shared" si="4"/>
        <v>Nem Heineken Költség</v>
      </c>
      <c r="K113" s="2" t="str">
        <f t="shared" si="5"/>
        <v/>
      </c>
    </row>
    <row r="114" spans="1:11" ht="30" customHeight="1" x14ac:dyDescent="0.25">
      <c r="A114" s="14">
        <v>45509</v>
      </c>
      <c r="B114" s="2" t="s">
        <v>82</v>
      </c>
      <c r="C114" s="22" t="s">
        <v>2711</v>
      </c>
      <c r="D114" s="111" t="s">
        <v>95</v>
      </c>
      <c r="E114" s="18" t="s">
        <v>2712</v>
      </c>
      <c r="F114" s="4" t="str">
        <f t="shared" si="3"/>
        <v>Nincs Adat</v>
      </c>
      <c r="G114" s="4">
        <v>1433</v>
      </c>
      <c r="H114" s="4" t="s">
        <v>2850</v>
      </c>
      <c r="J114" s="19" t="str">
        <f t="shared" si="4"/>
        <v>Nem Heineken Költség</v>
      </c>
      <c r="K114" s="2" t="str">
        <f t="shared" si="5"/>
        <v/>
      </c>
    </row>
    <row r="115" spans="1:11" ht="30" customHeight="1" x14ac:dyDescent="0.25">
      <c r="A115" s="14">
        <v>45506</v>
      </c>
      <c r="B115" s="2" t="s">
        <v>78</v>
      </c>
      <c r="C115" s="35" t="s">
        <v>2709</v>
      </c>
      <c r="D115" s="111" t="s">
        <v>95</v>
      </c>
      <c r="E115" s="18" t="s">
        <v>2710</v>
      </c>
      <c r="F115" s="4" t="str">
        <f t="shared" si="3"/>
        <v>PTP200R239152</v>
      </c>
      <c r="G115" s="4">
        <v>2104</v>
      </c>
      <c r="H115" s="4" t="s">
        <v>2851</v>
      </c>
      <c r="I115" s="2" t="s">
        <v>1728</v>
      </c>
      <c r="J115" s="19" t="str">
        <f t="shared" si="4"/>
        <v>SM-2024/9853</v>
      </c>
      <c r="K115" s="2">
        <f t="shared" si="5"/>
        <v>820.14</v>
      </c>
    </row>
    <row r="116" spans="1:11" ht="30" customHeight="1" x14ac:dyDescent="0.25">
      <c r="A116" s="14">
        <v>45506</v>
      </c>
      <c r="B116" s="2" t="s">
        <v>81</v>
      </c>
      <c r="C116" s="35" t="s">
        <v>2707</v>
      </c>
      <c r="D116" s="111" t="s">
        <v>95</v>
      </c>
      <c r="E116" s="18" t="s">
        <v>2708</v>
      </c>
      <c r="F116" s="4" t="str">
        <f t="shared" si="3"/>
        <v>PTP200R239155</v>
      </c>
      <c r="G116" s="4">
        <v>792</v>
      </c>
      <c r="H116" s="4" t="s">
        <v>2851</v>
      </c>
      <c r="I116" s="2" t="s">
        <v>1728</v>
      </c>
      <c r="J116" s="19" t="str">
        <f t="shared" si="4"/>
        <v>SM-2024/9854</v>
      </c>
      <c r="K116" s="2">
        <f t="shared" si="5"/>
        <v>464.15</v>
      </c>
    </row>
    <row r="117" spans="1:11" ht="30" customHeight="1" x14ac:dyDescent="0.25">
      <c r="A117" s="14">
        <v>45506</v>
      </c>
      <c r="B117" s="2" t="s">
        <v>16</v>
      </c>
      <c r="C117" s="22" t="s">
        <v>2705</v>
      </c>
      <c r="D117" s="111" t="s">
        <v>95</v>
      </c>
      <c r="E117" s="18" t="s">
        <v>2706</v>
      </c>
      <c r="F117" s="4" t="str">
        <f t="shared" si="3"/>
        <v>EUB09D700851</v>
      </c>
      <c r="G117" s="4">
        <v>5038</v>
      </c>
      <c r="H117" s="4" t="s">
        <v>2851</v>
      </c>
      <c r="J117" s="19" t="str">
        <f t="shared" si="4"/>
        <v>Nem Heineken Költség</v>
      </c>
      <c r="K117" s="2" t="str">
        <f t="shared" si="5"/>
        <v/>
      </c>
    </row>
    <row r="118" spans="1:11" ht="30" customHeight="1" x14ac:dyDescent="0.25">
      <c r="A118" s="14">
        <v>45506</v>
      </c>
      <c r="B118" s="2" t="s">
        <v>5</v>
      </c>
      <c r="C118" s="22" t="s">
        <v>2703</v>
      </c>
      <c r="D118" s="111" t="s">
        <v>95</v>
      </c>
      <c r="E118" s="18" t="s">
        <v>2704</v>
      </c>
      <c r="F118" s="4" t="str">
        <f t="shared" si="3"/>
        <v>JAG2N1E701603</v>
      </c>
      <c r="G118" s="4">
        <v>1591</v>
      </c>
      <c r="H118" s="4" t="s">
        <v>2853</v>
      </c>
      <c r="J118" s="19" t="str">
        <f t="shared" si="4"/>
        <v>Nem Heineken Költség</v>
      </c>
      <c r="K118" s="2" t="str">
        <f t="shared" si="5"/>
        <v/>
      </c>
    </row>
    <row r="119" spans="1:11" ht="30" customHeight="1" x14ac:dyDescent="0.25">
      <c r="A119" s="14">
        <v>45504</v>
      </c>
      <c r="B119" s="2" t="s">
        <v>16</v>
      </c>
      <c r="C119" s="35" t="s">
        <v>2699</v>
      </c>
      <c r="D119" s="111" t="s">
        <v>95</v>
      </c>
      <c r="E119" s="18" t="s">
        <v>2700</v>
      </c>
      <c r="F119" s="4" t="str">
        <f t="shared" si="3"/>
        <v>EUB09D700851</v>
      </c>
      <c r="G119" s="4">
        <v>5022</v>
      </c>
      <c r="H119" s="4" t="s">
        <v>2851</v>
      </c>
      <c r="J119" s="19" t="str">
        <f t="shared" si="4"/>
        <v>Nem Heineken Költség</v>
      </c>
      <c r="K119" s="2" t="str">
        <f t="shared" si="5"/>
        <v/>
      </c>
    </row>
    <row r="120" spans="1:11" ht="30" customHeight="1" x14ac:dyDescent="0.25">
      <c r="A120" s="14">
        <v>45504</v>
      </c>
      <c r="B120" s="2" t="s">
        <v>142</v>
      </c>
      <c r="C120" s="35" t="s">
        <v>2697</v>
      </c>
      <c r="D120" s="111" t="s">
        <v>95</v>
      </c>
      <c r="E120" s="18" t="s">
        <v>2698</v>
      </c>
      <c r="F120" s="4" t="str">
        <f t="shared" si="3"/>
        <v>LO20N2RCB13B00112</v>
      </c>
      <c r="G120" s="4">
        <v>2151</v>
      </c>
      <c r="H120" s="4" t="s">
        <v>2851</v>
      </c>
      <c r="I120" s="2" t="s">
        <v>1728</v>
      </c>
      <c r="J120" s="19" t="str">
        <f t="shared" si="4"/>
        <v>SM-2024/9728</v>
      </c>
      <c r="K120" s="2">
        <f t="shared" si="5"/>
        <v>497.43</v>
      </c>
    </row>
    <row r="121" spans="1:11" ht="30" customHeight="1" x14ac:dyDescent="0.25">
      <c r="A121" s="14">
        <v>45504</v>
      </c>
      <c r="B121" s="2" t="s">
        <v>5</v>
      </c>
      <c r="C121" s="35" t="s">
        <v>2695</v>
      </c>
      <c r="D121" s="111" t="s">
        <v>95</v>
      </c>
      <c r="E121" s="18" t="s">
        <v>2696</v>
      </c>
      <c r="F121" s="4" t="str">
        <f t="shared" si="3"/>
        <v>JAG2N1E701603</v>
      </c>
      <c r="G121" s="4">
        <v>1590</v>
      </c>
      <c r="H121" s="4" t="s">
        <v>2851</v>
      </c>
      <c r="J121" s="19" t="str">
        <f t="shared" si="4"/>
        <v>Nem Heineken Költség</v>
      </c>
      <c r="K121" s="2" t="str">
        <f t="shared" si="5"/>
        <v/>
      </c>
    </row>
    <row r="122" spans="1:11" ht="30" customHeight="1" x14ac:dyDescent="0.25">
      <c r="A122" s="14">
        <v>45502</v>
      </c>
      <c r="B122" s="2" t="s">
        <v>81</v>
      </c>
      <c r="C122" s="35" t="s">
        <v>2693</v>
      </c>
      <c r="D122" s="111" t="s">
        <v>95</v>
      </c>
      <c r="E122" s="18" t="s">
        <v>2694</v>
      </c>
      <c r="F122" s="4" t="str">
        <f t="shared" si="3"/>
        <v>PTP200R239155</v>
      </c>
      <c r="G122" s="4">
        <v>788</v>
      </c>
      <c r="H122" s="4" t="s">
        <v>2851</v>
      </c>
      <c r="I122" s="2" t="s">
        <v>1728</v>
      </c>
      <c r="J122" s="19" t="str">
        <f t="shared" si="4"/>
        <v>SM-2024/9614</v>
      </c>
      <c r="K122" s="2">
        <f t="shared" si="5"/>
        <v>372.29</v>
      </c>
    </row>
    <row r="123" spans="1:11" ht="30" customHeight="1" x14ac:dyDescent="0.25">
      <c r="A123" s="14">
        <v>45502</v>
      </c>
      <c r="B123" s="2" t="s">
        <v>7</v>
      </c>
      <c r="C123" s="22" t="s">
        <v>2691</v>
      </c>
      <c r="D123" s="111" t="s">
        <v>95</v>
      </c>
      <c r="E123" s="18" t="s">
        <v>2692</v>
      </c>
      <c r="F123" s="4" t="str">
        <f t="shared" si="3"/>
        <v>EUB09D700743</v>
      </c>
      <c r="G123" s="4">
        <v>5828</v>
      </c>
      <c r="H123" s="4" t="s">
        <v>2853</v>
      </c>
      <c r="J123" s="19" t="str">
        <f t="shared" si="4"/>
        <v>Nem Heineken Költség</v>
      </c>
      <c r="K123" s="2" t="str">
        <f t="shared" si="5"/>
        <v/>
      </c>
    </row>
    <row r="124" spans="1:11" ht="30" customHeight="1" x14ac:dyDescent="0.25">
      <c r="A124" s="14">
        <v>45499</v>
      </c>
      <c r="B124" s="2" t="s">
        <v>157</v>
      </c>
      <c r="C124" s="22" t="s">
        <v>2689</v>
      </c>
      <c r="D124" s="111" t="s">
        <v>95</v>
      </c>
      <c r="E124" s="18" t="s">
        <v>2690</v>
      </c>
      <c r="F124" s="4" t="str">
        <f t="shared" si="3"/>
        <v>F24537B00021</v>
      </c>
      <c r="G124" s="4">
        <v>66</v>
      </c>
      <c r="H124" s="4" t="s">
        <v>2851</v>
      </c>
      <c r="J124" s="19" t="str">
        <f t="shared" si="4"/>
        <v>Nem Heineken Költség</v>
      </c>
      <c r="K124" s="2" t="str">
        <f t="shared" si="5"/>
        <v/>
      </c>
    </row>
    <row r="125" spans="1:11" ht="30" customHeight="1" x14ac:dyDescent="0.25">
      <c r="A125" s="14">
        <v>45499</v>
      </c>
      <c r="B125" s="2" t="s">
        <v>80</v>
      </c>
      <c r="C125" s="22" t="s">
        <v>1030</v>
      </c>
      <c r="D125" s="111" t="s">
        <v>95</v>
      </c>
      <c r="E125" s="18" t="s">
        <v>2688</v>
      </c>
      <c r="F125" s="4" t="str">
        <f t="shared" si="3"/>
        <v>PTP200R239154</v>
      </c>
      <c r="G125" s="4">
        <v>299</v>
      </c>
      <c r="H125" s="4" t="s">
        <v>2850</v>
      </c>
      <c r="J125" s="19" t="str">
        <f t="shared" si="4"/>
        <v>Nem Heineken Költség</v>
      </c>
      <c r="K125" s="2" t="str">
        <f t="shared" si="5"/>
        <v/>
      </c>
    </row>
    <row r="126" spans="1:11" ht="30" customHeight="1" x14ac:dyDescent="0.25">
      <c r="A126" s="14">
        <v>45498</v>
      </c>
      <c r="B126" s="2" t="s">
        <v>77</v>
      </c>
      <c r="C126" s="35" t="s">
        <v>2684</v>
      </c>
      <c r="D126" s="111" t="s">
        <v>95</v>
      </c>
      <c r="E126" s="18" t="s">
        <v>2685</v>
      </c>
      <c r="F126" s="4" t="str">
        <f t="shared" si="3"/>
        <v>PTP200R239151</v>
      </c>
      <c r="G126" s="4">
        <v>1588</v>
      </c>
      <c r="H126" s="4" t="s">
        <v>2851</v>
      </c>
      <c r="I126" s="2" t="s">
        <v>1728</v>
      </c>
      <c r="J126" s="19" t="str">
        <f t="shared" si="4"/>
        <v>SM-2024/9405</v>
      </c>
      <c r="K126" s="2">
        <f t="shared" si="5"/>
        <v>946.75</v>
      </c>
    </row>
    <row r="127" spans="1:11" ht="30" customHeight="1" x14ac:dyDescent="0.25">
      <c r="A127" s="14">
        <v>45498</v>
      </c>
      <c r="B127" s="2" t="s">
        <v>78</v>
      </c>
      <c r="C127" s="35" t="s">
        <v>2683</v>
      </c>
      <c r="D127" s="111" t="s">
        <v>95</v>
      </c>
      <c r="E127" s="18" t="s">
        <v>2682</v>
      </c>
      <c r="F127" s="4" t="str">
        <f t="shared" si="3"/>
        <v>PTP200R239152</v>
      </c>
      <c r="G127" s="4">
        <v>2080</v>
      </c>
      <c r="H127" s="4" t="s">
        <v>2851</v>
      </c>
      <c r="I127" s="2" t="s">
        <v>1728</v>
      </c>
      <c r="J127" s="19" t="str">
        <f t="shared" si="4"/>
        <v>SM-2024/9407</v>
      </c>
      <c r="K127" s="2">
        <f t="shared" si="5"/>
        <v>266.04000000000002</v>
      </c>
    </row>
    <row r="128" spans="1:11" ht="30" customHeight="1" x14ac:dyDescent="0.25">
      <c r="A128" s="14">
        <v>45498</v>
      </c>
      <c r="B128" s="2" t="s">
        <v>83</v>
      </c>
      <c r="C128" s="22" t="s">
        <v>2680</v>
      </c>
      <c r="D128" s="111" t="s">
        <v>95</v>
      </c>
      <c r="E128" s="18" t="s">
        <v>2681</v>
      </c>
      <c r="F128" s="4" t="str">
        <f t="shared" si="3"/>
        <v>Nincs Adat</v>
      </c>
      <c r="G128" s="4">
        <v>2080</v>
      </c>
      <c r="H128" s="4" t="s">
        <v>2852</v>
      </c>
      <c r="J128" s="19" t="str">
        <f t="shared" si="4"/>
        <v>Nem Heineken Költség</v>
      </c>
      <c r="K128" s="2" t="str">
        <f t="shared" si="5"/>
        <v/>
      </c>
    </row>
    <row r="129" spans="1:11" ht="30" customHeight="1" x14ac:dyDescent="0.25">
      <c r="A129" s="14">
        <v>45497</v>
      </c>
      <c r="B129" s="2" t="s">
        <v>11</v>
      </c>
      <c r="C129" s="22" t="s">
        <v>2686</v>
      </c>
      <c r="D129" s="111" t="s">
        <v>95</v>
      </c>
      <c r="E129" s="18" t="s">
        <v>2687</v>
      </c>
      <c r="F129" s="4" t="str">
        <f t="shared" si="3"/>
        <v>EUB09D700850</v>
      </c>
      <c r="G129" s="4">
        <v>6520</v>
      </c>
      <c r="H129" s="4" t="s">
        <v>2851</v>
      </c>
      <c r="J129" s="19" t="str">
        <f t="shared" si="4"/>
        <v>Nem Heineken Költség</v>
      </c>
      <c r="K129" s="2" t="str">
        <f t="shared" si="5"/>
        <v/>
      </c>
    </row>
    <row r="130" spans="1:11" ht="30" customHeight="1" x14ac:dyDescent="0.25">
      <c r="A130" s="14">
        <v>45496</v>
      </c>
      <c r="B130" s="2" t="s">
        <v>11</v>
      </c>
      <c r="C130" s="22" t="s">
        <v>2678</v>
      </c>
      <c r="D130" s="111" t="s">
        <v>95</v>
      </c>
      <c r="E130" s="18" t="s">
        <v>2679</v>
      </c>
      <c r="F130" s="4" t="str">
        <f t="shared" si="3"/>
        <v>EUB09D700850</v>
      </c>
      <c r="G130" s="4">
        <v>6520</v>
      </c>
      <c r="H130" s="4" t="s">
        <v>2850</v>
      </c>
      <c r="J130" s="19" t="str">
        <f t="shared" si="4"/>
        <v>Nem Heineken Költség</v>
      </c>
      <c r="K130" s="2" t="str">
        <f t="shared" si="5"/>
        <v/>
      </c>
    </row>
    <row r="131" spans="1:11" ht="30" customHeight="1" x14ac:dyDescent="0.25">
      <c r="A131" s="14">
        <v>45496</v>
      </c>
      <c r="B131" s="2" t="s">
        <v>1203</v>
      </c>
      <c r="C131" s="22" t="s">
        <v>2676</v>
      </c>
      <c r="D131" s="111" t="s">
        <v>95</v>
      </c>
      <c r="E131" s="18" t="s">
        <v>2677</v>
      </c>
      <c r="F131" s="4" t="str">
        <f t="shared" ref="F131:F194" si="6">IFERROR(VLOOKUP(B131,targlist02,3,0),"Nincs Adat")</f>
        <v>Nincs Adat</v>
      </c>
      <c r="G131" s="4"/>
      <c r="H131" s="4"/>
      <c r="J131" s="19" t="str">
        <f t="shared" ref="J131:J194" si="7">IF(I131="H",IFERROR(VLOOKUP(E131,podone,1,0),"Nincs Po"),"Nem Heineken Költség")</f>
        <v>Nem Heineken Költség</v>
      </c>
      <c r="K131" s="2" t="str">
        <f t="shared" ref="K131:K194" si="8">IFERROR(VLOOKUP(E131,poprice,4,0),"")</f>
        <v/>
      </c>
    </row>
    <row r="132" spans="1:11" ht="30" customHeight="1" x14ac:dyDescent="0.25">
      <c r="A132" s="14">
        <v>45496</v>
      </c>
      <c r="B132" s="2" t="s">
        <v>25</v>
      </c>
      <c r="C132" s="22" t="s">
        <v>2674</v>
      </c>
      <c r="D132" s="111" t="s">
        <v>95</v>
      </c>
      <c r="E132" s="18" t="s">
        <v>2675</v>
      </c>
      <c r="F132" s="4" t="str">
        <f t="shared" si="6"/>
        <v>EUB09D700741</v>
      </c>
      <c r="G132" s="4">
        <v>3358</v>
      </c>
      <c r="H132" s="4" t="s">
        <v>2851</v>
      </c>
      <c r="J132" s="19" t="str">
        <f t="shared" si="7"/>
        <v>Nem Heineken Költség</v>
      </c>
      <c r="K132" s="2" t="str">
        <f t="shared" si="8"/>
        <v/>
      </c>
    </row>
    <row r="133" spans="1:11" ht="30" customHeight="1" x14ac:dyDescent="0.25">
      <c r="A133" s="14">
        <v>45495</v>
      </c>
      <c r="B133" s="2" t="s">
        <v>11</v>
      </c>
      <c r="C133" s="22" t="s">
        <v>2672</v>
      </c>
      <c r="D133" s="111" t="s">
        <v>95</v>
      </c>
      <c r="E133" s="18" t="s">
        <v>2673</v>
      </c>
      <c r="F133" s="4" t="str">
        <f t="shared" si="6"/>
        <v>EUB09D700850</v>
      </c>
      <c r="G133" s="4">
        <v>6520</v>
      </c>
      <c r="H133" s="4" t="s">
        <v>2850</v>
      </c>
      <c r="J133" s="19" t="str">
        <f t="shared" si="7"/>
        <v>Nem Heineken Költség</v>
      </c>
      <c r="K133" s="2" t="str">
        <f t="shared" si="8"/>
        <v/>
      </c>
    </row>
    <row r="134" spans="1:11" ht="30" customHeight="1" x14ac:dyDescent="0.25">
      <c r="A134" s="14">
        <v>45495</v>
      </c>
      <c r="B134" s="2" t="s">
        <v>77</v>
      </c>
      <c r="C134" s="22" t="s">
        <v>779</v>
      </c>
      <c r="D134" s="111" t="s">
        <v>95</v>
      </c>
      <c r="E134" s="18" t="s">
        <v>2671</v>
      </c>
      <c r="F134" s="4" t="str">
        <f t="shared" si="6"/>
        <v>PTP200R239151</v>
      </c>
      <c r="G134" s="4">
        <v>1388</v>
      </c>
      <c r="H134" s="4" t="s">
        <v>2851</v>
      </c>
      <c r="J134" s="19" t="str">
        <f t="shared" si="7"/>
        <v>Nem Heineken Költség</v>
      </c>
      <c r="K134" s="2" t="str">
        <f t="shared" si="8"/>
        <v/>
      </c>
    </row>
    <row r="135" spans="1:11" ht="30" customHeight="1" x14ac:dyDescent="0.25">
      <c r="A135" s="14">
        <v>45492</v>
      </c>
      <c r="B135" s="2" t="s">
        <v>1785</v>
      </c>
      <c r="C135" s="22" t="s">
        <v>2669</v>
      </c>
      <c r="D135" s="111" t="s">
        <v>95</v>
      </c>
      <c r="E135" s="18" t="s">
        <v>2670</v>
      </c>
      <c r="F135" s="4" t="str">
        <f t="shared" si="6"/>
        <v>Nincs Adat</v>
      </c>
      <c r="G135" s="4"/>
      <c r="H135" s="4"/>
      <c r="I135" s="2" t="s">
        <v>1728</v>
      </c>
      <c r="J135" s="19" t="str">
        <f t="shared" si="7"/>
        <v>SM-2024/9208</v>
      </c>
      <c r="K135" s="2">
        <f t="shared" si="8"/>
        <v>212.98</v>
      </c>
    </row>
    <row r="136" spans="1:11" ht="30" customHeight="1" x14ac:dyDescent="0.25">
      <c r="A136" s="14">
        <v>45492</v>
      </c>
      <c r="B136" s="2" t="s">
        <v>17</v>
      </c>
      <c r="C136" s="22" t="s">
        <v>2667</v>
      </c>
      <c r="D136" s="111" t="s">
        <v>95</v>
      </c>
      <c r="E136" s="18" t="s">
        <v>2668</v>
      </c>
      <c r="F136" s="4" t="str">
        <f t="shared" si="6"/>
        <v>EUB09D700852</v>
      </c>
      <c r="G136" s="4">
        <v>5741</v>
      </c>
      <c r="H136" s="4" t="s">
        <v>2850</v>
      </c>
      <c r="J136" s="19" t="str">
        <f t="shared" si="7"/>
        <v>Nem Heineken Költség</v>
      </c>
      <c r="K136" s="2" t="str">
        <f t="shared" si="8"/>
        <v/>
      </c>
    </row>
    <row r="137" spans="1:11" ht="30" customHeight="1" x14ac:dyDescent="0.25">
      <c r="A137" s="14">
        <v>45492</v>
      </c>
      <c r="B137" s="2" t="s">
        <v>12</v>
      </c>
      <c r="C137" s="22" t="s">
        <v>2665</v>
      </c>
      <c r="D137" s="111" t="s">
        <v>95</v>
      </c>
      <c r="E137" s="18" t="s">
        <v>2666</v>
      </c>
      <c r="F137" s="4" t="str">
        <f t="shared" si="6"/>
        <v>EUB09D700267</v>
      </c>
      <c r="G137" s="4">
        <v>4631</v>
      </c>
      <c r="H137" s="4" t="s">
        <v>2852</v>
      </c>
      <c r="J137" s="19" t="str">
        <f t="shared" si="7"/>
        <v>Nem Heineken Költség</v>
      </c>
      <c r="K137" s="2" t="str">
        <f t="shared" si="8"/>
        <v/>
      </c>
    </row>
    <row r="138" spans="1:11" ht="30" customHeight="1" x14ac:dyDescent="0.25">
      <c r="A138" s="14">
        <v>45492</v>
      </c>
      <c r="B138" s="2" t="s">
        <v>130</v>
      </c>
      <c r="C138" s="22" t="s">
        <v>2663</v>
      </c>
      <c r="D138" s="111" t="s">
        <v>95</v>
      </c>
      <c r="E138" s="18" t="s">
        <v>2664</v>
      </c>
      <c r="F138" s="4" t="str">
        <f t="shared" si="6"/>
        <v>Nincs Adat</v>
      </c>
      <c r="G138" s="4"/>
      <c r="H138" s="4"/>
      <c r="J138" s="19" t="str">
        <f t="shared" si="7"/>
        <v>Nem Heineken Költség</v>
      </c>
      <c r="K138" s="2" t="str">
        <f t="shared" si="8"/>
        <v/>
      </c>
    </row>
    <row r="139" spans="1:11" ht="30" customHeight="1" x14ac:dyDescent="0.25">
      <c r="A139" s="14">
        <v>45490</v>
      </c>
      <c r="B139" s="2" t="s">
        <v>8</v>
      </c>
      <c r="C139" s="22" t="s">
        <v>2647</v>
      </c>
      <c r="D139" s="111" t="s">
        <v>95</v>
      </c>
      <c r="E139" s="18" t="s">
        <v>2648</v>
      </c>
      <c r="F139" s="4" t="str">
        <f t="shared" si="6"/>
        <v>EUB09D700744</v>
      </c>
      <c r="G139" s="4">
        <v>5473</v>
      </c>
      <c r="H139" s="4" t="s">
        <v>2851</v>
      </c>
      <c r="J139" s="19" t="str">
        <f t="shared" si="7"/>
        <v>Nem Heineken Költség</v>
      </c>
      <c r="K139" s="2" t="str">
        <f t="shared" si="8"/>
        <v/>
      </c>
    </row>
    <row r="140" spans="1:11" ht="30" customHeight="1" x14ac:dyDescent="0.25">
      <c r="A140" s="14">
        <v>45490</v>
      </c>
      <c r="B140" s="2" t="s">
        <v>11</v>
      </c>
      <c r="C140" s="22" t="s">
        <v>2645</v>
      </c>
      <c r="D140" s="111" t="s">
        <v>95</v>
      </c>
      <c r="E140" s="18" t="s">
        <v>2646</v>
      </c>
      <c r="F140" s="4" t="str">
        <f t="shared" si="6"/>
        <v>EUB09D700850</v>
      </c>
      <c r="G140" s="4">
        <v>6520</v>
      </c>
      <c r="H140" s="4" t="s">
        <v>2853</v>
      </c>
      <c r="J140" s="19" t="str">
        <f t="shared" si="7"/>
        <v>Nem Heineken Költség</v>
      </c>
      <c r="K140" s="2" t="str">
        <f t="shared" si="8"/>
        <v/>
      </c>
    </row>
    <row r="141" spans="1:11" ht="30" customHeight="1" x14ac:dyDescent="0.25">
      <c r="A141" s="14">
        <v>45490</v>
      </c>
      <c r="B141" s="2" t="s">
        <v>14</v>
      </c>
      <c r="C141" s="22" t="s">
        <v>2643</v>
      </c>
      <c r="D141" s="111" t="s">
        <v>95</v>
      </c>
      <c r="E141" s="18" t="s">
        <v>2644</v>
      </c>
      <c r="F141" s="4" t="str">
        <f t="shared" si="6"/>
        <v>EUB09D700269</v>
      </c>
      <c r="G141" s="4"/>
      <c r="H141" s="4" t="s">
        <v>2852</v>
      </c>
      <c r="J141" s="19" t="str">
        <f t="shared" si="7"/>
        <v>Nem Heineken Költség</v>
      </c>
      <c r="K141" s="2" t="str">
        <f t="shared" si="8"/>
        <v/>
      </c>
    </row>
    <row r="142" spans="1:11" ht="30" customHeight="1" x14ac:dyDescent="0.25">
      <c r="A142" s="14">
        <v>45489</v>
      </c>
      <c r="B142" s="2" t="s">
        <v>79</v>
      </c>
      <c r="C142" s="22" t="s">
        <v>2701</v>
      </c>
      <c r="D142" s="111" t="s">
        <v>95</v>
      </c>
      <c r="E142" s="18" t="s">
        <v>2702</v>
      </c>
      <c r="F142" s="4" t="str">
        <f t="shared" si="6"/>
        <v>PTP200R239153</v>
      </c>
      <c r="G142" s="4">
        <v>1916</v>
      </c>
      <c r="H142" s="4" t="s">
        <v>2851</v>
      </c>
      <c r="I142" s="2" t="s">
        <v>1728</v>
      </c>
      <c r="J142" s="19" t="str">
        <f t="shared" si="7"/>
        <v>SM-2024/9833</v>
      </c>
      <c r="K142" s="2">
        <f t="shared" si="8"/>
        <v>425.67</v>
      </c>
    </row>
    <row r="143" spans="1:11" ht="30" customHeight="1" x14ac:dyDescent="0.25">
      <c r="A143" s="14">
        <v>45489</v>
      </c>
      <c r="B143" s="2" t="s">
        <v>78</v>
      </c>
      <c r="C143" s="35" t="s">
        <v>2641</v>
      </c>
      <c r="D143" s="111" t="s">
        <v>95</v>
      </c>
      <c r="E143" s="18" t="s">
        <v>2642</v>
      </c>
      <c r="F143" s="4" t="str">
        <f t="shared" si="6"/>
        <v>PTP200R239152</v>
      </c>
      <c r="G143" s="4">
        <v>2056</v>
      </c>
      <c r="H143" s="4" t="s">
        <v>2851</v>
      </c>
      <c r="I143" s="2" t="s">
        <v>1728</v>
      </c>
      <c r="J143" s="19" t="str">
        <f t="shared" si="7"/>
        <v>SM-2024/9050</v>
      </c>
      <c r="K143" s="2">
        <f t="shared" si="8"/>
        <v>513.70000000000005</v>
      </c>
    </row>
    <row r="144" spans="1:11" ht="30" customHeight="1" x14ac:dyDescent="0.25">
      <c r="A144" s="14">
        <v>45489</v>
      </c>
      <c r="B144" s="2" t="s">
        <v>80</v>
      </c>
      <c r="C144" s="22" t="s">
        <v>2639</v>
      </c>
      <c r="D144" s="111" t="s">
        <v>95</v>
      </c>
      <c r="E144" s="18" t="s">
        <v>2640</v>
      </c>
      <c r="F144" s="4" t="str">
        <f t="shared" si="6"/>
        <v>PTP200R239154</v>
      </c>
      <c r="G144" s="4">
        <v>279</v>
      </c>
      <c r="H144" s="4" t="s">
        <v>2851</v>
      </c>
      <c r="I144" s="2" t="s">
        <v>1728</v>
      </c>
      <c r="J144" s="19" t="str">
        <f t="shared" si="7"/>
        <v>SM-2024/9051</v>
      </c>
      <c r="K144" s="2">
        <f t="shared" si="8"/>
        <v>183.27</v>
      </c>
    </row>
    <row r="145" spans="1:11" ht="30" customHeight="1" x14ac:dyDescent="0.25">
      <c r="A145" s="14">
        <v>45489</v>
      </c>
      <c r="B145" s="2" t="s">
        <v>79</v>
      </c>
      <c r="C145" s="35" t="s">
        <v>2637</v>
      </c>
      <c r="D145" s="111" t="s">
        <v>95</v>
      </c>
      <c r="E145" s="18" t="s">
        <v>2638</v>
      </c>
      <c r="F145" s="4" t="str">
        <f t="shared" si="6"/>
        <v>PTP200R239153</v>
      </c>
      <c r="G145" s="4"/>
      <c r="H145" s="4" t="s">
        <v>2851</v>
      </c>
      <c r="I145" s="2" t="s">
        <v>1728</v>
      </c>
      <c r="J145" s="19" t="str">
        <f t="shared" si="7"/>
        <v>SM-2024/9052</v>
      </c>
      <c r="K145" s="2" t="str">
        <f t="shared" si="8"/>
        <v>Kiegészítés</v>
      </c>
    </row>
    <row r="146" spans="1:11" ht="30" customHeight="1" x14ac:dyDescent="0.25">
      <c r="A146" s="14">
        <v>45489</v>
      </c>
      <c r="B146" s="2" t="s">
        <v>6</v>
      </c>
      <c r="C146" s="22" t="s">
        <v>2635</v>
      </c>
      <c r="D146" s="111" t="s">
        <v>95</v>
      </c>
      <c r="E146" s="18" t="s">
        <v>2636</v>
      </c>
      <c r="F146" s="4" t="str">
        <f t="shared" si="6"/>
        <v>EUB09D700742</v>
      </c>
      <c r="G146" s="4">
        <v>744</v>
      </c>
      <c r="H146" s="4" t="s">
        <v>2850</v>
      </c>
      <c r="J146" s="19" t="str">
        <f t="shared" si="7"/>
        <v>Nem Heineken Költség</v>
      </c>
      <c r="K146" s="2" t="str">
        <f t="shared" si="8"/>
        <v/>
      </c>
    </row>
    <row r="147" spans="1:11" ht="30" customHeight="1" x14ac:dyDescent="0.25">
      <c r="A147" s="14">
        <v>45488</v>
      </c>
      <c r="B147" s="2" t="s">
        <v>25</v>
      </c>
      <c r="C147" s="22" t="s">
        <v>2633</v>
      </c>
      <c r="D147" s="111" t="s">
        <v>95</v>
      </c>
      <c r="E147" s="18" t="s">
        <v>2634</v>
      </c>
      <c r="F147" s="4" t="str">
        <f t="shared" si="6"/>
        <v>EUB09D700741</v>
      </c>
      <c r="G147" s="4">
        <v>3313</v>
      </c>
      <c r="H147" s="4" t="s">
        <v>2850</v>
      </c>
      <c r="J147" s="19" t="str">
        <f t="shared" si="7"/>
        <v>Nem Heineken Költség</v>
      </c>
      <c r="K147" s="2" t="str">
        <f t="shared" si="8"/>
        <v/>
      </c>
    </row>
    <row r="148" spans="1:11" ht="30" customHeight="1" x14ac:dyDescent="0.25">
      <c r="A148" s="14">
        <v>45488</v>
      </c>
      <c r="B148" s="2" t="s">
        <v>79</v>
      </c>
      <c r="C148" s="22" t="s">
        <v>2631</v>
      </c>
      <c r="D148" s="111" t="s">
        <v>95</v>
      </c>
      <c r="E148" s="18" t="s">
        <v>2632</v>
      </c>
      <c r="F148" s="4" t="str">
        <f t="shared" si="6"/>
        <v>PTP200R239153</v>
      </c>
      <c r="G148" s="4">
        <v>1911</v>
      </c>
      <c r="H148" s="4" t="s">
        <v>2851</v>
      </c>
      <c r="I148" s="2" t="s">
        <v>1728</v>
      </c>
      <c r="J148" s="19" t="str">
        <f t="shared" si="7"/>
        <v>SM-2024/8997</v>
      </c>
      <c r="K148" s="2">
        <f t="shared" si="8"/>
        <v>273.58</v>
      </c>
    </row>
    <row r="149" spans="1:11" ht="30" customHeight="1" x14ac:dyDescent="0.25">
      <c r="A149" s="14">
        <v>45488</v>
      </c>
      <c r="B149" s="2" t="s">
        <v>11</v>
      </c>
      <c r="C149" s="35" t="s">
        <v>2629</v>
      </c>
      <c r="D149" s="111" t="s">
        <v>95</v>
      </c>
      <c r="E149" s="18" t="s">
        <v>2630</v>
      </c>
      <c r="F149" s="4" t="str">
        <f t="shared" si="6"/>
        <v>EUB09D700850</v>
      </c>
      <c r="G149" s="4">
        <v>6520</v>
      </c>
      <c r="H149" s="4" t="s">
        <v>2853</v>
      </c>
      <c r="J149" s="19" t="str">
        <f t="shared" si="7"/>
        <v>Nem Heineken Költség</v>
      </c>
      <c r="K149" s="2" t="str">
        <f t="shared" si="8"/>
        <v/>
      </c>
    </row>
    <row r="150" spans="1:11" ht="30" customHeight="1" x14ac:dyDescent="0.25">
      <c r="A150" s="14">
        <v>45484</v>
      </c>
      <c r="B150" s="2" t="s">
        <v>80</v>
      </c>
      <c r="C150" s="35" t="s">
        <v>2627</v>
      </c>
      <c r="D150" s="111" t="s">
        <v>95</v>
      </c>
      <c r="E150" s="18" t="s">
        <v>2628</v>
      </c>
      <c r="F150" s="4" t="str">
        <f t="shared" si="6"/>
        <v>PTP200R239154</v>
      </c>
      <c r="G150" s="4">
        <v>268</v>
      </c>
      <c r="H150" s="4" t="s">
        <v>2851</v>
      </c>
      <c r="I150" s="2" t="s">
        <v>1728</v>
      </c>
      <c r="J150" s="19" t="str">
        <f t="shared" si="7"/>
        <v>SM-2024/8829</v>
      </c>
      <c r="K150" s="2">
        <f t="shared" si="8"/>
        <v>273.58</v>
      </c>
    </row>
    <row r="151" spans="1:11" ht="30" customHeight="1" x14ac:dyDescent="0.25">
      <c r="A151" s="14">
        <v>45484</v>
      </c>
      <c r="B151" s="2" t="s">
        <v>194</v>
      </c>
      <c r="C151" s="22" t="s">
        <v>2625</v>
      </c>
      <c r="D151" s="111" t="s">
        <v>95</v>
      </c>
      <c r="E151" s="18" t="s">
        <v>2626</v>
      </c>
      <c r="F151" s="4" t="str">
        <f t="shared" si="6"/>
        <v>PDP-242697</v>
      </c>
      <c r="G151" s="4">
        <v>47</v>
      </c>
      <c r="H151" s="4" t="s">
        <v>2851</v>
      </c>
      <c r="J151" s="19" t="str">
        <f t="shared" si="7"/>
        <v>Nem Heineken Költség</v>
      </c>
      <c r="K151" s="2" t="str">
        <f t="shared" si="8"/>
        <v/>
      </c>
    </row>
    <row r="152" spans="1:11" ht="30" customHeight="1" x14ac:dyDescent="0.25">
      <c r="A152" s="14">
        <v>45484</v>
      </c>
      <c r="B152" s="2" t="s">
        <v>18</v>
      </c>
      <c r="C152" s="35" t="s">
        <v>2623</v>
      </c>
      <c r="D152" s="111" t="s">
        <v>95</v>
      </c>
      <c r="E152" s="18" t="s">
        <v>2624</v>
      </c>
      <c r="F152" s="4" t="str">
        <f t="shared" si="6"/>
        <v>EUB09D700992</v>
      </c>
      <c r="G152" s="4"/>
      <c r="H152" s="4" t="s">
        <v>2851</v>
      </c>
      <c r="J152" s="19" t="str">
        <f t="shared" si="7"/>
        <v>Nem Heineken Költség</v>
      </c>
      <c r="K152" s="2" t="str">
        <f t="shared" si="8"/>
        <v/>
      </c>
    </row>
    <row r="153" spans="1:11" ht="30" customHeight="1" x14ac:dyDescent="0.25">
      <c r="A153" s="14">
        <v>45484</v>
      </c>
      <c r="B153" s="2" t="s">
        <v>16</v>
      </c>
      <c r="C153" s="22" t="s">
        <v>2621</v>
      </c>
      <c r="D153" s="111" t="s">
        <v>95</v>
      </c>
      <c r="E153" s="18" t="s">
        <v>2622</v>
      </c>
      <c r="F153" s="4" t="str">
        <f t="shared" si="6"/>
        <v>EUB09D700851</v>
      </c>
      <c r="G153" s="4">
        <v>4877</v>
      </c>
      <c r="H153" s="4" t="s">
        <v>2851</v>
      </c>
      <c r="J153" s="19" t="str">
        <f t="shared" si="7"/>
        <v>Nem Heineken Költség</v>
      </c>
      <c r="K153" s="2" t="str">
        <f t="shared" si="8"/>
        <v/>
      </c>
    </row>
    <row r="154" spans="1:11" ht="30" customHeight="1" x14ac:dyDescent="0.25">
      <c r="A154" s="14">
        <v>45484</v>
      </c>
      <c r="B154" s="2" t="s">
        <v>1203</v>
      </c>
      <c r="C154" s="22" t="s">
        <v>2619</v>
      </c>
      <c r="D154" s="111" t="s">
        <v>95</v>
      </c>
      <c r="E154" s="107" t="s">
        <v>2620</v>
      </c>
      <c r="F154" s="4" t="str">
        <f t="shared" si="6"/>
        <v>Nincs Adat</v>
      </c>
      <c r="G154" s="4">
        <v>1360</v>
      </c>
      <c r="H154" s="4" t="s">
        <v>2850</v>
      </c>
      <c r="J154" s="19" t="str">
        <f t="shared" si="7"/>
        <v>Nem Heineken Költség</v>
      </c>
      <c r="K154" s="2" t="str">
        <f t="shared" si="8"/>
        <v/>
      </c>
    </row>
    <row r="155" spans="1:11" ht="30" customHeight="1" x14ac:dyDescent="0.25">
      <c r="A155" s="14">
        <v>45484</v>
      </c>
      <c r="B155" s="2" t="s">
        <v>7</v>
      </c>
      <c r="C155" s="22" t="s">
        <v>2617</v>
      </c>
      <c r="D155" s="111" t="s">
        <v>95</v>
      </c>
      <c r="E155" s="18" t="s">
        <v>2618</v>
      </c>
      <c r="F155" s="4" t="str">
        <f t="shared" si="6"/>
        <v>EUB09D700743</v>
      </c>
      <c r="G155" s="4">
        <v>5702</v>
      </c>
      <c r="H155" s="4" t="s">
        <v>2851</v>
      </c>
      <c r="J155" s="19" t="str">
        <f t="shared" si="7"/>
        <v>Nem Heineken Költség</v>
      </c>
      <c r="K155" s="2" t="str">
        <f t="shared" si="8"/>
        <v/>
      </c>
    </row>
    <row r="156" spans="1:11" ht="30" customHeight="1" x14ac:dyDescent="0.25">
      <c r="A156" s="14">
        <v>45482</v>
      </c>
      <c r="B156" s="2" t="s">
        <v>77</v>
      </c>
      <c r="C156" s="22" t="s">
        <v>2615</v>
      </c>
      <c r="D156" s="111" t="s">
        <v>95</v>
      </c>
      <c r="E156" s="18" t="s">
        <v>2616</v>
      </c>
      <c r="F156" s="4" t="str">
        <f t="shared" si="6"/>
        <v>PTP200R239151</v>
      </c>
      <c r="G156" s="4">
        <v>1337</v>
      </c>
      <c r="H156" s="4" t="s">
        <v>2850</v>
      </c>
      <c r="J156" s="19" t="str">
        <f t="shared" si="7"/>
        <v>Nem Heineken Költség</v>
      </c>
      <c r="K156" s="2" t="str">
        <f t="shared" si="8"/>
        <v/>
      </c>
    </row>
    <row r="157" spans="1:11" ht="30" customHeight="1" x14ac:dyDescent="0.25">
      <c r="A157" s="14">
        <v>45482</v>
      </c>
      <c r="B157" s="2" t="s">
        <v>17</v>
      </c>
      <c r="C157" s="22" t="s">
        <v>2613</v>
      </c>
      <c r="D157" s="111" t="s">
        <v>95</v>
      </c>
      <c r="E157" s="18" t="s">
        <v>2614</v>
      </c>
      <c r="F157" s="4" t="str">
        <f t="shared" si="6"/>
        <v>EUB09D700852</v>
      </c>
      <c r="G157" s="4">
        <v>5607</v>
      </c>
      <c r="H157" s="4" t="s">
        <v>2852</v>
      </c>
      <c r="J157" s="19" t="str">
        <f t="shared" si="7"/>
        <v>Nem Heineken Költség</v>
      </c>
      <c r="K157" s="2" t="str">
        <f t="shared" si="8"/>
        <v/>
      </c>
    </row>
    <row r="158" spans="1:11" ht="30" customHeight="1" x14ac:dyDescent="0.25">
      <c r="A158" s="14">
        <v>45482</v>
      </c>
      <c r="B158" s="2" t="s">
        <v>2610</v>
      </c>
      <c r="C158" s="22" t="s">
        <v>2611</v>
      </c>
      <c r="D158" s="111" t="s">
        <v>95</v>
      </c>
      <c r="E158" s="18" t="s">
        <v>2612</v>
      </c>
      <c r="F158" s="4" t="str">
        <f t="shared" si="6"/>
        <v>Nincs Adat</v>
      </c>
      <c r="G158" s="4">
        <v>347</v>
      </c>
      <c r="H158" s="4"/>
      <c r="J158" s="19" t="str">
        <f t="shared" si="7"/>
        <v>Nem Heineken Költség</v>
      </c>
      <c r="K158" s="2" t="str">
        <f t="shared" si="8"/>
        <v/>
      </c>
    </row>
    <row r="159" spans="1:11" ht="30" customHeight="1" x14ac:dyDescent="0.25">
      <c r="A159" s="14">
        <v>45481</v>
      </c>
      <c r="B159" s="2" t="s">
        <v>141</v>
      </c>
      <c r="C159" s="35" t="s">
        <v>2832</v>
      </c>
      <c r="D159" s="111" t="s">
        <v>95</v>
      </c>
      <c r="E159" s="18" t="s">
        <v>2609</v>
      </c>
      <c r="F159" s="4" t="str">
        <f t="shared" si="6"/>
        <v>LO20N2RCB13B00110</v>
      </c>
      <c r="G159" s="4">
        <v>1532</v>
      </c>
      <c r="H159" s="4" t="s">
        <v>2851</v>
      </c>
      <c r="I159" s="2" t="s">
        <v>1728</v>
      </c>
      <c r="J159" s="19" t="str">
        <f t="shared" si="7"/>
        <v>SM-2024/8644</v>
      </c>
      <c r="K159" s="2">
        <f t="shared" si="8"/>
        <v>212.47</v>
      </c>
    </row>
    <row r="160" spans="1:11" ht="30" customHeight="1" x14ac:dyDescent="0.25">
      <c r="A160" s="14">
        <v>45481</v>
      </c>
      <c r="B160" s="2" t="s">
        <v>23</v>
      </c>
      <c r="C160" s="22" t="s">
        <v>2607</v>
      </c>
      <c r="D160" s="111" t="s">
        <v>95</v>
      </c>
      <c r="E160" s="18" t="s">
        <v>2608</v>
      </c>
      <c r="F160" s="4" t="str">
        <f t="shared" si="6"/>
        <v>EUB09D700740</v>
      </c>
      <c r="G160" s="4">
        <v>2563</v>
      </c>
      <c r="H160" s="4" t="s">
        <v>2851</v>
      </c>
      <c r="J160" s="19" t="str">
        <f t="shared" si="7"/>
        <v>Nem Heineken Költség</v>
      </c>
      <c r="K160" s="2" t="str">
        <f t="shared" si="8"/>
        <v/>
      </c>
    </row>
    <row r="161" spans="1:11" ht="30" customHeight="1" x14ac:dyDescent="0.25">
      <c r="A161" s="14">
        <v>45481</v>
      </c>
      <c r="B161" s="2" t="s">
        <v>80</v>
      </c>
      <c r="C161" s="22" t="s">
        <v>2605</v>
      </c>
      <c r="D161" s="111" t="s">
        <v>95</v>
      </c>
      <c r="E161" s="18" t="s">
        <v>2606</v>
      </c>
      <c r="F161" s="4" t="str">
        <f t="shared" si="6"/>
        <v>PTP200R239154</v>
      </c>
      <c r="G161" s="4">
        <v>262</v>
      </c>
      <c r="H161" s="4" t="s">
        <v>2851</v>
      </c>
      <c r="J161" s="19" t="str">
        <f t="shared" si="7"/>
        <v>Nem Heineken Költség</v>
      </c>
      <c r="K161" s="2" t="str">
        <f t="shared" si="8"/>
        <v/>
      </c>
    </row>
    <row r="162" spans="1:11" ht="30" customHeight="1" x14ac:dyDescent="0.25">
      <c r="A162" s="14">
        <v>45481</v>
      </c>
      <c r="B162" s="2" t="s">
        <v>84</v>
      </c>
      <c r="C162" s="22" t="s">
        <v>2603</v>
      </c>
      <c r="D162" s="111" t="s">
        <v>95</v>
      </c>
      <c r="E162" s="18" t="s">
        <v>2604</v>
      </c>
      <c r="F162" s="4" t="str">
        <f t="shared" si="6"/>
        <v>Nincs Adat</v>
      </c>
      <c r="G162" s="4"/>
      <c r="H162" s="4" t="s">
        <v>2852</v>
      </c>
      <c r="J162" s="19" t="str">
        <f t="shared" si="7"/>
        <v>Nem Heineken Költség</v>
      </c>
      <c r="K162" s="2" t="str">
        <f t="shared" si="8"/>
        <v/>
      </c>
    </row>
    <row r="163" spans="1:11" ht="30" customHeight="1" x14ac:dyDescent="0.25">
      <c r="A163" s="14">
        <v>45478</v>
      </c>
      <c r="B163" s="2" t="s">
        <v>23</v>
      </c>
      <c r="C163" s="22" t="s">
        <v>2601</v>
      </c>
      <c r="D163" s="111" t="s">
        <v>95</v>
      </c>
      <c r="E163" s="18" t="s">
        <v>2602</v>
      </c>
      <c r="F163" s="4" t="str">
        <f t="shared" si="6"/>
        <v>EUB09D700740</v>
      </c>
      <c r="G163" s="4">
        <v>2560</v>
      </c>
      <c r="H163" s="4" t="s">
        <v>2852</v>
      </c>
      <c r="J163" s="19" t="str">
        <f t="shared" si="7"/>
        <v>Nem Heineken Költség</v>
      </c>
      <c r="K163" s="2" t="str">
        <f t="shared" si="8"/>
        <v/>
      </c>
    </row>
    <row r="164" spans="1:11" ht="30" customHeight="1" x14ac:dyDescent="0.25">
      <c r="A164" s="14">
        <v>45478</v>
      </c>
      <c r="B164" s="2" t="s">
        <v>1226</v>
      </c>
      <c r="C164" s="22" t="s">
        <v>2599</v>
      </c>
      <c r="D164" s="111" t="s">
        <v>95</v>
      </c>
      <c r="E164" s="18" t="s">
        <v>2600</v>
      </c>
      <c r="F164" s="4" t="str">
        <f t="shared" si="6"/>
        <v>Nincs Adat</v>
      </c>
      <c r="G164" s="4"/>
      <c r="H164" s="4" t="s">
        <v>2850</v>
      </c>
      <c r="J164" s="19" t="str">
        <f t="shared" si="7"/>
        <v>Nem Heineken Költség</v>
      </c>
      <c r="K164" s="2" t="str">
        <f t="shared" si="8"/>
        <v/>
      </c>
    </row>
    <row r="165" spans="1:11" ht="30" customHeight="1" x14ac:dyDescent="0.25">
      <c r="A165" s="14">
        <v>45477</v>
      </c>
      <c r="B165" s="2" t="s">
        <v>2</v>
      </c>
      <c r="C165" s="22" t="s">
        <v>2597</v>
      </c>
      <c r="D165" s="111" t="s">
        <v>95</v>
      </c>
      <c r="E165" s="18" t="s">
        <v>2598</v>
      </c>
      <c r="F165" s="4" t="str">
        <f t="shared" si="6"/>
        <v>JA2N1E700427</v>
      </c>
      <c r="G165" s="4">
        <v>2802</v>
      </c>
      <c r="H165" s="4"/>
      <c r="J165" s="19" t="str">
        <f t="shared" si="7"/>
        <v>Nem Heineken Költség</v>
      </c>
      <c r="K165" s="2" t="str">
        <f t="shared" si="8"/>
        <v/>
      </c>
    </row>
    <row r="166" spans="1:11" ht="30" customHeight="1" x14ac:dyDescent="0.25">
      <c r="A166" s="14">
        <v>45477</v>
      </c>
      <c r="B166" s="2" t="s">
        <v>6</v>
      </c>
      <c r="C166" s="22" t="s">
        <v>2595</v>
      </c>
      <c r="D166" s="111" t="s">
        <v>95</v>
      </c>
      <c r="E166" s="18" t="s">
        <v>2596</v>
      </c>
      <c r="F166" s="4" t="str">
        <f t="shared" si="6"/>
        <v>EUB09D700742</v>
      </c>
      <c r="G166" s="4">
        <v>6070</v>
      </c>
      <c r="H166" s="4"/>
      <c r="J166" s="19" t="str">
        <f t="shared" si="7"/>
        <v>Nem Heineken Költség</v>
      </c>
      <c r="K166" s="2" t="str">
        <f t="shared" si="8"/>
        <v/>
      </c>
    </row>
    <row r="167" spans="1:11" ht="30" customHeight="1" x14ac:dyDescent="0.25">
      <c r="A167" s="14">
        <v>45476</v>
      </c>
      <c r="B167" s="2" t="s">
        <v>2493</v>
      </c>
      <c r="C167" s="22" t="s">
        <v>2593</v>
      </c>
      <c r="D167" s="111" t="s">
        <v>95</v>
      </c>
      <c r="E167" s="18" t="s">
        <v>2594</v>
      </c>
      <c r="F167" s="4" t="str">
        <f t="shared" si="6"/>
        <v>Nincs Adat</v>
      </c>
      <c r="G167" s="4"/>
      <c r="H167" s="4" t="s">
        <v>2852</v>
      </c>
      <c r="J167" s="19" t="str">
        <f t="shared" si="7"/>
        <v>Nem Heineken Költség</v>
      </c>
      <c r="K167" s="2" t="str">
        <f t="shared" si="8"/>
        <v/>
      </c>
    </row>
    <row r="168" spans="1:11" ht="30" customHeight="1" x14ac:dyDescent="0.25">
      <c r="A168" s="14">
        <v>45476</v>
      </c>
      <c r="B168" s="2" t="s">
        <v>8</v>
      </c>
      <c r="C168" s="22" t="s">
        <v>2591</v>
      </c>
      <c r="D168" s="111" t="s">
        <v>95</v>
      </c>
      <c r="E168" s="18" t="s">
        <v>2592</v>
      </c>
      <c r="F168" s="4" t="str">
        <f t="shared" si="6"/>
        <v>EUB09D700744</v>
      </c>
      <c r="G168" s="4">
        <v>5362</v>
      </c>
      <c r="H168" s="4" t="s">
        <v>2853</v>
      </c>
      <c r="J168" s="19" t="str">
        <f t="shared" si="7"/>
        <v>Nem Heineken Költség</v>
      </c>
      <c r="K168" s="2" t="str">
        <f t="shared" si="8"/>
        <v/>
      </c>
    </row>
    <row r="169" spans="1:11" ht="30" customHeight="1" x14ac:dyDescent="0.25">
      <c r="A169" s="14">
        <v>45476</v>
      </c>
      <c r="B169" s="2" t="s">
        <v>17</v>
      </c>
      <c r="C169" s="22" t="s">
        <v>2589</v>
      </c>
      <c r="D169" s="111" t="s">
        <v>95</v>
      </c>
      <c r="E169" s="18" t="s">
        <v>2590</v>
      </c>
      <c r="F169" s="4" t="str">
        <f t="shared" si="6"/>
        <v>EUB09D700852</v>
      </c>
      <c r="G169" s="4">
        <v>5559</v>
      </c>
      <c r="H169" s="4" t="s">
        <v>2850</v>
      </c>
      <c r="J169" s="19" t="str">
        <f t="shared" si="7"/>
        <v>Nem Heineken Költség</v>
      </c>
      <c r="K169" s="2" t="str">
        <f t="shared" si="8"/>
        <v/>
      </c>
    </row>
    <row r="170" spans="1:11" ht="30" customHeight="1" x14ac:dyDescent="0.25">
      <c r="A170" s="14">
        <v>45476</v>
      </c>
      <c r="B170" s="2" t="s">
        <v>80</v>
      </c>
      <c r="C170" s="35" t="s">
        <v>2587</v>
      </c>
      <c r="D170" s="111" t="s">
        <v>95</v>
      </c>
      <c r="E170" s="18" t="s">
        <v>2588</v>
      </c>
      <c r="F170" s="4" t="str">
        <f t="shared" si="6"/>
        <v>PTP200R239154</v>
      </c>
      <c r="G170" s="4">
        <v>253</v>
      </c>
      <c r="H170" s="4" t="s">
        <v>2851</v>
      </c>
      <c r="I170" s="2" t="s">
        <v>1728</v>
      </c>
      <c r="J170" s="19" t="str">
        <f t="shared" si="7"/>
        <v>SM-2024/8451</v>
      </c>
      <c r="K170" s="2">
        <f t="shared" si="8"/>
        <v>452.08</v>
      </c>
    </row>
    <row r="171" spans="1:11" ht="30" customHeight="1" x14ac:dyDescent="0.25">
      <c r="A171" s="14">
        <v>45476</v>
      </c>
      <c r="B171" s="2" t="s">
        <v>20</v>
      </c>
      <c r="C171" s="22" t="s">
        <v>2585</v>
      </c>
      <c r="D171" s="111" t="s">
        <v>95</v>
      </c>
      <c r="E171" s="18" t="s">
        <v>2586</v>
      </c>
      <c r="F171" s="4" t="str">
        <f t="shared" si="6"/>
        <v>EUB09D700832</v>
      </c>
      <c r="G171" s="4"/>
      <c r="H171" s="4" t="s">
        <v>2851</v>
      </c>
      <c r="J171" s="19" t="str">
        <f t="shared" si="7"/>
        <v>Nem Heineken Költség</v>
      </c>
      <c r="K171" s="2" t="str">
        <f t="shared" si="8"/>
        <v/>
      </c>
    </row>
    <row r="172" spans="1:11" ht="30" customHeight="1" x14ac:dyDescent="0.25">
      <c r="A172" s="14">
        <v>45476</v>
      </c>
      <c r="B172" s="2" t="s">
        <v>41</v>
      </c>
      <c r="C172" s="22" t="s">
        <v>2583</v>
      </c>
      <c r="D172" s="111" t="s">
        <v>95</v>
      </c>
      <c r="E172" s="18" t="s">
        <v>2584</v>
      </c>
      <c r="F172" s="4" t="str">
        <f t="shared" si="6"/>
        <v>Nincs Adat</v>
      </c>
      <c r="G172" s="4"/>
      <c r="H172" s="4" t="s">
        <v>2850</v>
      </c>
      <c r="J172" s="19" t="str">
        <f t="shared" si="7"/>
        <v>Nem Heineken Költség</v>
      </c>
      <c r="K172" s="2" t="str">
        <f t="shared" si="8"/>
        <v/>
      </c>
    </row>
    <row r="173" spans="1:11" ht="30" customHeight="1" x14ac:dyDescent="0.25">
      <c r="A173" s="14">
        <v>45475</v>
      </c>
      <c r="B173" s="2" t="s">
        <v>77</v>
      </c>
      <c r="C173" s="35" t="s">
        <v>2580</v>
      </c>
      <c r="D173" s="111" t="s">
        <v>95</v>
      </c>
      <c r="E173" s="18" t="s">
        <v>2581</v>
      </c>
      <c r="F173" s="4" t="str">
        <f t="shared" si="6"/>
        <v>PTP200R239151</v>
      </c>
      <c r="G173" s="4">
        <v>1311</v>
      </c>
      <c r="H173" s="4" t="s">
        <v>2851</v>
      </c>
      <c r="I173" s="2" t="s">
        <v>1728</v>
      </c>
      <c r="J173" s="19" t="str">
        <f t="shared" si="7"/>
        <v>SM-2024/8388</v>
      </c>
      <c r="K173" s="2">
        <f t="shared" si="8"/>
        <v>456.11</v>
      </c>
    </row>
    <row r="174" spans="1:11" ht="30" customHeight="1" x14ac:dyDescent="0.25">
      <c r="A174" s="14">
        <v>45475</v>
      </c>
      <c r="B174" s="2" t="s">
        <v>80</v>
      </c>
      <c r="C174" s="22" t="s">
        <v>2578</v>
      </c>
      <c r="D174" s="111" t="s">
        <v>95</v>
      </c>
      <c r="E174" s="18" t="s">
        <v>2579</v>
      </c>
      <c r="F174" s="4" t="str">
        <f t="shared" si="6"/>
        <v>PTP200R239154</v>
      </c>
      <c r="G174" s="4">
        <v>251</v>
      </c>
      <c r="H174" s="4" t="s">
        <v>2850</v>
      </c>
      <c r="J174" s="19" t="str">
        <f t="shared" si="7"/>
        <v>Nem Heineken Költség</v>
      </c>
      <c r="K174" s="2" t="str">
        <f t="shared" si="8"/>
        <v/>
      </c>
    </row>
    <row r="175" spans="1:11" ht="30" customHeight="1" x14ac:dyDescent="0.25">
      <c r="A175" s="14">
        <v>45475</v>
      </c>
      <c r="B175" s="2" t="s">
        <v>12</v>
      </c>
      <c r="C175" s="22" t="s">
        <v>2576</v>
      </c>
      <c r="D175" s="111" t="s">
        <v>95</v>
      </c>
      <c r="E175" s="18" t="s">
        <v>2577</v>
      </c>
      <c r="F175" s="4" t="str">
        <f t="shared" si="6"/>
        <v>EUB09D700267</v>
      </c>
      <c r="G175" s="43">
        <v>4497</v>
      </c>
      <c r="H175" s="4" t="s">
        <v>2852</v>
      </c>
      <c r="J175" s="19" t="str">
        <f t="shared" si="7"/>
        <v>Nem Heineken Költség</v>
      </c>
      <c r="K175" s="2" t="str">
        <f t="shared" si="8"/>
        <v/>
      </c>
    </row>
    <row r="176" spans="1:11" ht="30" customHeight="1" x14ac:dyDescent="0.25">
      <c r="A176" s="14">
        <v>45475</v>
      </c>
      <c r="B176" s="2" t="s">
        <v>1004</v>
      </c>
      <c r="C176" s="22" t="s">
        <v>2574</v>
      </c>
      <c r="D176" s="111" t="s">
        <v>95</v>
      </c>
      <c r="E176" s="18" t="s">
        <v>2575</v>
      </c>
      <c r="F176" s="4" t="str">
        <f t="shared" si="6"/>
        <v>Nincs Adat</v>
      </c>
      <c r="G176" s="4"/>
      <c r="H176" s="4"/>
      <c r="J176" s="19" t="str">
        <f t="shared" si="7"/>
        <v>Nem Heineken Költség</v>
      </c>
      <c r="K176" s="2" t="str">
        <f t="shared" si="8"/>
        <v/>
      </c>
    </row>
    <row r="177" spans="1:11" ht="30" customHeight="1" x14ac:dyDescent="0.25">
      <c r="A177" s="14">
        <v>45474</v>
      </c>
      <c r="B177" s="2" t="s">
        <v>20</v>
      </c>
      <c r="C177" s="22" t="s">
        <v>2566</v>
      </c>
      <c r="D177" s="111" t="s">
        <v>95</v>
      </c>
      <c r="E177" s="18" t="s">
        <v>2567</v>
      </c>
      <c r="F177" s="4" t="str">
        <f t="shared" si="6"/>
        <v>EUB09D700832</v>
      </c>
      <c r="G177" s="4">
        <v>4337</v>
      </c>
      <c r="H177" s="4" t="s">
        <v>2851</v>
      </c>
      <c r="I177" s="2" t="s">
        <v>1728</v>
      </c>
      <c r="J177" s="19" t="str">
        <f t="shared" si="7"/>
        <v>SM-2024/8364</v>
      </c>
      <c r="K177" s="2">
        <f t="shared" si="8"/>
        <v>927.05</v>
      </c>
    </row>
    <row r="178" spans="1:11" ht="49.9" customHeight="1" x14ac:dyDescent="0.25">
      <c r="A178" s="14">
        <v>45474</v>
      </c>
      <c r="B178" s="2" t="s">
        <v>158</v>
      </c>
      <c r="C178" s="22" t="s">
        <v>2564</v>
      </c>
      <c r="D178" s="111" t="s">
        <v>95</v>
      </c>
      <c r="E178" s="18" t="s">
        <v>2565</v>
      </c>
      <c r="F178" s="4" t="str">
        <f t="shared" si="6"/>
        <v>F24537B00022</v>
      </c>
      <c r="G178" s="4">
        <v>2917</v>
      </c>
      <c r="H178" s="4" t="s">
        <v>2850</v>
      </c>
      <c r="J178" s="19" t="str">
        <f t="shared" si="7"/>
        <v>Nem Heineken Költség</v>
      </c>
      <c r="K178" s="2" t="str">
        <f t="shared" si="8"/>
        <v/>
      </c>
    </row>
    <row r="179" spans="1:11" ht="30" customHeight="1" x14ac:dyDescent="0.25">
      <c r="A179" s="14">
        <v>45470</v>
      </c>
      <c r="B179" s="2" t="s">
        <v>81</v>
      </c>
      <c r="C179" s="22" t="s">
        <v>2562</v>
      </c>
      <c r="D179" s="111" t="s">
        <v>95</v>
      </c>
      <c r="E179" s="18" t="s">
        <v>2563</v>
      </c>
      <c r="F179" s="4" t="str">
        <f t="shared" si="6"/>
        <v>PTP200R239155</v>
      </c>
      <c r="G179" s="4">
        <v>676</v>
      </c>
      <c r="H179" s="4" t="s">
        <v>2851</v>
      </c>
      <c r="J179" s="19" t="str">
        <f t="shared" si="7"/>
        <v>Nem Heineken Költség</v>
      </c>
      <c r="K179" s="2" t="str">
        <f t="shared" si="8"/>
        <v/>
      </c>
    </row>
    <row r="180" spans="1:11" ht="30" customHeight="1" x14ac:dyDescent="0.25">
      <c r="A180" s="14">
        <v>45470</v>
      </c>
      <c r="B180" s="2" t="s">
        <v>78</v>
      </c>
      <c r="C180" s="22" t="s">
        <v>2560</v>
      </c>
      <c r="D180" s="111" t="s">
        <v>95</v>
      </c>
      <c r="E180" s="18" t="s">
        <v>2561</v>
      </c>
      <c r="F180" s="4" t="str">
        <f t="shared" si="6"/>
        <v>PTP200R239152</v>
      </c>
      <c r="G180" s="4">
        <v>2000</v>
      </c>
      <c r="H180" s="4" t="s">
        <v>2851</v>
      </c>
      <c r="J180" s="19" t="str">
        <f t="shared" si="7"/>
        <v>Nem Heineken Költség</v>
      </c>
      <c r="K180" s="2" t="str">
        <f t="shared" si="8"/>
        <v/>
      </c>
    </row>
    <row r="181" spans="1:11" ht="30" customHeight="1" x14ac:dyDescent="0.25">
      <c r="A181" s="14">
        <v>45470</v>
      </c>
      <c r="B181" s="2" t="s">
        <v>7</v>
      </c>
      <c r="C181" s="22" t="s">
        <v>2558</v>
      </c>
      <c r="D181" s="111" t="s">
        <v>95</v>
      </c>
      <c r="E181" s="18" t="s">
        <v>2559</v>
      </c>
      <c r="F181" s="4" t="str">
        <f t="shared" si="6"/>
        <v>EUB09D700743</v>
      </c>
      <c r="G181" s="4">
        <v>5566</v>
      </c>
      <c r="H181" s="4" t="s">
        <v>2852</v>
      </c>
      <c r="J181" s="19" t="str">
        <f t="shared" si="7"/>
        <v>Nem Heineken Költség</v>
      </c>
      <c r="K181" s="2" t="str">
        <f t="shared" si="8"/>
        <v/>
      </c>
    </row>
    <row r="182" spans="1:11" ht="30" customHeight="1" x14ac:dyDescent="0.25">
      <c r="A182" s="14">
        <v>45469</v>
      </c>
      <c r="B182" s="2" t="s">
        <v>25</v>
      </c>
      <c r="C182" s="22" t="s">
        <v>2556</v>
      </c>
      <c r="D182" s="111" t="s">
        <v>95</v>
      </c>
      <c r="E182" s="18" t="s">
        <v>2557</v>
      </c>
      <c r="F182" s="4" t="str">
        <f t="shared" si="6"/>
        <v>EUB09D700741</v>
      </c>
      <c r="G182" s="4">
        <v>3193</v>
      </c>
      <c r="H182" s="4" t="s">
        <v>2852</v>
      </c>
      <c r="J182" s="19" t="str">
        <f t="shared" si="7"/>
        <v>Nem Heineken Költség</v>
      </c>
      <c r="K182" s="2" t="str">
        <f t="shared" si="8"/>
        <v/>
      </c>
    </row>
    <row r="183" spans="1:11" ht="30" customHeight="1" x14ac:dyDescent="0.25">
      <c r="A183" s="14">
        <v>45469</v>
      </c>
      <c r="B183" s="2" t="s">
        <v>891</v>
      </c>
      <c r="C183" s="22" t="s">
        <v>2554</v>
      </c>
      <c r="D183" s="111" t="s">
        <v>95</v>
      </c>
      <c r="E183" s="18" t="s">
        <v>2555</v>
      </c>
      <c r="F183" s="4">
        <f t="shared" si="6"/>
        <v>10817</v>
      </c>
      <c r="G183" s="4">
        <v>263</v>
      </c>
      <c r="H183" s="4"/>
      <c r="J183" s="19" t="str">
        <f t="shared" si="7"/>
        <v>Nem Heineken Költség</v>
      </c>
      <c r="K183" s="2" t="str">
        <f t="shared" si="8"/>
        <v/>
      </c>
    </row>
    <row r="184" spans="1:11" ht="30" customHeight="1" x14ac:dyDescent="0.25">
      <c r="A184" s="14">
        <v>45469</v>
      </c>
      <c r="B184" s="2" t="s">
        <v>20</v>
      </c>
      <c r="C184" s="22" t="s">
        <v>2552</v>
      </c>
      <c r="D184" s="111" t="s">
        <v>95</v>
      </c>
      <c r="E184" s="18" t="s">
        <v>2553</v>
      </c>
      <c r="F184" s="4" t="str">
        <f t="shared" si="6"/>
        <v>EUB09D700832</v>
      </c>
      <c r="G184" s="4">
        <v>4320</v>
      </c>
      <c r="H184" s="4" t="s">
        <v>2851</v>
      </c>
      <c r="J184" s="19" t="str">
        <f t="shared" si="7"/>
        <v>Nem Heineken Költség</v>
      </c>
      <c r="K184" s="2" t="str">
        <f t="shared" si="8"/>
        <v/>
      </c>
    </row>
    <row r="185" spans="1:11" ht="30" customHeight="1" x14ac:dyDescent="0.25">
      <c r="A185" s="14">
        <v>45469</v>
      </c>
      <c r="B185" s="2" t="s">
        <v>30</v>
      </c>
      <c r="C185" s="22" t="s">
        <v>2550</v>
      </c>
      <c r="D185" s="111" t="s">
        <v>95</v>
      </c>
      <c r="E185" s="18" t="s">
        <v>2551</v>
      </c>
      <c r="F185" s="4" t="str">
        <f t="shared" si="6"/>
        <v>Nincs Adat</v>
      </c>
      <c r="G185" s="4"/>
      <c r="H185" s="4"/>
      <c r="J185" s="19" t="str">
        <f t="shared" si="7"/>
        <v>Nem Heineken Költség</v>
      </c>
      <c r="K185" s="2" t="str">
        <f t="shared" si="8"/>
        <v/>
      </c>
    </row>
    <row r="186" spans="1:11" ht="30" customHeight="1" x14ac:dyDescent="0.25">
      <c r="A186" s="14">
        <v>45469</v>
      </c>
      <c r="B186" s="2" t="s">
        <v>43</v>
      </c>
      <c r="C186" s="22" t="s">
        <v>2550</v>
      </c>
      <c r="D186" s="111" t="s">
        <v>95</v>
      </c>
      <c r="E186" s="18" t="s">
        <v>2551</v>
      </c>
      <c r="F186" s="4" t="str">
        <f t="shared" si="6"/>
        <v>Nincs Adat</v>
      </c>
      <c r="G186" s="4"/>
      <c r="H186" s="4"/>
      <c r="J186" s="19" t="str">
        <f t="shared" si="7"/>
        <v>Nem Heineken Költség</v>
      </c>
      <c r="K186" s="2" t="str">
        <f t="shared" si="8"/>
        <v/>
      </c>
    </row>
    <row r="187" spans="1:11" ht="30" customHeight="1" x14ac:dyDescent="0.25">
      <c r="A187" s="14">
        <v>45469</v>
      </c>
      <c r="B187" s="2" t="s">
        <v>75</v>
      </c>
      <c r="C187" s="22" t="s">
        <v>2550</v>
      </c>
      <c r="D187" s="111" t="s">
        <v>95</v>
      </c>
      <c r="E187" s="18" t="s">
        <v>2551</v>
      </c>
      <c r="F187" s="4" t="str">
        <f t="shared" si="6"/>
        <v>Nincs Adat</v>
      </c>
      <c r="G187" s="4"/>
      <c r="H187" s="4"/>
      <c r="J187" s="19" t="str">
        <f t="shared" si="7"/>
        <v>Nem Heineken Költség</v>
      </c>
      <c r="K187" s="2" t="str">
        <f t="shared" si="8"/>
        <v/>
      </c>
    </row>
    <row r="188" spans="1:11" ht="30" customHeight="1" x14ac:dyDescent="0.25">
      <c r="A188" s="14">
        <v>45469</v>
      </c>
      <c r="B188" s="2" t="s">
        <v>73</v>
      </c>
      <c r="C188" s="22" t="s">
        <v>2550</v>
      </c>
      <c r="D188" s="111" t="s">
        <v>95</v>
      </c>
      <c r="E188" s="18" t="s">
        <v>2551</v>
      </c>
      <c r="F188" s="4" t="str">
        <f t="shared" si="6"/>
        <v>Nincs Adat</v>
      </c>
      <c r="G188" s="4"/>
      <c r="H188" s="4"/>
      <c r="J188" s="19" t="str">
        <f t="shared" si="7"/>
        <v>Nem Heineken Költség</v>
      </c>
      <c r="K188" s="2" t="str">
        <f t="shared" si="8"/>
        <v/>
      </c>
    </row>
    <row r="189" spans="1:11" ht="30" customHeight="1" x14ac:dyDescent="0.25">
      <c r="A189" s="14">
        <v>45469</v>
      </c>
      <c r="B189" s="2" t="s">
        <v>66</v>
      </c>
      <c r="C189" s="22" t="s">
        <v>2550</v>
      </c>
      <c r="D189" s="111" t="s">
        <v>95</v>
      </c>
      <c r="E189" s="18" t="s">
        <v>2551</v>
      </c>
      <c r="F189" s="4" t="str">
        <f t="shared" si="6"/>
        <v>Nincs Adat</v>
      </c>
      <c r="G189" s="4"/>
      <c r="H189" s="4"/>
      <c r="J189" s="19" t="str">
        <f t="shared" si="7"/>
        <v>Nem Heineken Költség</v>
      </c>
      <c r="K189" s="2" t="str">
        <f t="shared" si="8"/>
        <v/>
      </c>
    </row>
    <row r="190" spans="1:11" ht="30" customHeight="1" x14ac:dyDescent="0.25">
      <c r="A190" s="14">
        <v>45469</v>
      </c>
      <c r="B190" s="2" t="s">
        <v>46</v>
      </c>
      <c r="C190" s="22" t="s">
        <v>2550</v>
      </c>
      <c r="D190" s="111" t="s">
        <v>95</v>
      </c>
      <c r="E190" s="18" t="s">
        <v>2551</v>
      </c>
      <c r="F190" s="4" t="str">
        <f t="shared" si="6"/>
        <v>Nincs Adat</v>
      </c>
      <c r="G190" s="4"/>
      <c r="H190" s="4"/>
      <c r="J190" s="19" t="str">
        <f t="shared" si="7"/>
        <v>Nem Heineken Költség</v>
      </c>
      <c r="K190" s="2" t="str">
        <f t="shared" si="8"/>
        <v/>
      </c>
    </row>
    <row r="191" spans="1:11" ht="30" customHeight="1" x14ac:dyDescent="0.25">
      <c r="A191" s="14">
        <v>45468</v>
      </c>
      <c r="B191" s="2" t="s">
        <v>26</v>
      </c>
      <c r="C191" s="35" t="s">
        <v>2548</v>
      </c>
      <c r="D191" s="111" t="s">
        <v>95</v>
      </c>
      <c r="E191" s="18" t="s">
        <v>2549</v>
      </c>
      <c r="F191" s="4" t="str">
        <f t="shared" si="6"/>
        <v>EFC09D60002</v>
      </c>
      <c r="G191" s="4">
        <v>6431</v>
      </c>
      <c r="H191" s="4" t="s">
        <v>2852</v>
      </c>
      <c r="J191" s="19" t="str">
        <f t="shared" si="7"/>
        <v>Nem Heineken Költség</v>
      </c>
      <c r="K191" s="2" t="str">
        <f t="shared" si="8"/>
        <v/>
      </c>
    </row>
    <row r="192" spans="1:11" ht="30" customHeight="1" x14ac:dyDescent="0.25">
      <c r="A192" s="14">
        <v>45468</v>
      </c>
      <c r="B192" s="2" t="s">
        <v>80</v>
      </c>
      <c r="C192" s="22" t="s">
        <v>2546</v>
      </c>
      <c r="D192" s="111" t="s">
        <v>95</v>
      </c>
      <c r="E192" s="18" t="s">
        <v>2547</v>
      </c>
      <c r="F192" s="4" t="str">
        <f t="shared" si="6"/>
        <v>PTP200R239154</v>
      </c>
      <c r="G192" s="4">
        <v>225</v>
      </c>
      <c r="H192" s="4"/>
      <c r="I192" s="2" t="s">
        <v>1728</v>
      </c>
      <c r="J192" s="19" t="str">
        <f t="shared" si="7"/>
        <v>SM-2024/8071</v>
      </c>
      <c r="K192" s="2">
        <f t="shared" si="8"/>
        <v>232.03</v>
      </c>
    </row>
    <row r="193" spans="1:11" ht="30" customHeight="1" x14ac:dyDescent="0.25">
      <c r="A193" s="14">
        <v>45468</v>
      </c>
      <c r="B193" s="2" t="s">
        <v>14</v>
      </c>
      <c r="C193" s="35" t="s">
        <v>2544</v>
      </c>
      <c r="D193" s="111" t="s">
        <v>95</v>
      </c>
      <c r="E193" s="18" t="s">
        <v>2545</v>
      </c>
      <c r="F193" s="4" t="str">
        <f t="shared" si="6"/>
        <v>EUB09D700269</v>
      </c>
      <c r="G193" s="4">
        <v>4324</v>
      </c>
      <c r="H193" s="4" t="s">
        <v>2851</v>
      </c>
      <c r="J193" s="19" t="str">
        <f t="shared" si="7"/>
        <v>Nem Heineken Költség</v>
      </c>
      <c r="K193" s="2" t="str">
        <f t="shared" si="8"/>
        <v/>
      </c>
    </row>
    <row r="194" spans="1:11" ht="30" customHeight="1" x14ac:dyDescent="0.25">
      <c r="A194" s="14">
        <v>45467</v>
      </c>
      <c r="B194" s="2" t="s">
        <v>17</v>
      </c>
      <c r="C194" s="22" t="s">
        <v>2542</v>
      </c>
      <c r="D194" s="111" t="s">
        <v>95</v>
      </c>
      <c r="E194" s="18" t="s">
        <v>2543</v>
      </c>
      <c r="F194" s="4" t="str">
        <f t="shared" si="6"/>
        <v>EUB09D700852</v>
      </c>
      <c r="G194" s="4">
        <v>5452</v>
      </c>
      <c r="H194" s="4"/>
      <c r="J194" s="19" t="str">
        <f t="shared" si="7"/>
        <v>Nem Heineken Költség</v>
      </c>
      <c r="K194" s="2" t="str">
        <f t="shared" si="8"/>
        <v/>
      </c>
    </row>
    <row r="195" spans="1:11" ht="30" customHeight="1" x14ac:dyDescent="0.25">
      <c r="A195" s="14">
        <v>45467</v>
      </c>
      <c r="B195" s="2" t="s">
        <v>1004</v>
      </c>
      <c r="C195" s="22" t="s">
        <v>2540</v>
      </c>
      <c r="D195" s="111" t="s">
        <v>95</v>
      </c>
      <c r="E195" s="18" t="s">
        <v>2541</v>
      </c>
      <c r="F195" s="4" t="str">
        <f t="shared" ref="F195:F258" si="9">IFERROR(VLOOKUP(B195,targlist02,3,0),"Nincs Adat")</f>
        <v>Nincs Adat</v>
      </c>
      <c r="G195" s="4"/>
      <c r="H195" s="4"/>
      <c r="J195" s="19" t="str">
        <f t="shared" ref="J195:J258" si="10">IF(I195="H",IFERROR(VLOOKUP(E195,podone,1,0),"Nincs Po"),"Nem Heineken Költség")</f>
        <v>Nem Heineken Költség</v>
      </c>
      <c r="K195" s="2" t="str">
        <f t="shared" ref="K195:K210" si="11">IFERROR(VLOOKUP(E195,poprice,4,0),"")</f>
        <v/>
      </c>
    </row>
    <row r="196" spans="1:11" ht="30" customHeight="1" x14ac:dyDescent="0.25">
      <c r="A196" s="14">
        <v>45467</v>
      </c>
      <c r="B196" s="2" t="s">
        <v>61</v>
      </c>
      <c r="C196" s="22" t="s">
        <v>2538</v>
      </c>
      <c r="D196" s="111" t="s">
        <v>95</v>
      </c>
      <c r="E196" s="18" t="s">
        <v>2539</v>
      </c>
      <c r="F196" s="4" t="str">
        <f t="shared" si="9"/>
        <v>Nincs Adat</v>
      </c>
      <c r="G196" s="4"/>
      <c r="H196" s="4" t="s">
        <v>2852</v>
      </c>
      <c r="J196" s="19" t="str">
        <f t="shared" si="10"/>
        <v>Nem Heineken Költség</v>
      </c>
      <c r="K196" s="2" t="str">
        <f t="shared" si="11"/>
        <v/>
      </c>
    </row>
    <row r="197" spans="1:11" ht="30" customHeight="1" x14ac:dyDescent="0.25">
      <c r="A197" s="14">
        <v>45464</v>
      </c>
      <c r="B197" s="2" t="s">
        <v>25</v>
      </c>
      <c r="C197" s="22" t="s">
        <v>2536</v>
      </c>
      <c r="D197" s="111" t="s">
        <v>95</v>
      </c>
      <c r="E197" s="18" t="s">
        <v>2537</v>
      </c>
      <c r="F197" s="4" t="str">
        <f t="shared" si="9"/>
        <v>EUB09D700741</v>
      </c>
      <c r="G197" s="4">
        <v>3163</v>
      </c>
      <c r="H197" s="4" t="s">
        <v>2853</v>
      </c>
      <c r="J197" s="19" t="str">
        <f t="shared" si="10"/>
        <v>Nem Heineken Költség</v>
      </c>
      <c r="K197" s="2" t="str">
        <f t="shared" si="11"/>
        <v/>
      </c>
    </row>
    <row r="198" spans="1:11" ht="30" customHeight="1" x14ac:dyDescent="0.25">
      <c r="A198" s="14">
        <v>45464</v>
      </c>
      <c r="B198" s="2" t="s">
        <v>142</v>
      </c>
      <c r="C198" s="35" t="s">
        <v>2534</v>
      </c>
      <c r="D198" s="111" t="s">
        <v>95</v>
      </c>
      <c r="E198" s="18" t="s">
        <v>2535</v>
      </c>
      <c r="F198" s="4" t="str">
        <f t="shared" si="9"/>
        <v>LO20N2RCB13B00112</v>
      </c>
      <c r="G198" s="4">
        <v>2083</v>
      </c>
      <c r="H198" s="4" t="s">
        <v>2851</v>
      </c>
      <c r="J198" s="19" t="str">
        <f t="shared" si="10"/>
        <v>Nem Heineken Költség</v>
      </c>
      <c r="K198" s="2" t="str">
        <f t="shared" si="11"/>
        <v/>
      </c>
    </row>
    <row r="199" spans="1:11" ht="30" customHeight="1" x14ac:dyDescent="0.25">
      <c r="A199" s="14">
        <v>45464</v>
      </c>
      <c r="B199" s="2" t="s">
        <v>2493</v>
      </c>
      <c r="C199" s="22" t="s">
        <v>2532</v>
      </c>
      <c r="D199" s="111" t="s">
        <v>95</v>
      </c>
      <c r="E199" s="18" t="s">
        <v>2533</v>
      </c>
      <c r="F199" s="4" t="str">
        <f t="shared" si="9"/>
        <v>Nincs Adat</v>
      </c>
      <c r="G199" s="4"/>
      <c r="H199" s="4" t="s">
        <v>2852</v>
      </c>
      <c r="J199" s="19" t="str">
        <f t="shared" si="10"/>
        <v>Nem Heineken Költség</v>
      </c>
      <c r="K199" s="2" t="str">
        <f t="shared" si="11"/>
        <v/>
      </c>
    </row>
    <row r="200" spans="1:11" ht="30" customHeight="1" x14ac:dyDescent="0.25">
      <c r="A200" s="14">
        <v>45462</v>
      </c>
      <c r="B200" s="2" t="s">
        <v>19</v>
      </c>
      <c r="C200" s="22" t="s">
        <v>2530</v>
      </c>
      <c r="D200" s="111" t="s">
        <v>95</v>
      </c>
      <c r="E200" s="18" t="s">
        <v>2531</v>
      </c>
      <c r="F200" s="4" t="str">
        <f t="shared" si="9"/>
        <v>EUB09D700836</v>
      </c>
      <c r="G200" s="4">
        <v>6025</v>
      </c>
      <c r="H200" s="4" t="s">
        <v>2852</v>
      </c>
      <c r="J200" s="19" t="str">
        <f t="shared" si="10"/>
        <v>Nem Heineken Költség</v>
      </c>
      <c r="K200" s="2" t="str">
        <f t="shared" si="11"/>
        <v/>
      </c>
    </row>
    <row r="201" spans="1:11" ht="30" customHeight="1" x14ac:dyDescent="0.25">
      <c r="A201" s="14">
        <v>45462</v>
      </c>
      <c r="B201" s="2" t="s">
        <v>2167</v>
      </c>
      <c r="C201" s="22" t="s">
        <v>2528</v>
      </c>
      <c r="D201" s="111" t="s">
        <v>95</v>
      </c>
      <c r="E201" s="18" t="s">
        <v>2529</v>
      </c>
      <c r="F201" s="4" t="str">
        <f t="shared" si="9"/>
        <v>Nincs Adat</v>
      </c>
      <c r="G201" s="4">
        <v>2460</v>
      </c>
      <c r="H201" s="4" t="s">
        <v>2850</v>
      </c>
      <c r="J201" s="19" t="str">
        <f t="shared" si="10"/>
        <v>Nem Heineken Költség</v>
      </c>
      <c r="K201" s="2" t="str">
        <f t="shared" si="11"/>
        <v/>
      </c>
    </row>
    <row r="202" spans="1:11" ht="30" customHeight="1" x14ac:dyDescent="0.25">
      <c r="A202" s="14">
        <v>45462</v>
      </c>
      <c r="B202" s="2" t="s">
        <v>81</v>
      </c>
      <c r="C202" s="22" t="s">
        <v>2526</v>
      </c>
      <c r="D202" s="111" t="s">
        <v>95</v>
      </c>
      <c r="E202" s="18" t="s">
        <v>2527</v>
      </c>
      <c r="F202" s="4" t="str">
        <f t="shared" si="9"/>
        <v>PTP200R239155</v>
      </c>
      <c r="G202" s="4">
        <v>640</v>
      </c>
      <c r="H202" s="4" t="s">
        <v>2850</v>
      </c>
      <c r="J202" s="19" t="str">
        <f t="shared" si="10"/>
        <v>Nem Heineken Költség</v>
      </c>
      <c r="K202" s="2" t="str">
        <f t="shared" si="11"/>
        <v/>
      </c>
    </row>
    <row r="203" spans="1:11" ht="30" customHeight="1" x14ac:dyDescent="0.25">
      <c r="A203" s="14">
        <v>45462</v>
      </c>
      <c r="B203" s="2" t="s">
        <v>79</v>
      </c>
      <c r="C203" s="22" t="s">
        <v>2525</v>
      </c>
      <c r="D203" s="111" t="s">
        <v>95</v>
      </c>
      <c r="E203" s="18" t="s">
        <v>2524</v>
      </c>
      <c r="F203" s="4" t="str">
        <f t="shared" si="9"/>
        <v>PTP200R239153</v>
      </c>
      <c r="G203" s="4">
        <v>1865</v>
      </c>
      <c r="H203" s="4"/>
      <c r="J203" s="19" t="str">
        <f t="shared" si="10"/>
        <v>Nem Heineken Költség</v>
      </c>
      <c r="K203" s="2" t="str">
        <f t="shared" si="11"/>
        <v/>
      </c>
    </row>
    <row r="204" spans="1:11" ht="30" customHeight="1" x14ac:dyDescent="0.25">
      <c r="A204" s="14">
        <v>45462</v>
      </c>
      <c r="B204" s="2" t="s">
        <v>157</v>
      </c>
      <c r="C204" s="22" t="s">
        <v>2523</v>
      </c>
      <c r="D204" s="111" t="s">
        <v>95</v>
      </c>
      <c r="E204" s="18" t="s">
        <v>2522</v>
      </c>
      <c r="F204" s="4" t="str">
        <f t="shared" si="9"/>
        <v>F24537B00021</v>
      </c>
      <c r="G204" s="4">
        <v>53</v>
      </c>
      <c r="H204" s="4" t="s">
        <v>2850</v>
      </c>
      <c r="J204" s="19" t="str">
        <f t="shared" si="10"/>
        <v>Nem Heineken Költség</v>
      </c>
      <c r="K204" s="2" t="str">
        <f t="shared" si="11"/>
        <v/>
      </c>
    </row>
    <row r="205" spans="1:11" ht="30" customHeight="1" x14ac:dyDescent="0.25">
      <c r="A205" s="14">
        <v>45461</v>
      </c>
      <c r="B205" s="2" t="s">
        <v>11</v>
      </c>
      <c r="C205" s="22" t="s">
        <v>2520</v>
      </c>
      <c r="D205" s="111" t="s">
        <v>95</v>
      </c>
      <c r="E205" s="18" t="s">
        <v>2521</v>
      </c>
      <c r="F205" s="4" t="str">
        <f t="shared" si="9"/>
        <v>EUB09D700850</v>
      </c>
      <c r="G205" s="4">
        <v>6520</v>
      </c>
      <c r="H205" s="4" t="s">
        <v>2853</v>
      </c>
      <c r="J205" s="19" t="str">
        <f t="shared" si="10"/>
        <v>Nem Heineken Költség</v>
      </c>
      <c r="K205" s="2" t="str">
        <f t="shared" si="11"/>
        <v/>
      </c>
    </row>
    <row r="206" spans="1:11" ht="30" customHeight="1" x14ac:dyDescent="0.25">
      <c r="A206" s="14">
        <v>45461</v>
      </c>
      <c r="B206" s="2" t="s">
        <v>11</v>
      </c>
      <c r="C206" s="22" t="s">
        <v>2518</v>
      </c>
      <c r="D206" s="111" t="s">
        <v>95</v>
      </c>
      <c r="E206" s="18" t="s">
        <v>2519</v>
      </c>
      <c r="F206" s="4" t="str">
        <f t="shared" si="9"/>
        <v>EUB09D700850</v>
      </c>
      <c r="G206" s="4">
        <v>6520</v>
      </c>
      <c r="H206" s="4" t="s">
        <v>2853</v>
      </c>
      <c r="J206" s="19" t="str">
        <f t="shared" si="10"/>
        <v>Nem Heineken Költség</v>
      </c>
      <c r="K206" s="2" t="str">
        <f t="shared" si="11"/>
        <v/>
      </c>
    </row>
    <row r="207" spans="1:11" ht="30" customHeight="1" x14ac:dyDescent="0.25">
      <c r="A207" s="14">
        <v>45460</v>
      </c>
      <c r="B207" s="2" t="s">
        <v>80</v>
      </c>
      <c r="C207" s="22" t="s">
        <v>2516</v>
      </c>
      <c r="D207" s="111" t="s">
        <v>95</v>
      </c>
      <c r="E207" s="18" t="s">
        <v>2517</v>
      </c>
      <c r="F207" s="4" t="str">
        <f t="shared" si="9"/>
        <v>PTP200R239154</v>
      </c>
      <c r="G207" s="4">
        <v>188</v>
      </c>
      <c r="H207" s="4" t="s">
        <v>2852</v>
      </c>
      <c r="J207" s="19" t="str">
        <f t="shared" si="10"/>
        <v>Nem Heineken Költség</v>
      </c>
      <c r="K207" s="2" t="str">
        <f t="shared" si="11"/>
        <v/>
      </c>
    </row>
    <row r="208" spans="1:11" ht="30" customHeight="1" x14ac:dyDescent="0.25">
      <c r="A208" s="14">
        <v>45460</v>
      </c>
      <c r="B208" s="2" t="s">
        <v>891</v>
      </c>
      <c r="C208" s="35" t="s">
        <v>2514</v>
      </c>
      <c r="D208" s="111" t="s">
        <v>95</v>
      </c>
      <c r="E208" s="18" t="s">
        <v>2515</v>
      </c>
      <c r="F208" s="4">
        <f t="shared" si="9"/>
        <v>10817</v>
      </c>
      <c r="G208" s="4"/>
      <c r="H208" s="4" t="s">
        <v>2852</v>
      </c>
      <c r="J208" s="19" t="str">
        <f t="shared" si="10"/>
        <v>Nem Heineken Költség</v>
      </c>
      <c r="K208" s="2" t="str">
        <f t="shared" si="11"/>
        <v/>
      </c>
    </row>
    <row r="209" spans="1:11" ht="30" customHeight="1" x14ac:dyDescent="0.25">
      <c r="A209" s="14">
        <v>45456</v>
      </c>
      <c r="B209" s="2" t="s">
        <v>158</v>
      </c>
      <c r="C209" s="22" t="s">
        <v>2512</v>
      </c>
      <c r="D209" s="111" t="s">
        <v>95</v>
      </c>
      <c r="E209" s="18" t="s">
        <v>2513</v>
      </c>
      <c r="F209" s="4" t="str">
        <f t="shared" si="9"/>
        <v>F24537B00022</v>
      </c>
      <c r="G209" s="4"/>
      <c r="H209" s="4" t="s">
        <v>2850</v>
      </c>
      <c r="J209" s="19" t="str">
        <f t="shared" si="10"/>
        <v>Nem Heineken Költség</v>
      </c>
      <c r="K209" s="2" t="str">
        <f t="shared" si="11"/>
        <v/>
      </c>
    </row>
    <row r="210" spans="1:11" ht="30" customHeight="1" x14ac:dyDescent="0.25">
      <c r="A210" s="14">
        <v>45456</v>
      </c>
      <c r="B210" s="2" t="s">
        <v>18</v>
      </c>
      <c r="C210" s="22" t="s">
        <v>2510</v>
      </c>
      <c r="D210" s="111" t="s">
        <v>95</v>
      </c>
      <c r="E210" s="18" t="s">
        <v>2511</v>
      </c>
      <c r="F210" s="4" t="str">
        <f t="shared" si="9"/>
        <v>EUB09D700992</v>
      </c>
      <c r="G210" s="4">
        <v>6649</v>
      </c>
      <c r="H210" s="4" t="s">
        <v>2852</v>
      </c>
      <c r="J210" s="19" t="str">
        <f t="shared" si="10"/>
        <v>Nem Heineken Költség</v>
      </c>
      <c r="K210" s="2" t="str">
        <f t="shared" si="11"/>
        <v/>
      </c>
    </row>
    <row r="211" spans="1:11" ht="30" customHeight="1" x14ac:dyDescent="0.25">
      <c r="A211" s="14">
        <v>45455</v>
      </c>
      <c r="B211" s="2" t="s">
        <v>2493</v>
      </c>
      <c r="C211" s="532" t="s">
        <v>2508</v>
      </c>
      <c r="D211" s="111" t="s">
        <v>95</v>
      </c>
      <c r="E211" s="18" t="s">
        <v>2509</v>
      </c>
      <c r="F211" s="4" t="str">
        <f t="shared" si="9"/>
        <v>Nincs Adat</v>
      </c>
      <c r="G211" s="4"/>
      <c r="H211" s="465" t="s">
        <v>2118</v>
      </c>
      <c r="I211" s="2" t="s">
        <v>1728</v>
      </c>
      <c r="J211" s="19" t="str">
        <f t="shared" si="10"/>
        <v>Nincs Po</v>
      </c>
      <c r="K211" s="2" t="s">
        <v>2118</v>
      </c>
    </row>
    <row r="212" spans="1:11" ht="30" customHeight="1" x14ac:dyDescent="0.25">
      <c r="A212" s="14">
        <v>45455</v>
      </c>
      <c r="B212" s="2" t="s">
        <v>18</v>
      </c>
      <c r="C212" s="22" t="s">
        <v>2506</v>
      </c>
      <c r="D212" s="111" t="s">
        <v>95</v>
      </c>
      <c r="E212" s="18" t="s">
        <v>2507</v>
      </c>
      <c r="F212" s="4" t="str">
        <f t="shared" si="9"/>
        <v>EUB09D700992</v>
      </c>
      <c r="G212" s="4">
        <v>6636</v>
      </c>
      <c r="H212" s="4" t="s">
        <v>2851</v>
      </c>
      <c r="J212" s="19" t="str">
        <f t="shared" si="10"/>
        <v>Nem Heineken Költség</v>
      </c>
      <c r="K212" s="2" t="str">
        <f t="shared" ref="K212:K226" si="12">IFERROR(VLOOKUP(E212,poprice,4,0),"")</f>
        <v/>
      </c>
    </row>
    <row r="213" spans="1:11" ht="30" customHeight="1" x14ac:dyDescent="0.25">
      <c r="A213" s="14">
        <v>45454</v>
      </c>
      <c r="B213" s="2" t="s">
        <v>19</v>
      </c>
      <c r="C213" s="22" t="s">
        <v>2504</v>
      </c>
      <c r="D213" s="111" t="s">
        <v>95</v>
      </c>
      <c r="E213" s="18" t="s">
        <v>2505</v>
      </c>
      <c r="F213" s="4" t="str">
        <f t="shared" si="9"/>
        <v>EUB09D700836</v>
      </c>
      <c r="G213" s="4">
        <v>5983</v>
      </c>
      <c r="H213" s="4" t="s">
        <v>2851</v>
      </c>
      <c r="J213" s="19" t="str">
        <f t="shared" si="10"/>
        <v>Nem Heineken Költség</v>
      </c>
      <c r="K213" s="2" t="str">
        <f t="shared" si="12"/>
        <v/>
      </c>
    </row>
    <row r="214" spans="1:11" ht="30" customHeight="1" x14ac:dyDescent="0.25">
      <c r="A214" s="14">
        <v>45454</v>
      </c>
      <c r="B214" s="2" t="s">
        <v>10</v>
      </c>
      <c r="C214" s="22" t="s">
        <v>2503</v>
      </c>
      <c r="D214" s="111" t="s">
        <v>95</v>
      </c>
      <c r="E214" s="18" t="s">
        <v>2502</v>
      </c>
      <c r="F214" s="4" t="str">
        <f t="shared" si="9"/>
        <v>EUB09D700794</v>
      </c>
      <c r="G214" s="4">
        <v>4211</v>
      </c>
      <c r="H214" s="4" t="s">
        <v>2852</v>
      </c>
      <c r="J214" s="19" t="str">
        <f t="shared" si="10"/>
        <v>Nem Heineken Költség</v>
      </c>
      <c r="K214" s="2" t="str">
        <f t="shared" si="12"/>
        <v/>
      </c>
    </row>
    <row r="215" spans="1:11" ht="30" customHeight="1" x14ac:dyDescent="0.25">
      <c r="A215" s="14">
        <v>45453</v>
      </c>
      <c r="B215" s="2" t="s">
        <v>27</v>
      </c>
      <c r="C215" s="22" t="s">
        <v>2500</v>
      </c>
      <c r="D215" s="111" t="s">
        <v>95</v>
      </c>
      <c r="E215" s="18" t="s">
        <v>2501</v>
      </c>
      <c r="F215" s="4" t="str">
        <f t="shared" si="9"/>
        <v>Nincs Adat</v>
      </c>
      <c r="G215" s="4"/>
      <c r="H215" s="4" t="s">
        <v>2852</v>
      </c>
      <c r="J215" s="19" t="str">
        <f t="shared" si="10"/>
        <v>Nem Heineken Költség</v>
      </c>
      <c r="K215" s="2" t="str">
        <f t="shared" si="12"/>
        <v/>
      </c>
    </row>
    <row r="216" spans="1:11" ht="30" customHeight="1" x14ac:dyDescent="0.25">
      <c r="A216" s="14">
        <v>45453</v>
      </c>
      <c r="B216" s="2" t="s">
        <v>4</v>
      </c>
      <c r="C216" s="22" t="s">
        <v>2498</v>
      </c>
      <c r="D216" s="111" t="s">
        <v>95</v>
      </c>
      <c r="E216" s="18" t="s">
        <v>2499</v>
      </c>
      <c r="F216" s="4" t="str">
        <f t="shared" si="9"/>
        <v>JAG2N1E701604</v>
      </c>
      <c r="G216" s="4">
        <v>2207</v>
      </c>
      <c r="H216" s="4" t="s">
        <v>2850</v>
      </c>
      <c r="J216" s="19" t="str">
        <f t="shared" si="10"/>
        <v>Nem Heineken Költség</v>
      </c>
      <c r="K216" s="2" t="str">
        <f t="shared" si="12"/>
        <v/>
      </c>
    </row>
    <row r="217" spans="1:11" ht="30" customHeight="1" x14ac:dyDescent="0.25">
      <c r="A217" s="14">
        <v>45453</v>
      </c>
      <c r="B217" s="2" t="s">
        <v>71</v>
      </c>
      <c r="C217" s="22" t="s">
        <v>2496</v>
      </c>
      <c r="D217" s="111" t="s">
        <v>95</v>
      </c>
      <c r="E217" s="18" t="s">
        <v>2497</v>
      </c>
      <c r="F217" s="4" t="str">
        <f t="shared" si="9"/>
        <v>Nincs Adat</v>
      </c>
      <c r="G217" s="4"/>
      <c r="H217" s="4" t="s">
        <v>2850</v>
      </c>
      <c r="J217" s="19" t="str">
        <f t="shared" si="10"/>
        <v>Nem Heineken Költség</v>
      </c>
      <c r="K217" s="2" t="str">
        <f t="shared" si="12"/>
        <v/>
      </c>
    </row>
    <row r="218" spans="1:11" ht="30" customHeight="1" x14ac:dyDescent="0.25">
      <c r="A218" s="14">
        <v>45453</v>
      </c>
      <c r="B218" s="2" t="s">
        <v>18</v>
      </c>
      <c r="C218" s="22" t="s">
        <v>2495</v>
      </c>
      <c r="D218" s="111" t="s">
        <v>95</v>
      </c>
      <c r="E218" s="18" t="s">
        <v>2494</v>
      </c>
      <c r="F218" s="4" t="str">
        <f t="shared" si="9"/>
        <v>EUB09D700992</v>
      </c>
      <c r="G218" s="4"/>
      <c r="H218" s="4" t="s">
        <v>2851</v>
      </c>
      <c r="J218" s="19" t="str">
        <f t="shared" si="10"/>
        <v>Nem Heineken Költség</v>
      </c>
      <c r="K218" s="2" t="str">
        <f t="shared" si="12"/>
        <v/>
      </c>
    </row>
    <row r="219" spans="1:11" ht="30" customHeight="1" x14ac:dyDescent="0.25">
      <c r="A219" s="14">
        <v>45453</v>
      </c>
      <c r="B219" s="2" t="s">
        <v>2493</v>
      </c>
      <c r="C219" s="22" t="s">
        <v>2492</v>
      </c>
      <c r="D219" s="111" t="s">
        <v>95</v>
      </c>
      <c r="E219" s="18" t="s">
        <v>2491</v>
      </c>
      <c r="F219" s="4" t="str">
        <f t="shared" si="9"/>
        <v>Nincs Adat</v>
      </c>
      <c r="G219" s="4"/>
      <c r="H219" s="4" t="s">
        <v>2852</v>
      </c>
      <c r="J219" s="19" t="str">
        <f t="shared" si="10"/>
        <v>Nem Heineken Költség</v>
      </c>
      <c r="K219" s="2" t="str">
        <f t="shared" si="12"/>
        <v/>
      </c>
    </row>
    <row r="220" spans="1:11" ht="49.9" customHeight="1" x14ac:dyDescent="0.25">
      <c r="A220" s="14">
        <v>45450</v>
      </c>
      <c r="B220" s="2" t="s">
        <v>87</v>
      </c>
      <c r="C220" s="22" t="s">
        <v>2490</v>
      </c>
      <c r="D220" s="111" t="s">
        <v>95</v>
      </c>
      <c r="E220" s="18" t="s">
        <v>2489</v>
      </c>
      <c r="F220" s="4" t="str">
        <f t="shared" si="9"/>
        <v>Nincs Adat</v>
      </c>
      <c r="G220" s="4"/>
      <c r="H220" s="4" t="s">
        <v>2850</v>
      </c>
      <c r="J220" s="19" t="str">
        <f t="shared" si="10"/>
        <v>Nem Heineken Költség</v>
      </c>
      <c r="K220" s="2" t="str">
        <f t="shared" si="12"/>
        <v/>
      </c>
    </row>
    <row r="221" spans="1:11" ht="30" customHeight="1" x14ac:dyDescent="0.25">
      <c r="A221" s="14">
        <v>45450</v>
      </c>
      <c r="B221" s="2" t="s">
        <v>6</v>
      </c>
      <c r="C221" s="22" t="s">
        <v>2487</v>
      </c>
      <c r="D221" s="111" t="s">
        <v>95</v>
      </c>
      <c r="E221" s="18" t="s">
        <v>2488</v>
      </c>
      <c r="F221" s="4" t="str">
        <f t="shared" si="9"/>
        <v>EUB09D700742</v>
      </c>
      <c r="G221" s="4">
        <v>5798</v>
      </c>
      <c r="H221" s="4" t="s">
        <v>2851</v>
      </c>
      <c r="J221" s="19" t="str">
        <f t="shared" si="10"/>
        <v>Nem Heineken Költség</v>
      </c>
      <c r="K221" s="2" t="str">
        <f t="shared" si="12"/>
        <v/>
      </c>
    </row>
    <row r="222" spans="1:11" ht="30" customHeight="1" x14ac:dyDescent="0.25">
      <c r="A222" s="14">
        <v>45450</v>
      </c>
      <c r="B222" s="2" t="s">
        <v>2476</v>
      </c>
      <c r="C222" s="35" t="s">
        <v>2486</v>
      </c>
      <c r="D222" s="111" t="s">
        <v>95</v>
      </c>
      <c r="E222" s="18" t="s">
        <v>2485</v>
      </c>
      <c r="F222" s="4" t="str">
        <f t="shared" si="9"/>
        <v>Nincs Adat</v>
      </c>
      <c r="G222" s="4"/>
      <c r="H222" s="4"/>
      <c r="I222" s="2" t="s">
        <v>1728</v>
      </c>
      <c r="J222" s="19" t="str">
        <f t="shared" si="10"/>
        <v>SM-2024/7252</v>
      </c>
      <c r="K222" s="2">
        <f t="shared" si="12"/>
        <v>361.7</v>
      </c>
    </row>
    <row r="223" spans="1:11" ht="30" customHeight="1" x14ac:dyDescent="0.25">
      <c r="A223" s="14">
        <v>45449</v>
      </c>
      <c r="B223" s="2" t="s">
        <v>78</v>
      </c>
      <c r="C223" s="22" t="s">
        <v>2484</v>
      </c>
      <c r="D223" s="111" t="s">
        <v>95</v>
      </c>
      <c r="E223" s="18" t="s">
        <v>2483</v>
      </c>
      <c r="F223" s="4" t="str">
        <f t="shared" si="9"/>
        <v>PTP200R239152</v>
      </c>
      <c r="G223" s="4"/>
      <c r="H223" s="4" t="s">
        <v>2850</v>
      </c>
      <c r="J223" s="19" t="str">
        <f t="shared" si="10"/>
        <v>Nem Heineken Költség</v>
      </c>
      <c r="K223" s="2" t="str">
        <f t="shared" si="12"/>
        <v/>
      </c>
    </row>
    <row r="224" spans="1:11" ht="30" customHeight="1" x14ac:dyDescent="0.25">
      <c r="A224" s="14">
        <v>45447</v>
      </c>
      <c r="B224" s="2" t="s">
        <v>5</v>
      </c>
      <c r="C224" s="22" t="s">
        <v>2481</v>
      </c>
      <c r="D224" s="111" t="s">
        <v>95</v>
      </c>
      <c r="E224" s="18" t="s">
        <v>2482</v>
      </c>
      <c r="F224" s="4" t="str">
        <f t="shared" si="9"/>
        <v>JAG2N1E701603</v>
      </c>
      <c r="G224" s="4">
        <v>1900</v>
      </c>
      <c r="H224" s="4"/>
      <c r="I224" s="2" t="s">
        <v>1728</v>
      </c>
      <c r="J224" s="19" t="str">
        <f t="shared" si="10"/>
        <v>SM-2024/7043</v>
      </c>
      <c r="K224" s="2">
        <f t="shared" si="12"/>
        <v>145.80000000000001</v>
      </c>
    </row>
    <row r="225" spans="1:11" ht="30" customHeight="1" x14ac:dyDescent="0.25">
      <c r="A225" s="14">
        <v>45447</v>
      </c>
      <c r="B225" s="2" t="s">
        <v>2</v>
      </c>
      <c r="C225" s="22" t="s">
        <v>2474</v>
      </c>
      <c r="D225" s="111" t="s">
        <v>95</v>
      </c>
      <c r="E225" s="18" t="s">
        <v>2480</v>
      </c>
      <c r="F225" s="4" t="str">
        <f t="shared" si="9"/>
        <v>JA2N1E700427</v>
      </c>
      <c r="G225" s="4">
        <v>2490</v>
      </c>
      <c r="H225" s="4"/>
      <c r="I225" s="2" t="s">
        <v>1728</v>
      </c>
      <c r="J225" s="19" t="str">
        <f t="shared" si="10"/>
        <v>SM-2024/7045</v>
      </c>
      <c r="K225" s="2">
        <f t="shared" si="12"/>
        <v>59.69</v>
      </c>
    </row>
    <row r="226" spans="1:11" ht="30" customHeight="1" x14ac:dyDescent="0.25">
      <c r="A226" s="14">
        <v>45447</v>
      </c>
      <c r="B226" s="2" t="s">
        <v>3</v>
      </c>
      <c r="C226" s="22" t="s">
        <v>2474</v>
      </c>
      <c r="D226" s="111" t="s">
        <v>95</v>
      </c>
      <c r="E226" s="18" t="s">
        <v>2475</v>
      </c>
      <c r="F226" s="4" t="str">
        <f t="shared" si="9"/>
        <v>JA2N1E700428</v>
      </c>
      <c r="G226" s="4">
        <v>2180</v>
      </c>
      <c r="H226" s="4"/>
      <c r="I226" s="2" t="s">
        <v>1728</v>
      </c>
      <c r="J226" s="19" t="str">
        <f t="shared" si="10"/>
        <v>SM-2024/7047</v>
      </c>
      <c r="K226" s="2">
        <f t="shared" si="12"/>
        <v>59.69</v>
      </c>
    </row>
    <row r="227" spans="1:11" ht="30" customHeight="1" x14ac:dyDescent="0.25">
      <c r="A227" s="14">
        <v>45447</v>
      </c>
      <c r="B227" s="2" t="s">
        <v>2471</v>
      </c>
      <c r="C227" s="22" t="s">
        <v>2472</v>
      </c>
      <c r="D227" s="111" t="s">
        <v>95</v>
      </c>
      <c r="E227" s="18" t="s">
        <v>2473</v>
      </c>
      <c r="F227" s="4" t="str">
        <f t="shared" si="9"/>
        <v>Nincs Adat</v>
      </c>
      <c r="G227" s="4"/>
      <c r="H227" s="465" t="s">
        <v>2118</v>
      </c>
      <c r="I227" s="2" t="s">
        <v>1728</v>
      </c>
      <c r="J227" s="19" t="str">
        <f t="shared" si="10"/>
        <v>Nincs Po</v>
      </c>
      <c r="K227" s="2" t="s">
        <v>2118</v>
      </c>
    </row>
    <row r="228" spans="1:11" ht="30" customHeight="1" x14ac:dyDescent="0.25">
      <c r="A228" s="14">
        <v>45447</v>
      </c>
      <c r="B228" s="2" t="s">
        <v>130</v>
      </c>
      <c r="C228" s="22" t="s">
        <v>2469</v>
      </c>
      <c r="D228" s="111" t="s">
        <v>95</v>
      </c>
      <c r="E228" s="18" t="s">
        <v>2470</v>
      </c>
      <c r="F228" s="4" t="str">
        <f t="shared" si="9"/>
        <v>Nincs Adat</v>
      </c>
      <c r="G228" s="4"/>
      <c r="H228" s="4"/>
      <c r="J228" s="19" t="str">
        <f t="shared" si="10"/>
        <v>Nem Heineken Költség</v>
      </c>
      <c r="K228" s="2" t="str">
        <f t="shared" ref="K228:K268" si="13">IFERROR(VLOOKUP(E228,poprice,4,0),"")</f>
        <v/>
      </c>
    </row>
    <row r="229" spans="1:11" ht="49.9" customHeight="1" x14ac:dyDescent="0.25">
      <c r="A229" s="14">
        <v>45446</v>
      </c>
      <c r="B229" s="2" t="s">
        <v>77</v>
      </c>
      <c r="C229" s="22" t="s">
        <v>2466</v>
      </c>
      <c r="D229" s="111" t="s">
        <v>95</v>
      </c>
      <c r="E229" s="18" t="s">
        <v>2467</v>
      </c>
      <c r="F229" s="4" t="str">
        <f t="shared" si="9"/>
        <v>PTP200R239151</v>
      </c>
      <c r="G229" s="4">
        <v>1197</v>
      </c>
      <c r="H229" s="4"/>
      <c r="J229" s="19" t="str">
        <f t="shared" si="10"/>
        <v>Nem Heineken Költség</v>
      </c>
      <c r="K229" s="2" t="str">
        <f t="shared" si="13"/>
        <v/>
      </c>
    </row>
    <row r="230" spans="1:11" ht="30" customHeight="1" x14ac:dyDescent="0.25">
      <c r="A230" s="14">
        <v>45446</v>
      </c>
      <c r="B230" s="2" t="s">
        <v>80</v>
      </c>
      <c r="C230" s="22" t="s">
        <v>2464</v>
      </c>
      <c r="D230" s="111" t="s">
        <v>95</v>
      </c>
      <c r="E230" s="18" t="s">
        <v>2465</v>
      </c>
      <c r="F230" s="4" t="str">
        <f t="shared" si="9"/>
        <v>PTP200R239154</v>
      </c>
      <c r="G230" s="4">
        <v>143</v>
      </c>
      <c r="H230" s="4"/>
      <c r="J230" s="19" t="str">
        <f t="shared" si="10"/>
        <v>Nem Heineken Költség</v>
      </c>
      <c r="K230" s="2" t="str">
        <f t="shared" si="13"/>
        <v/>
      </c>
    </row>
    <row r="231" spans="1:11" ht="30" customHeight="1" x14ac:dyDescent="0.25">
      <c r="A231" s="14">
        <v>45446</v>
      </c>
      <c r="B231" s="2" t="s">
        <v>891</v>
      </c>
      <c r="C231" s="22" t="s">
        <v>2462</v>
      </c>
      <c r="D231" s="111" t="s">
        <v>95</v>
      </c>
      <c r="E231" s="18" t="s">
        <v>2463</v>
      </c>
      <c r="F231" s="4">
        <f t="shared" si="9"/>
        <v>10817</v>
      </c>
      <c r="G231" s="4">
        <v>257</v>
      </c>
      <c r="H231" s="4"/>
      <c r="J231" s="19" t="str">
        <f t="shared" si="10"/>
        <v>Nem Heineken Költség</v>
      </c>
      <c r="K231" s="2" t="str">
        <f t="shared" si="13"/>
        <v/>
      </c>
    </row>
    <row r="232" spans="1:11" ht="30" customHeight="1" x14ac:dyDescent="0.25">
      <c r="A232" s="14">
        <v>45446</v>
      </c>
      <c r="B232" s="2" t="s">
        <v>14</v>
      </c>
      <c r="C232" s="22" t="s">
        <v>2460</v>
      </c>
      <c r="D232" s="111" t="s">
        <v>95</v>
      </c>
      <c r="E232" s="18" t="s">
        <v>2461</v>
      </c>
      <c r="F232" s="4" t="str">
        <f t="shared" si="9"/>
        <v>EUB09D700269</v>
      </c>
      <c r="G232" s="4">
        <v>4165</v>
      </c>
      <c r="H232" s="4" t="s">
        <v>2852</v>
      </c>
      <c r="J232" s="19" t="str">
        <f t="shared" si="10"/>
        <v>Nem Heineken Költség</v>
      </c>
      <c r="K232" s="2" t="str">
        <f t="shared" si="13"/>
        <v/>
      </c>
    </row>
    <row r="233" spans="1:11" ht="30" customHeight="1" x14ac:dyDescent="0.25">
      <c r="A233" s="14">
        <v>45443</v>
      </c>
      <c r="B233" s="2" t="s">
        <v>24</v>
      </c>
      <c r="C233" s="22" t="s">
        <v>2458</v>
      </c>
      <c r="D233" s="111" t="s">
        <v>95</v>
      </c>
      <c r="E233" s="18" t="s">
        <v>2459</v>
      </c>
      <c r="F233" s="4" t="str">
        <f t="shared" si="9"/>
        <v>EUB09D700704</v>
      </c>
      <c r="G233" s="4">
        <v>3039</v>
      </c>
      <c r="H233" s="4"/>
      <c r="I233" s="2" t="s">
        <v>1728</v>
      </c>
      <c r="J233" s="19" t="str">
        <f t="shared" si="10"/>
        <v>SM-2024/6899</v>
      </c>
      <c r="K233" s="2">
        <f t="shared" si="13"/>
        <v>145.80000000000001</v>
      </c>
    </row>
    <row r="234" spans="1:11" ht="30" customHeight="1" x14ac:dyDescent="0.25">
      <c r="A234" s="14">
        <v>45443</v>
      </c>
      <c r="B234" s="2" t="s">
        <v>25</v>
      </c>
      <c r="C234" s="22" t="s">
        <v>2456</v>
      </c>
      <c r="D234" s="111" t="s">
        <v>95</v>
      </c>
      <c r="E234" s="18" t="s">
        <v>2457</v>
      </c>
      <c r="F234" s="4" t="str">
        <f t="shared" si="9"/>
        <v>EUB09D700741</v>
      </c>
      <c r="G234" s="4">
        <v>2950</v>
      </c>
      <c r="H234" s="4"/>
      <c r="I234" s="2" t="s">
        <v>1728</v>
      </c>
      <c r="J234" s="19" t="str">
        <f t="shared" si="10"/>
        <v>SM-2024/6900</v>
      </c>
      <c r="K234" s="2">
        <f t="shared" si="13"/>
        <v>59.69</v>
      </c>
    </row>
    <row r="235" spans="1:11" ht="30" customHeight="1" x14ac:dyDescent="0.25">
      <c r="A235" s="14">
        <v>45443</v>
      </c>
      <c r="B235" s="2" t="s">
        <v>26</v>
      </c>
      <c r="C235" s="22" t="s">
        <v>2454</v>
      </c>
      <c r="D235" s="111" t="s">
        <v>95</v>
      </c>
      <c r="E235" s="18" t="s">
        <v>2455</v>
      </c>
      <c r="F235" s="4" t="str">
        <f t="shared" si="9"/>
        <v>EFC09D60002</v>
      </c>
      <c r="G235" s="4">
        <v>6329</v>
      </c>
      <c r="H235" s="4"/>
      <c r="I235" s="2" t="s">
        <v>1728</v>
      </c>
      <c r="J235" s="19" t="str">
        <f t="shared" si="10"/>
        <v>SM-2024/6904</v>
      </c>
      <c r="K235" s="2">
        <f t="shared" si="13"/>
        <v>59.69</v>
      </c>
    </row>
    <row r="236" spans="1:11" ht="30" customHeight="1" x14ac:dyDescent="0.25">
      <c r="A236" s="14">
        <v>45443</v>
      </c>
      <c r="B236" s="2" t="s">
        <v>4</v>
      </c>
      <c r="C236" s="22" t="s">
        <v>2452</v>
      </c>
      <c r="D236" s="111" t="s">
        <v>95</v>
      </c>
      <c r="E236" s="18" t="s">
        <v>2453</v>
      </c>
      <c r="F236" s="4" t="str">
        <f t="shared" si="9"/>
        <v>JAG2N1E701604</v>
      </c>
      <c r="G236" s="4">
        <v>2092</v>
      </c>
      <c r="H236" s="4"/>
      <c r="I236" s="2" t="s">
        <v>1728</v>
      </c>
      <c r="J236" s="19" t="str">
        <f t="shared" si="10"/>
        <v>SM-2024/6905</v>
      </c>
      <c r="K236" s="2">
        <f t="shared" si="13"/>
        <v>59.69</v>
      </c>
    </row>
    <row r="237" spans="1:11" ht="30" customHeight="1" x14ac:dyDescent="0.25">
      <c r="A237" s="14">
        <v>45443</v>
      </c>
      <c r="B237" s="2" t="s">
        <v>2449</v>
      </c>
      <c r="C237" s="22" t="s">
        <v>2447</v>
      </c>
      <c r="D237" s="111" t="s">
        <v>95</v>
      </c>
      <c r="E237" s="18" t="s">
        <v>2448</v>
      </c>
      <c r="F237" s="4" t="str">
        <f t="shared" si="9"/>
        <v>RCB12B20003</v>
      </c>
      <c r="G237" s="4">
        <v>21</v>
      </c>
      <c r="H237" s="4"/>
      <c r="J237" s="19" t="str">
        <f t="shared" si="10"/>
        <v>Nem Heineken Költség</v>
      </c>
      <c r="K237" s="2" t="str">
        <f t="shared" si="13"/>
        <v/>
      </c>
    </row>
    <row r="238" spans="1:11" ht="30" customHeight="1" x14ac:dyDescent="0.25">
      <c r="A238" s="14">
        <v>45443</v>
      </c>
      <c r="B238" s="2" t="s">
        <v>1226</v>
      </c>
      <c r="C238" s="22" t="s">
        <v>2445</v>
      </c>
      <c r="D238" s="111" t="s">
        <v>95</v>
      </c>
      <c r="E238" s="18" t="s">
        <v>2446</v>
      </c>
      <c r="F238" s="4" t="str">
        <f t="shared" si="9"/>
        <v>Nincs Adat</v>
      </c>
      <c r="G238" s="4"/>
      <c r="H238" s="4" t="s">
        <v>2850</v>
      </c>
      <c r="J238" s="19" t="str">
        <f t="shared" si="10"/>
        <v>Nem Heineken Költség</v>
      </c>
      <c r="K238" s="2" t="str">
        <f t="shared" si="13"/>
        <v/>
      </c>
    </row>
    <row r="239" spans="1:11" ht="30" customHeight="1" x14ac:dyDescent="0.25">
      <c r="A239" s="14">
        <v>45443</v>
      </c>
      <c r="B239" s="2" t="s">
        <v>83</v>
      </c>
      <c r="C239" s="22" t="s">
        <v>2443</v>
      </c>
      <c r="D239" s="111" t="s">
        <v>95</v>
      </c>
      <c r="E239" s="18" t="s">
        <v>2444</v>
      </c>
      <c r="F239" s="4" t="str">
        <f t="shared" si="9"/>
        <v>Nincs Adat</v>
      </c>
      <c r="G239" s="4"/>
      <c r="H239" s="4" t="s">
        <v>2850</v>
      </c>
      <c r="J239" s="19" t="str">
        <f t="shared" si="10"/>
        <v>Nem Heineken Költség</v>
      </c>
      <c r="K239" s="2" t="str">
        <f t="shared" si="13"/>
        <v/>
      </c>
    </row>
    <row r="240" spans="1:11" ht="30" customHeight="1" x14ac:dyDescent="0.25">
      <c r="A240" s="14">
        <v>45442</v>
      </c>
      <c r="B240" s="2" t="s">
        <v>144</v>
      </c>
      <c r="C240" s="22" t="s">
        <v>2441</v>
      </c>
      <c r="D240" s="111" t="s">
        <v>95</v>
      </c>
      <c r="E240" s="18" t="s">
        <v>2442</v>
      </c>
      <c r="F240" s="4" t="str">
        <f t="shared" si="9"/>
        <v>Nincs Adat</v>
      </c>
      <c r="G240" s="4">
        <v>3066</v>
      </c>
      <c r="H240" s="4" t="s">
        <v>2850</v>
      </c>
      <c r="J240" s="19" t="str">
        <f t="shared" si="10"/>
        <v>Nem Heineken Költség</v>
      </c>
      <c r="K240" s="2" t="str">
        <f t="shared" si="13"/>
        <v/>
      </c>
    </row>
    <row r="241" spans="1:11" ht="30" customHeight="1" x14ac:dyDescent="0.25">
      <c r="A241" s="14">
        <v>45442</v>
      </c>
      <c r="B241" s="2" t="s">
        <v>2438</v>
      </c>
      <c r="C241" s="22" t="s">
        <v>2439</v>
      </c>
      <c r="D241" s="111" t="s">
        <v>95</v>
      </c>
      <c r="E241" s="18" t="s">
        <v>2440</v>
      </c>
      <c r="F241" s="4" t="str">
        <f t="shared" si="9"/>
        <v>Nincs Adat</v>
      </c>
      <c r="G241" s="4">
        <v>4</v>
      </c>
      <c r="H241" s="4"/>
      <c r="J241" s="19" t="str">
        <f t="shared" si="10"/>
        <v>Nem Heineken Költség</v>
      </c>
      <c r="K241" s="2" t="str">
        <f t="shared" si="13"/>
        <v/>
      </c>
    </row>
    <row r="242" spans="1:11" ht="30" customHeight="1" x14ac:dyDescent="0.25">
      <c r="A242" s="14">
        <v>45440</v>
      </c>
      <c r="B242" s="2" t="s">
        <v>20</v>
      </c>
      <c r="C242" s="22" t="s">
        <v>2436</v>
      </c>
      <c r="D242" s="111" t="s">
        <v>95</v>
      </c>
      <c r="E242" s="18" t="s">
        <v>2437</v>
      </c>
      <c r="F242" s="4" t="str">
        <f t="shared" si="9"/>
        <v>EUB09D700832</v>
      </c>
      <c r="G242" s="4">
        <v>4100</v>
      </c>
      <c r="H242" s="4"/>
      <c r="I242" s="2" t="s">
        <v>1728</v>
      </c>
      <c r="J242" s="19" t="str">
        <f t="shared" si="10"/>
        <v>SM-2024/6664</v>
      </c>
      <c r="K242" s="2">
        <f t="shared" si="13"/>
        <v>59.69</v>
      </c>
    </row>
    <row r="243" spans="1:11" ht="30" customHeight="1" x14ac:dyDescent="0.25">
      <c r="A243" s="14">
        <v>45440</v>
      </c>
      <c r="B243" s="2" t="s">
        <v>21</v>
      </c>
      <c r="C243" s="22" t="s">
        <v>2434</v>
      </c>
      <c r="D243" s="111" t="s">
        <v>95</v>
      </c>
      <c r="E243" s="18" t="s">
        <v>2435</v>
      </c>
      <c r="F243" s="4" t="str">
        <f t="shared" si="9"/>
        <v>EUB09D700842</v>
      </c>
      <c r="G243" s="4">
        <v>4934</v>
      </c>
      <c r="H243" s="4"/>
      <c r="I243" s="2" t="s">
        <v>1728</v>
      </c>
      <c r="J243" s="19" t="str">
        <f t="shared" si="10"/>
        <v>SM-2024/6665</v>
      </c>
      <c r="K243" s="2">
        <f t="shared" si="13"/>
        <v>59.69</v>
      </c>
    </row>
    <row r="244" spans="1:11" ht="30" customHeight="1" x14ac:dyDescent="0.25">
      <c r="A244" s="14">
        <v>45440</v>
      </c>
      <c r="B244" s="2" t="s">
        <v>22</v>
      </c>
      <c r="C244" s="22" t="s">
        <v>2432</v>
      </c>
      <c r="D244" s="111" t="s">
        <v>95</v>
      </c>
      <c r="E244" s="18" t="s">
        <v>2433</v>
      </c>
      <c r="F244" s="4" t="str">
        <f t="shared" si="9"/>
        <v>EUB09D700838</v>
      </c>
      <c r="G244" s="4">
        <v>2863</v>
      </c>
      <c r="H244" s="4"/>
      <c r="I244" s="2" t="s">
        <v>1728</v>
      </c>
      <c r="J244" s="19" t="str">
        <f t="shared" si="10"/>
        <v>SM-2024/6666</v>
      </c>
      <c r="K244" s="2">
        <f t="shared" si="13"/>
        <v>59.69</v>
      </c>
    </row>
    <row r="245" spans="1:11" ht="30" customHeight="1" x14ac:dyDescent="0.25">
      <c r="A245" s="14">
        <v>45440</v>
      </c>
      <c r="B245" s="2" t="s">
        <v>23</v>
      </c>
      <c r="C245" s="22" t="s">
        <v>2430</v>
      </c>
      <c r="D245" s="111" t="s">
        <v>95</v>
      </c>
      <c r="E245" s="18" t="s">
        <v>2431</v>
      </c>
      <c r="F245" s="4" t="str">
        <f t="shared" si="9"/>
        <v>EUB09D700740</v>
      </c>
      <c r="G245" s="4">
        <v>2365</v>
      </c>
      <c r="H245" s="4"/>
      <c r="I245" s="2" t="s">
        <v>1728</v>
      </c>
      <c r="J245" s="19" t="str">
        <f t="shared" si="10"/>
        <v>SM-2024/6667</v>
      </c>
      <c r="K245" s="2">
        <f t="shared" si="13"/>
        <v>59.69</v>
      </c>
    </row>
    <row r="246" spans="1:11" ht="30" customHeight="1" x14ac:dyDescent="0.25">
      <c r="A246" s="14">
        <v>45440</v>
      </c>
      <c r="B246" s="2" t="s">
        <v>142</v>
      </c>
      <c r="C246" s="35" t="s">
        <v>2428</v>
      </c>
      <c r="D246" s="111" t="s">
        <v>95</v>
      </c>
      <c r="E246" s="18" t="s">
        <v>2429</v>
      </c>
      <c r="F246" s="4" t="str">
        <f t="shared" si="9"/>
        <v>LO20N2RCB13B00112</v>
      </c>
      <c r="G246" s="4">
        <v>2039</v>
      </c>
      <c r="H246" s="4"/>
      <c r="I246" s="2" t="s">
        <v>1728</v>
      </c>
      <c r="J246" s="19" t="str">
        <f t="shared" si="10"/>
        <v>SM-2024/6669</v>
      </c>
      <c r="K246" s="2">
        <f t="shared" si="13"/>
        <v>446.61</v>
      </c>
    </row>
    <row r="247" spans="1:11" ht="30" customHeight="1" x14ac:dyDescent="0.25">
      <c r="A247" s="14">
        <v>45440</v>
      </c>
      <c r="B247" s="2" t="s">
        <v>80</v>
      </c>
      <c r="C247" s="22" t="s">
        <v>2426</v>
      </c>
      <c r="D247" s="111" t="s">
        <v>95</v>
      </c>
      <c r="E247" s="18" t="s">
        <v>2427</v>
      </c>
      <c r="F247" s="4" t="str">
        <f t="shared" si="9"/>
        <v>PTP200R239154</v>
      </c>
      <c r="G247" s="4">
        <v>117</v>
      </c>
      <c r="H247" s="4"/>
      <c r="I247" s="2" t="s">
        <v>1728</v>
      </c>
      <c r="J247" s="19" t="str">
        <f t="shared" si="10"/>
        <v>SM-2024/6670</v>
      </c>
      <c r="K247" s="2">
        <f t="shared" si="13"/>
        <v>187.48</v>
      </c>
    </row>
    <row r="248" spans="1:11" ht="30" customHeight="1" x14ac:dyDescent="0.25">
      <c r="A248" s="14">
        <v>45435</v>
      </c>
      <c r="B248" s="2" t="s">
        <v>6</v>
      </c>
      <c r="C248" s="22" t="s">
        <v>2424</v>
      </c>
      <c r="D248" s="111" t="s">
        <v>95</v>
      </c>
      <c r="E248" s="18" t="s">
        <v>2425</v>
      </c>
      <c r="F248" s="4" t="str">
        <f t="shared" si="9"/>
        <v>EUB09D700742</v>
      </c>
      <c r="G248" s="4">
        <v>5653</v>
      </c>
      <c r="H248" s="4" t="s">
        <v>2851</v>
      </c>
      <c r="J248" s="19" t="str">
        <f t="shared" si="10"/>
        <v>Nem Heineken Költség</v>
      </c>
      <c r="K248" s="2" t="str">
        <f t="shared" si="13"/>
        <v/>
      </c>
    </row>
    <row r="249" spans="1:11" ht="30" customHeight="1" x14ac:dyDescent="0.25">
      <c r="A249" s="14">
        <v>45435</v>
      </c>
      <c r="B249" s="2" t="s">
        <v>153</v>
      </c>
      <c r="C249" s="35" t="s">
        <v>2422</v>
      </c>
      <c r="D249" s="111" t="s">
        <v>95</v>
      </c>
      <c r="E249" s="18" t="s">
        <v>2423</v>
      </c>
      <c r="F249" s="4" t="str">
        <f t="shared" si="9"/>
        <v>Nincs Adat</v>
      </c>
      <c r="G249" s="4">
        <v>93</v>
      </c>
      <c r="H249" s="465" t="s">
        <v>2118</v>
      </c>
      <c r="I249" s="2" t="s">
        <v>1728</v>
      </c>
      <c r="J249" s="19" t="str">
        <f t="shared" si="10"/>
        <v>Nincs Po</v>
      </c>
      <c r="K249" s="2" t="str">
        <f t="shared" si="13"/>
        <v/>
      </c>
    </row>
    <row r="250" spans="1:11" ht="30" customHeight="1" x14ac:dyDescent="0.25">
      <c r="A250" s="14">
        <v>45435</v>
      </c>
      <c r="B250" s="2" t="s">
        <v>25</v>
      </c>
      <c r="C250" s="22" t="s">
        <v>2420</v>
      </c>
      <c r="D250" s="111" t="s">
        <v>95</v>
      </c>
      <c r="E250" s="18" t="s">
        <v>2421</v>
      </c>
      <c r="F250" s="4" t="str">
        <f t="shared" si="9"/>
        <v>EUB09D700741</v>
      </c>
      <c r="G250" s="4">
        <v>2972</v>
      </c>
      <c r="H250" s="4" t="s">
        <v>2851</v>
      </c>
      <c r="J250" s="19" t="str">
        <f t="shared" si="10"/>
        <v>Nem Heineken Költség</v>
      </c>
      <c r="K250" s="2" t="str">
        <f t="shared" si="13"/>
        <v/>
      </c>
    </row>
    <row r="251" spans="1:11" ht="30" customHeight="1" x14ac:dyDescent="0.25">
      <c r="A251" s="14">
        <v>45435</v>
      </c>
      <c r="B251" s="2" t="s">
        <v>7</v>
      </c>
      <c r="C251" s="22" t="s">
        <v>2418</v>
      </c>
      <c r="D251" s="111" t="s">
        <v>95</v>
      </c>
      <c r="E251" s="18" t="s">
        <v>2419</v>
      </c>
      <c r="F251" s="4" t="str">
        <f t="shared" si="9"/>
        <v>EUB09D700743</v>
      </c>
      <c r="G251" s="4">
        <v>5227</v>
      </c>
      <c r="H251" s="4" t="s">
        <v>2852</v>
      </c>
      <c r="J251" s="19" t="str">
        <f t="shared" si="10"/>
        <v>Nem Heineken Költség</v>
      </c>
      <c r="K251" s="2" t="str">
        <f t="shared" si="13"/>
        <v/>
      </c>
    </row>
    <row r="252" spans="1:11" ht="30" customHeight="1" x14ac:dyDescent="0.25">
      <c r="A252" s="14">
        <v>45434</v>
      </c>
      <c r="B252" s="2" t="s">
        <v>142</v>
      </c>
      <c r="C252" s="35" t="s">
        <v>2416</v>
      </c>
      <c r="D252" s="111" t="s">
        <v>95</v>
      </c>
      <c r="E252" s="18" t="s">
        <v>2417</v>
      </c>
      <c r="F252" s="4" t="str">
        <f t="shared" si="9"/>
        <v>LO20N2RCB13B00112</v>
      </c>
      <c r="G252" s="4">
        <v>2031</v>
      </c>
      <c r="H252" s="4" t="s">
        <v>2851</v>
      </c>
      <c r="I252" s="2" t="s">
        <v>1728</v>
      </c>
      <c r="J252" s="19" t="str">
        <f t="shared" si="10"/>
        <v>SM-2024/6396</v>
      </c>
      <c r="K252" s="2">
        <f t="shared" si="13"/>
        <v>286.23</v>
      </c>
    </row>
    <row r="253" spans="1:11" ht="30" customHeight="1" x14ac:dyDescent="0.25">
      <c r="A253" s="14">
        <v>45434</v>
      </c>
      <c r="B253" s="2" t="s">
        <v>77</v>
      </c>
      <c r="C253" s="22" t="s">
        <v>2414</v>
      </c>
      <c r="D253" s="111" t="s">
        <v>95</v>
      </c>
      <c r="E253" s="18" t="s">
        <v>2415</v>
      </c>
      <c r="F253" s="4" t="str">
        <f t="shared" si="9"/>
        <v>PTP200R239151</v>
      </c>
      <c r="G253" s="4">
        <v>1166</v>
      </c>
      <c r="H253" s="4" t="s">
        <v>2850</v>
      </c>
      <c r="J253" s="19" t="str">
        <f t="shared" si="10"/>
        <v>Nem Heineken Költség</v>
      </c>
      <c r="K253" s="2" t="str">
        <f t="shared" si="13"/>
        <v/>
      </c>
    </row>
    <row r="254" spans="1:11" ht="30" customHeight="1" x14ac:dyDescent="0.25">
      <c r="A254" s="14">
        <v>45434</v>
      </c>
      <c r="B254" s="2" t="s">
        <v>16</v>
      </c>
      <c r="C254" s="22" t="s">
        <v>2413</v>
      </c>
      <c r="D254" s="111" t="s">
        <v>95</v>
      </c>
      <c r="E254" s="18" t="s">
        <v>2412</v>
      </c>
      <c r="F254" s="4" t="str">
        <f t="shared" si="9"/>
        <v>EUB09D700851</v>
      </c>
      <c r="G254" s="4">
        <v>4440</v>
      </c>
      <c r="H254" s="4"/>
      <c r="I254" s="2" t="s">
        <v>1728</v>
      </c>
      <c r="J254" s="19" t="str">
        <f t="shared" si="10"/>
        <v>SM-2024/6399</v>
      </c>
      <c r="K254" s="2">
        <f t="shared" si="13"/>
        <v>59.69</v>
      </c>
    </row>
    <row r="255" spans="1:11" ht="30" customHeight="1" x14ac:dyDescent="0.25">
      <c r="A255" s="14">
        <v>45434</v>
      </c>
      <c r="B255" s="2" t="s">
        <v>17</v>
      </c>
      <c r="C255" s="22" t="s">
        <v>2410</v>
      </c>
      <c r="D255" s="111" t="s">
        <v>95</v>
      </c>
      <c r="E255" s="18" t="s">
        <v>2411</v>
      </c>
      <c r="F255" s="4" t="str">
        <f t="shared" si="9"/>
        <v>EUB09D700852</v>
      </c>
      <c r="G255" s="43">
        <v>5065</v>
      </c>
      <c r="H255" s="4"/>
      <c r="I255" s="2" t="s">
        <v>1728</v>
      </c>
      <c r="J255" s="19" t="str">
        <f t="shared" si="10"/>
        <v>SM-2024/6401</v>
      </c>
      <c r="K255" s="2">
        <f t="shared" si="13"/>
        <v>59.69</v>
      </c>
    </row>
    <row r="256" spans="1:11" ht="30" customHeight="1" x14ac:dyDescent="0.25">
      <c r="A256" s="14">
        <v>45434</v>
      </c>
      <c r="B256" s="2" t="s">
        <v>18</v>
      </c>
      <c r="C256" s="22" t="s">
        <v>2408</v>
      </c>
      <c r="D256" s="111" t="s">
        <v>95</v>
      </c>
      <c r="E256" s="18" t="s">
        <v>2409</v>
      </c>
      <c r="F256" s="4" t="str">
        <f t="shared" si="9"/>
        <v>EUB09D700992</v>
      </c>
      <c r="G256" s="43">
        <v>6426</v>
      </c>
      <c r="H256" s="4"/>
      <c r="I256" s="2" t="s">
        <v>1728</v>
      </c>
      <c r="J256" s="19" t="str">
        <f t="shared" si="10"/>
        <v>SM-2024/6403</v>
      </c>
      <c r="K256" s="2">
        <f t="shared" si="13"/>
        <v>59.69</v>
      </c>
    </row>
    <row r="257" spans="1:11" ht="30" customHeight="1" x14ac:dyDescent="0.25">
      <c r="A257" s="14">
        <v>45434</v>
      </c>
      <c r="B257" s="2" t="s">
        <v>19</v>
      </c>
      <c r="C257" s="22" t="s">
        <v>2407</v>
      </c>
      <c r="D257" s="111" t="s">
        <v>95</v>
      </c>
      <c r="E257" s="18" t="s">
        <v>2406</v>
      </c>
      <c r="F257" s="4" t="str">
        <f t="shared" si="9"/>
        <v>EUB09D700836</v>
      </c>
      <c r="G257" s="4">
        <v>5838</v>
      </c>
      <c r="H257" s="4"/>
      <c r="I257" s="2" t="s">
        <v>1728</v>
      </c>
      <c r="J257" s="19" t="str">
        <f t="shared" si="10"/>
        <v>SM-2024/6404</v>
      </c>
      <c r="K257" s="2">
        <f t="shared" si="13"/>
        <v>59.69</v>
      </c>
    </row>
    <row r="258" spans="1:11" ht="30" customHeight="1" x14ac:dyDescent="0.25">
      <c r="A258" s="14">
        <v>45433</v>
      </c>
      <c r="B258" s="2" t="s">
        <v>15</v>
      </c>
      <c r="C258" s="22" t="s">
        <v>2404</v>
      </c>
      <c r="D258" s="111" t="s">
        <v>95</v>
      </c>
      <c r="E258" s="18" t="s">
        <v>2405</v>
      </c>
      <c r="F258" s="4" t="str">
        <f t="shared" si="9"/>
        <v>EUB09D700705</v>
      </c>
      <c r="G258" s="4">
        <v>1852</v>
      </c>
      <c r="H258" s="4"/>
      <c r="I258" s="2" t="s">
        <v>1728</v>
      </c>
      <c r="J258" s="19" t="str">
        <f t="shared" si="10"/>
        <v>SM-2024/6355</v>
      </c>
      <c r="K258" s="2">
        <f t="shared" si="13"/>
        <v>59.69</v>
      </c>
    </row>
    <row r="259" spans="1:11" ht="30" customHeight="1" x14ac:dyDescent="0.25">
      <c r="A259" s="14">
        <v>45433</v>
      </c>
      <c r="B259" s="2" t="s">
        <v>14</v>
      </c>
      <c r="C259" s="22" t="s">
        <v>2402</v>
      </c>
      <c r="D259" s="111" t="s">
        <v>95</v>
      </c>
      <c r="E259" s="18" t="s">
        <v>2403</v>
      </c>
      <c r="F259" s="4" t="str">
        <f t="shared" ref="F259:F322" si="14">IFERROR(VLOOKUP(B259,targlist02,3,0),"Nincs Adat")</f>
        <v>EUB09D700269</v>
      </c>
      <c r="G259" s="4">
        <v>3992</v>
      </c>
      <c r="H259" s="4"/>
      <c r="I259" s="2" t="s">
        <v>1728</v>
      </c>
      <c r="J259" s="19" t="str">
        <f t="shared" ref="J259:J322" si="15">IF(I259="H",IFERROR(VLOOKUP(E259,podone,1,0),"Nincs Po"),"Nem Heineken Költség")</f>
        <v>SM-2024/6353</v>
      </c>
      <c r="K259" s="2">
        <f t="shared" si="13"/>
        <v>59.69</v>
      </c>
    </row>
    <row r="260" spans="1:11" ht="30" customHeight="1" x14ac:dyDescent="0.25">
      <c r="A260" s="14">
        <v>45433</v>
      </c>
      <c r="B260" s="2" t="s">
        <v>13</v>
      </c>
      <c r="C260" s="22" t="s">
        <v>2400</v>
      </c>
      <c r="D260" s="111" t="s">
        <v>95</v>
      </c>
      <c r="E260" s="18" t="s">
        <v>2401</v>
      </c>
      <c r="F260" s="4" t="str">
        <f t="shared" si="14"/>
        <v>EUB09D700268</v>
      </c>
      <c r="G260" s="4">
        <v>4193</v>
      </c>
      <c r="H260" s="4"/>
      <c r="I260" s="2" t="s">
        <v>1728</v>
      </c>
      <c r="J260" s="19" t="str">
        <f t="shared" si="15"/>
        <v>SM-2024/6352</v>
      </c>
      <c r="K260" s="2">
        <f t="shared" si="13"/>
        <v>59.69</v>
      </c>
    </row>
    <row r="261" spans="1:11" ht="30" customHeight="1" x14ac:dyDescent="0.25">
      <c r="A261" s="14">
        <v>45433</v>
      </c>
      <c r="B261" s="2" t="s">
        <v>12</v>
      </c>
      <c r="C261" s="22" t="s">
        <v>2398</v>
      </c>
      <c r="D261" s="111" t="s">
        <v>95</v>
      </c>
      <c r="E261" s="18" t="s">
        <v>2399</v>
      </c>
      <c r="F261" s="4" t="str">
        <f t="shared" si="14"/>
        <v>EUB09D700267</v>
      </c>
      <c r="G261" s="4">
        <v>1543</v>
      </c>
      <c r="H261" s="4"/>
      <c r="I261" s="2" t="s">
        <v>1728</v>
      </c>
      <c r="J261" s="19" t="str">
        <f t="shared" si="15"/>
        <v>SM-2024/6351</v>
      </c>
      <c r="K261" s="2">
        <f t="shared" si="13"/>
        <v>59.69</v>
      </c>
    </row>
    <row r="262" spans="1:11" ht="30" customHeight="1" x14ac:dyDescent="0.25">
      <c r="A262" s="14">
        <v>45433</v>
      </c>
      <c r="B262" s="2" t="s">
        <v>78</v>
      </c>
      <c r="C262" s="35" t="s">
        <v>2397</v>
      </c>
      <c r="D262" s="111" t="s">
        <v>95</v>
      </c>
      <c r="E262" s="18" t="s">
        <v>2396</v>
      </c>
      <c r="F262" s="4" t="str">
        <f t="shared" si="14"/>
        <v>PTP200R239152</v>
      </c>
      <c r="G262" s="4">
        <v>1886</v>
      </c>
      <c r="H262" s="4"/>
      <c r="I262" s="2" t="s">
        <v>1728</v>
      </c>
      <c r="J262" s="19" t="str">
        <f t="shared" si="15"/>
        <v>SM-2024/6348</v>
      </c>
      <c r="K262" s="2">
        <f t="shared" si="13"/>
        <v>511.66</v>
      </c>
    </row>
    <row r="263" spans="1:11" ht="30" customHeight="1" x14ac:dyDescent="0.25">
      <c r="A263" s="14">
        <v>45433</v>
      </c>
      <c r="B263" s="2" t="s">
        <v>80</v>
      </c>
      <c r="C263" s="35" t="s">
        <v>2394</v>
      </c>
      <c r="D263" s="111" t="s">
        <v>95</v>
      </c>
      <c r="E263" s="18" t="s">
        <v>2395</v>
      </c>
      <c r="F263" s="4" t="str">
        <f t="shared" si="14"/>
        <v>PTP200R239154</v>
      </c>
      <c r="G263" s="4">
        <v>96</v>
      </c>
      <c r="H263" s="4"/>
      <c r="I263" s="2" t="s">
        <v>1728</v>
      </c>
      <c r="J263" s="19" t="str">
        <f t="shared" si="15"/>
        <v>SM-2024/6344</v>
      </c>
      <c r="K263" s="2">
        <f t="shared" si="13"/>
        <v>209.69</v>
      </c>
    </row>
    <row r="264" spans="1:11" ht="30" customHeight="1" x14ac:dyDescent="0.25">
      <c r="A264" s="14">
        <v>45429</v>
      </c>
      <c r="B264" s="2" t="s">
        <v>6</v>
      </c>
      <c r="C264" s="22" t="s">
        <v>2393</v>
      </c>
      <c r="D264" s="111" t="s">
        <v>95</v>
      </c>
      <c r="E264" s="18" t="s">
        <v>2388</v>
      </c>
      <c r="F264" s="4" t="str">
        <f t="shared" si="14"/>
        <v>EUB09D700742</v>
      </c>
      <c r="G264" s="4">
        <v>5600</v>
      </c>
      <c r="H264" s="4"/>
      <c r="I264" s="2" t="s">
        <v>1728</v>
      </c>
      <c r="J264" s="19" t="str">
        <f t="shared" si="15"/>
        <v>SM-2024/6302</v>
      </c>
      <c r="K264" s="2">
        <f t="shared" si="13"/>
        <v>59.69</v>
      </c>
    </row>
    <row r="265" spans="1:11" ht="30" customHeight="1" x14ac:dyDescent="0.25">
      <c r="A265" s="14">
        <v>45429</v>
      </c>
      <c r="B265" s="2" t="s">
        <v>8</v>
      </c>
      <c r="C265" s="22" t="s">
        <v>2392</v>
      </c>
      <c r="D265" s="111" t="s">
        <v>95</v>
      </c>
      <c r="E265" s="18" t="s">
        <v>2387</v>
      </c>
      <c r="F265" s="4" t="str">
        <f t="shared" si="14"/>
        <v>EUB09D700744</v>
      </c>
      <c r="G265" s="4">
        <v>4948</v>
      </c>
      <c r="H265" s="4"/>
      <c r="I265" s="2" t="s">
        <v>1728</v>
      </c>
      <c r="J265" s="19" t="str">
        <f t="shared" si="15"/>
        <v>SM-2024/6303</v>
      </c>
      <c r="K265" s="2">
        <f t="shared" si="13"/>
        <v>59.69</v>
      </c>
    </row>
    <row r="266" spans="1:11" ht="30" customHeight="1" x14ac:dyDescent="0.25">
      <c r="A266" s="14">
        <v>45429</v>
      </c>
      <c r="B266" s="2" t="s">
        <v>10</v>
      </c>
      <c r="C266" s="22" t="s">
        <v>2391</v>
      </c>
      <c r="D266" s="111" t="s">
        <v>95</v>
      </c>
      <c r="E266" s="18" t="s">
        <v>2386</v>
      </c>
      <c r="F266" s="4" t="str">
        <f t="shared" si="14"/>
        <v>EUB09D700794</v>
      </c>
      <c r="G266" s="4">
        <v>4065</v>
      </c>
      <c r="H266" s="4"/>
      <c r="I266" s="2" t="s">
        <v>1728</v>
      </c>
      <c r="J266" s="19" t="str">
        <f t="shared" si="15"/>
        <v>SM-2024/6304</v>
      </c>
      <c r="K266" s="2">
        <f t="shared" si="13"/>
        <v>59.69</v>
      </c>
    </row>
    <row r="267" spans="1:11" ht="30" customHeight="1" x14ac:dyDescent="0.25">
      <c r="A267" s="14">
        <v>45429</v>
      </c>
      <c r="B267" s="2" t="s">
        <v>11</v>
      </c>
      <c r="C267" s="22" t="s">
        <v>2391</v>
      </c>
      <c r="D267" s="111" t="s">
        <v>95</v>
      </c>
      <c r="E267" s="18" t="s">
        <v>2385</v>
      </c>
      <c r="F267" s="4" t="str">
        <f t="shared" si="14"/>
        <v>EUB09D700850</v>
      </c>
      <c r="G267" s="4">
        <v>6187</v>
      </c>
      <c r="H267" s="4"/>
      <c r="I267" s="2" t="s">
        <v>1728</v>
      </c>
      <c r="J267" s="19" t="str">
        <f t="shared" si="15"/>
        <v>SM-2024/6305</v>
      </c>
      <c r="K267" s="2">
        <f t="shared" si="13"/>
        <v>59.69</v>
      </c>
    </row>
    <row r="268" spans="1:11" ht="30" customHeight="1" x14ac:dyDescent="0.25">
      <c r="A268" s="14">
        <v>45429</v>
      </c>
      <c r="B268" s="2" t="s">
        <v>77</v>
      </c>
      <c r="C268" s="35" t="s">
        <v>2389</v>
      </c>
      <c r="D268" s="111" t="s">
        <v>95</v>
      </c>
      <c r="E268" s="18" t="s">
        <v>2390</v>
      </c>
      <c r="F268" s="4" t="str">
        <f t="shared" si="14"/>
        <v>PTP200R239151</v>
      </c>
      <c r="G268" s="4">
        <v>1156</v>
      </c>
      <c r="H268" s="4"/>
      <c r="I268" s="2" t="s">
        <v>1728</v>
      </c>
      <c r="J268" s="19" t="str">
        <f t="shared" si="15"/>
        <v>SM-2024/6309</v>
      </c>
      <c r="K268" s="2">
        <f t="shared" si="13"/>
        <v>511.77</v>
      </c>
    </row>
    <row r="269" spans="1:11" ht="30" customHeight="1" x14ac:dyDescent="0.25">
      <c r="A269" s="14">
        <v>45428</v>
      </c>
      <c r="B269" s="2" t="s">
        <v>1785</v>
      </c>
      <c r="C269" s="532" t="s">
        <v>2382</v>
      </c>
      <c r="D269" s="111" t="s">
        <v>95</v>
      </c>
      <c r="E269" s="18" t="s">
        <v>2383</v>
      </c>
      <c r="F269" s="4" t="str">
        <f t="shared" si="14"/>
        <v>Nincs Adat</v>
      </c>
      <c r="G269" s="4"/>
      <c r="H269" s="4"/>
      <c r="I269" s="2" t="s">
        <v>1728</v>
      </c>
      <c r="J269" s="19" t="str">
        <f t="shared" si="15"/>
        <v>Nincs Po</v>
      </c>
      <c r="K269" s="2" t="s">
        <v>2118</v>
      </c>
    </row>
    <row r="270" spans="1:11" ht="30" customHeight="1" x14ac:dyDescent="0.25">
      <c r="A270" s="14">
        <v>45428</v>
      </c>
      <c r="B270" s="2" t="s">
        <v>9</v>
      </c>
      <c r="C270" s="22" t="s">
        <v>2381</v>
      </c>
      <c r="D270" s="111" t="s">
        <v>95</v>
      </c>
      <c r="E270" s="18" t="s">
        <v>2380</v>
      </c>
      <c r="F270" s="4" t="str">
        <f t="shared" si="14"/>
        <v>EUB09D700745</v>
      </c>
      <c r="G270" s="4">
        <v>4506</v>
      </c>
      <c r="H270" s="4"/>
      <c r="J270" s="19" t="str">
        <f t="shared" si="15"/>
        <v>Nem Heineken Költség</v>
      </c>
      <c r="K270" s="2" t="str">
        <f t="shared" ref="K270:K301" si="16">IFERROR(VLOOKUP(E270,poprice,4,0),"")</f>
        <v/>
      </c>
    </row>
    <row r="271" spans="1:11" ht="30" customHeight="1" x14ac:dyDescent="0.25">
      <c r="A271" s="14">
        <v>45428</v>
      </c>
      <c r="B271" s="2" t="s">
        <v>20</v>
      </c>
      <c r="C271" s="22" t="s">
        <v>2378</v>
      </c>
      <c r="D271" s="111" t="s">
        <v>95</v>
      </c>
      <c r="E271" s="18" t="s">
        <v>2379</v>
      </c>
      <c r="F271" s="4" t="str">
        <f t="shared" si="14"/>
        <v>EUB09D700832</v>
      </c>
      <c r="G271" s="4"/>
      <c r="H271" s="4" t="s">
        <v>2850</v>
      </c>
      <c r="J271" s="19" t="str">
        <f t="shared" si="15"/>
        <v>Nem Heineken Költség</v>
      </c>
      <c r="K271" s="2" t="str">
        <f t="shared" si="16"/>
        <v/>
      </c>
    </row>
    <row r="272" spans="1:11" ht="30" customHeight="1" x14ac:dyDescent="0.25">
      <c r="A272" s="14">
        <v>45427</v>
      </c>
      <c r="B272" s="2" t="s">
        <v>79</v>
      </c>
      <c r="C272" s="35" t="s">
        <v>2376</v>
      </c>
      <c r="D272" s="111" t="s">
        <v>95</v>
      </c>
      <c r="E272" s="18" t="s">
        <v>2377</v>
      </c>
      <c r="F272" s="4" t="str">
        <f t="shared" si="14"/>
        <v>PTP200R239153</v>
      </c>
      <c r="G272" s="4">
        <v>1796</v>
      </c>
      <c r="H272" s="4" t="s">
        <v>2851</v>
      </c>
      <c r="I272" s="2" t="s">
        <v>1728</v>
      </c>
      <c r="J272" s="19" t="str">
        <f t="shared" si="15"/>
        <v>SM-2024/6145</v>
      </c>
      <c r="K272" s="2">
        <f t="shared" si="16"/>
        <v>411.84</v>
      </c>
    </row>
    <row r="273" spans="1:11" ht="30" customHeight="1" x14ac:dyDescent="0.25">
      <c r="A273" s="14">
        <v>45427</v>
      </c>
      <c r="B273" s="2" t="s">
        <v>18</v>
      </c>
      <c r="C273" s="22" t="s">
        <v>2374</v>
      </c>
      <c r="D273" s="111" t="s">
        <v>95</v>
      </c>
      <c r="E273" s="18" t="s">
        <v>2375</v>
      </c>
      <c r="F273" s="4" t="str">
        <f t="shared" si="14"/>
        <v>EUB09D700992</v>
      </c>
      <c r="G273" s="4">
        <v>6373</v>
      </c>
      <c r="H273" s="4" t="s">
        <v>2851</v>
      </c>
      <c r="J273" s="19" t="str">
        <f t="shared" si="15"/>
        <v>Nem Heineken Költség</v>
      </c>
      <c r="K273" s="2" t="str">
        <f t="shared" si="16"/>
        <v/>
      </c>
    </row>
    <row r="274" spans="1:11" ht="30" customHeight="1" x14ac:dyDescent="0.25">
      <c r="A274" s="14">
        <v>45425</v>
      </c>
      <c r="B274" s="2" t="s">
        <v>891</v>
      </c>
      <c r="C274" s="22" t="s">
        <v>2373</v>
      </c>
      <c r="D274" s="111" t="s">
        <v>95</v>
      </c>
      <c r="E274" s="18" t="s">
        <v>2372</v>
      </c>
      <c r="F274" s="4">
        <f t="shared" si="14"/>
        <v>10817</v>
      </c>
      <c r="G274" s="4">
        <v>253</v>
      </c>
      <c r="H274" s="4"/>
      <c r="J274" s="19" t="str">
        <f t="shared" si="15"/>
        <v>Nem Heineken Költség</v>
      </c>
      <c r="K274" s="2" t="str">
        <f t="shared" si="16"/>
        <v/>
      </c>
    </row>
    <row r="275" spans="1:11" ht="30" customHeight="1" x14ac:dyDescent="0.25">
      <c r="A275" s="14">
        <v>45425</v>
      </c>
      <c r="B275" s="2" t="s">
        <v>17</v>
      </c>
      <c r="C275" s="22" t="s">
        <v>2370</v>
      </c>
      <c r="D275" s="111" t="s">
        <v>95</v>
      </c>
      <c r="E275" s="18" t="s">
        <v>2371</v>
      </c>
      <c r="F275" s="4" t="str">
        <f t="shared" si="14"/>
        <v>EUB09D700852</v>
      </c>
      <c r="G275" s="4">
        <v>5065</v>
      </c>
      <c r="H275" s="4" t="s">
        <v>2852</v>
      </c>
      <c r="J275" s="19" t="str">
        <f t="shared" si="15"/>
        <v>Nem Heineken Költség</v>
      </c>
      <c r="K275" s="2" t="str">
        <f t="shared" si="16"/>
        <v/>
      </c>
    </row>
    <row r="276" spans="1:11" ht="30" customHeight="1" x14ac:dyDescent="0.25">
      <c r="A276" s="14">
        <v>45425</v>
      </c>
      <c r="B276" s="2" t="s">
        <v>7</v>
      </c>
      <c r="C276" s="22" t="s">
        <v>2369</v>
      </c>
      <c r="D276" s="111" t="s">
        <v>95</v>
      </c>
      <c r="E276" s="18" t="s">
        <v>2357</v>
      </c>
      <c r="F276" s="4" t="str">
        <f t="shared" si="14"/>
        <v>EUB09D700743</v>
      </c>
      <c r="G276" s="4">
        <v>5107</v>
      </c>
      <c r="H276" s="4"/>
      <c r="I276" s="2" t="s">
        <v>1728</v>
      </c>
      <c r="J276" s="19" t="str">
        <f t="shared" si="15"/>
        <v>SM-2024/6058</v>
      </c>
      <c r="K276" s="2">
        <f t="shared" si="16"/>
        <v>145.80000000000001</v>
      </c>
    </row>
    <row r="277" spans="1:11" ht="30" customHeight="1" x14ac:dyDescent="0.25">
      <c r="A277" s="14">
        <v>45425</v>
      </c>
      <c r="B277" s="2" t="s">
        <v>9</v>
      </c>
      <c r="C277" s="22" t="s">
        <v>2368</v>
      </c>
      <c r="D277" s="111" t="s">
        <v>95</v>
      </c>
      <c r="E277" s="18" t="s">
        <v>2356</v>
      </c>
      <c r="F277" s="4" t="str">
        <f t="shared" si="14"/>
        <v>EUB09D700745</v>
      </c>
      <c r="G277" s="4">
        <v>4490</v>
      </c>
      <c r="H277" s="4"/>
      <c r="I277" s="2" t="s">
        <v>1728</v>
      </c>
      <c r="J277" s="19" t="str">
        <f t="shared" si="15"/>
        <v>SM-2024/6059</v>
      </c>
      <c r="K277" s="2">
        <f t="shared" si="16"/>
        <v>59.69</v>
      </c>
    </row>
    <row r="278" spans="1:11" ht="30" customHeight="1" x14ac:dyDescent="0.25">
      <c r="A278" s="14">
        <v>45425</v>
      </c>
      <c r="B278" s="2" t="s">
        <v>142</v>
      </c>
      <c r="C278" s="22" t="s">
        <v>2366</v>
      </c>
      <c r="D278" s="111" t="s">
        <v>95</v>
      </c>
      <c r="E278" s="18" t="s">
        <v>2367</v>
      </c>
      <c r="F278" s="4" t="str">
        <f t="shared" si="14"/>
        <v>LO20N2RCB13B00112</v>
      </c>
      <c r="G278" s="4">
        <v>2007</v>
      </c>
      <c r="H278" s="4" t="s">
        <v>2852</v>
      </c>
      <c r="J278" s="19" t="str">
        <f t="shared" si="15"/>
        <v>Nem Heineken Költség</v>
      </c>
      <c r="K278" s="2" t="str">
        <f t="shared" si="16"/>
        <v/>
      </c>
    </row>
    <row r="279" spans="1:11" ht="30" customHeight="1" x14ac:dyDescent="0.25">
      <c r="A279" s="14">
        <v>45422</v>
      </c>
      <c r="B279" s="2" t="s">
        <v>12</v>
      </c>
      <c r="C279" s="22" t="s">
        <v>2364</v>
      </c>
      <c r="D279" s="111" t="s">
        <v>95</v>
      </c>
      <c r="E279" s="18" t="s">
        <v>2365</v>
      </c>
      <c r="F279" s="4" t="str">
        <f t="shared" si="14"/>
        <v>EUB09D700267</v>
      </c>
      <c r="G279" s="4">
        <v>4064</v>
      </c>
      <c r="H279" s="4" t="s">
        <v>2851</v>
      </c>
      <c r="J279" s="19" t="str">
        <f t="shared" si="15"/>
        <v>Nem Heineken Költség</v>
      </c>
      <c r="K279" s="2" t="str">
        <f t="shared" si="16"/>
        <v/>
      </c>
    </row>
    <row r="280" spans="1:11" ht="30" customHeight="1" x14ac:dyDescent="0.25">
      <c r="A280" s="14">
        <v>45422</v>
      </c>
      <c r="B280" s="2" t="s">
        <v>9</v>
      </c>
      <c r="C280" s="22" t="s">
        <v>2363</v>
      </c>
      <c r="D280" s="111" t="s">
        <v>95</v>
      </c>
      <c r="E280" s="18" t="s">
        <v>2362</v>
      </c>
      <c r="F280" s="4" t="str">
        <f t="shared" si="14"/>
        <v>EUB09D700745</v>
      </c>
      <c r="G280" s="4">
        <v>4491</v>
      </c>
      <c r="H280" s="4"/>
      <c r="I280" s="2" t="s">
        <v>1728</v>
      </c>
      <c r="J280" s="19" t="str">
        <f t="shared" si="15"/>
        <v>SM-2024/5924</v>
      </c>
      <c r="K280" s="2">
        <f t="shared" si="16"/>
        <v>205.49</v>
      </c>
    </row>
    <row r="281" spans="1:11" ht="30" customHeight="1" x14ac:dyDescent="0.25">
      <c r="A281" s="14">
        <v>45422</v>
      </c>
      <c r="B281" s="2" t="s">
        <v>9</v>
      </c>
      <c r="C281" s="22" t="s">
        <v>2360</v>
      </c>
      <c r="D281" s="111" t="s">
        <v>95</v>
      </c>
      <c r="E281" s="18" t="s">
        <v>2361</v>
      </c>
      <c r="F281" s="4" t="str">
        <f t="shared" si="14"/>
        <v>EUB09D700745</v>
      </c>
      <c r="G281" s="4">
        <v>4491</v>
      </c>
      <c r="H281" s="4" t="s">
        <v>2851</v>
      </c>
      <c r="J281" s="19" t="str">
        <f t="shared" si="15"/>
        <v>Nem Heineken Költség</v>
      </c>
      <c r="K281" s="2" t="str">
        <f t="shared" si="16"/>
        <v/>
      </c>
    </row>
    <row r="282" spans="1:11" ht="30" customHeight="1" x14ac:dyDescent="0.25">
      <c r="A282" s="14">
        <v>45422</v>
      </c>
      <c r="B282" s="2" t="s">
        <v>78</v>
      </c>
      <c r="C282" s="22" t="s">
        <v>2358</v>
      </c>
      <c r="D282" s="111" t="s">
        <v>95</v>
      </c>
      <c r="E282" s="18" t="s">
        <v>2359</v>
      </c>
      <c r="F282" s="4" t="str">
        <f t="shared" si="14"/>
        <v>PTP200R239152</v>
      </c>
      <c r="G282" s="4">
        <v>1849</v>
      </c>
      <c r="H282" s="4"/>
      <c r="J282" s="19" t="str">
        <f t="shared" si="15"/>
        <v>Nem Heineken Költség</v>
      </c>
      <c r="K282" s="2" t="str">
        <f t="shared" si="16"/>
        <v/>
      </c>
    </row>
    <row r="283" spans="1:11" ht="30" customHeight="1" x14ac:dyDescent="0.25">
      <c r="A283" s="14">
        <v>45420</v>
      </c>
      <c r="B283" s="2" t="s">
        <v>77</v>
      </c>
      <c r="C283" s="35" t="s">
        <v>2354</v>
      </c>
      <c r="D283" s="111" t="s">
        <v>95</v>
      </c>
      <c r="E283" s="18" t="s">
        <v>2355</v>
      </c>
      <c r="F283" s="4" t="str">
        <f t="shared" si="14"/>
        <v>PTP200R239151</v>
      </c>
      <c r="G283" s="4">
        <v>1128</v>
      </c>
      <c r="H283" s="4" t="s">
        <v>2851</v>
      </c>
      <c r="I283" s="2" t="s">
        <v>1728</v>
      </c>
      <c r="J283" s="19" t="str">
        <f t="shared" si="15"/>
        <v>SM-2024/5779</v>
      </c>
      <c r="K283" s="2">
        <f t="shared" si="16"/>
        <v>601.5</v>
      </c>
    </row>
    <row r="284" spans="1:11" ht="30" customHeight="1" x14ac:dyDescent="0.25">
      <c r="A284" s="14">
        <v>45420</v>
      </c>
      <c r="B284" s="2" t="s">
        <v>14</v>
      </c>
      <c r="C284" s="22" t="s">
        <v>2352</v>
      </c>
      <c r="D284" s="111" t="s">
        <v>95</v>
      </c>
      <c r="E284" s="18" t="s">
        <v>2353</v>
      </c>
      <c r="F284" s="4" t="str">
        <f t="shared" si="14"/>
        <v>EUB09D700269</v>
      </c>
      <c r="G284" s="4"/>
      <c r="H284" s="4"/>
      <c r="J284" s="19" t="str">
        <f t="shared" si="15"/>
        <v>Nem Heineken Költség</v>
      </c>
      <c r="K284" s="2" t="str">
        <f t="shared" si="16"/>
        <v/>
      </c>
    </row>
    <row r="285" spans="1:11" ht="30" customHeight="1" x14ac:dyDescent="0.25">
      <c r="A285" s="14">
        <v>45420</v>
      </c>
      <c r="B285" s="2" t="s">
        <v>19</v>
      </c>
      <c r="C285" s="22" t="s">
        <v>2350</v>
      </c>
      <c r="D285" s="111" t="s">
        <v>95</v>
      </c>
      <c r="E285" s="18" t="s">
        <v>2351</v>
      </c>
      <c r="F285" s="4" t="str">
        <f t="shared" si="14"/>
        <v>EUB09D700836</v>
      </c>
      <c r="G285" s="4">
        <v>5777</v>
      </c>
      <c r="H285" s="4" t="s">
        <v>2851</v>
      </c>
      <c r="J285" s="19" t="str">
        <f t="shared" si="15"/>
        <v>Nem Heineken Költség</v>
      </c>
      <c r="K285" s="2" t="str">
        <f t="shared" si="16"/>
        <v/>
      </c>
    </row>
    <row r="286" spans="1:11" ht="30" customHeight="1" x14ac:dyDescent="0.25">
      <c r="A286" s="14">
        <v>45420</v>
      </c>
      <c r="B286" s="2" t="s">
        <v>7</v>
      </c>
      <c r="C286" s="22" t="s">
        <v>2761</v>
      </c>
      <c r="D286" s="111" t="s">
        <v>95</v>
      </c>
      <c r="E286" s="18" t="s">
        <v>2349</v>
      </c>
      <c r="F286" s="4" t="str">
        <f t="shared" si="14"/>
        <v>EUB09D700743</v>
      </c>
      <c r="G286" s="4">
        <v>5107</v>
      </c>
      <c r="H286" s="4" t="s">
        <v>2850</v>
      </c>
      <c r="J286" s="19" t="str">
        <f t="shared" si="15"/>
        <v>Nem Heineken Költség</v>
      </c>
      <c r="K286" s="2" t="str">
        <f t="shared" si="16"/>
        <v/>
      </c>
    </row>
    <row r="287" spans="1:11" ht="30" customHeight="1" x14ac:dyDescent="0.25">
      <c r="A287" s="14">
        <v>45420</v>
      </c>
      <c r="B287" s="2" t="s">
        <v>9</v>
      </c>
      <c r="C287" s="22" t="s">
        <v>2342</v>
      </c>
      <c r="D287" s="111" t="s">
        <v>95</v>
      </c>
      <c r="E287" s="18" t="s">
        <v>2341</v>
      </c>
      <c r="F287" s="4" t="str">
        <f t="shared" si="14"/>
        <v>EUB09D700745</v>
      </c>
      <c r="G287" s="4">
        <v>4490</v>
      </c>
      <c r="H287" s="4" t="s">
        <v>2850</v>
      </c>
      <c r="J287" s="19" t="str">
        <f t="shared" si="15"/>
        <v>Nem Heineken Költség</v>
      </c>
      <c r="K287" s="2" t="str">
        <f t="shared" si="16"/>
        <v/>
      </c>
    </row>
    <row r="288" spans="1:11" ht="30" customHeight="1" x14ac:dyDescent="0.25">
      <c r="A288" s="14">
        <v>45420</v>
      </c>
      <c r="B288" s="2" t="s">
        <v>13</v>
      </c>
      <c r="C288" s="22" t="s">
        <v>2343</v>
      </c>
      <c r="D288" s="111" t="s">
        <v>95</v>
      </c>
      <c r="E288" s="18" t="s">
        <v>2340</v>
      </c>
      <c r="F288" s="4" t="str">
        <f t="shared" si="14"/>
        <v>EUB09D700268</v>
      </c>
      <c r="G288" s="4">
        <v>4193</v>
      </c>
      <c r="H288" s="4" t="s">
        <v>2850</v>
      </c>
      <c r="J288" s="19" t="str">
        <f t="shared" si="15"/>
        <v>Nem Heineken Költség</v>
      </c>
      <c r="K288" s="2" t="str">
        <f t="shared" si="16"/>
        <v/>
      </c>
    </row>
    <row r="289" spans="1:11" ht="30" customHeight="1" x14ac:dyDescent="0.25">
      <c r="A289" s="14">
        <v>45420</v>
      </c>
      <c r="B289" s="2" t="s">
        <v>14</v>
      </c>
      <c r="C289" s="22" t="s">
        <v>2344</v>
      </c>
      <c r="D289" s="111" t="s">
        <v>95</v>
      </c>
      <c r="E289" s="18" t="s">
        <v>2339</v>
      </c>
      <c r="F289" s="4" t="str">
        <f t="shared" si="14"/>
        <v>EUB09D700269</v>
      </c>
      <c r="G289" s="4">
        <v>3992</v>
      </c>
      <c r="H289" s="4" t="s">
        <v>2850</v>
      </c>
      <c r="J289" s="19" t="str">
        <f t="shared" si="15"/>
        <v>Nem Heineken Költség</v>
      </c>
      <c r="K289" s="2" t="str">
        <f t="shared" si="16"/>
        <v/>
      </c>
    </row>
    <row r="290" spans="1:11" ht="30" customHeight="1" x14ac:dyDescent="0.25">
      <c r="A290" s="14">
        <v>45420</v>
      </c>
      <c r="B290" s="2" t="s">
        <v>15</v>
      </c>
      <c r="C290" s="22" t="s">
        <v>2345</v>
      </c>
      <c r="D290" s="111" t="s">
        <v>95</v>
      </c>
      <c r="E290" s="18" t="s">
        <v>2338</v>
      </c>
      <c r="F290" s="4" t="str">
        <f t="shared" si="14"/>
        <v>EUB09D700705</v>
      </c>
      <c r="G290" s="4">
        <v>1852</v>
      </c>
      <c r="H290" s="4" t="s">
        <v>2850</v>
      </c>
      <c r="J290" s="19" t="str">
        <f t="shared" si="15"/>
        <v>Nem Heineken Költség</v>
      </c>
      <c r="K290" s="2" t="str">
        <f t="shared" si="16"/>
        <v/>
      </c>
    </row>
    <row r="291" spans="1:11" ht="30" customHeight="1" x14ac:dyDescent="0.25">
      <c r="A291" s="14">
        <v>45420</v>
      </c>
      <c r="B291" s="2" t="s">
        <v>17</v>
      </c>
      <c r="C291" s="22" t="s">
        <v>2346</v>
      </c>
      <c r="D291" s="111" t="s">
        <v>95</v>
      </c>
      <c r="E291" s="18" t="s">
        <v>2337</v>
      </c>
      <c r="F291" s="4" t="str">
        <f t="shared" si="14"/>
        <v>EUB09D700852</v>
      </c>
      <c r="G291" s="4">
        <v>4991</v>
      </c>
      <c r="H291" s="4" t="s">
        <v>2850</v>
      </c>
      <c r="J291" s="19" t="str">
        <f t="shared" si="15"/>
        <v>Nem Heineken Költség</v>
      </c>
      <c r="K291" s="2" t="str">
        <f t="shared" si="16"/>
        <v/>
      </c>
    </row>
    <row r="292" spans="1:11" ht="30" customHeight="1" x14ac:dyDescent="0.25">
      <c r="A292" s="14">
        <v>45420</v>
      </c>
      <c r="B292" s="2" t="s">
        <v>19</v>
      </c>
      <c r="C292" s="22" t="s">
        <v>2347</v>
      </c>
      <c r="D292" s="111" t="s">
        <v>95</v>
      </c>
      <c r="E292" s="18" t="s">
        <v>2336</v>
      </c>
      <c r="F292" s="4" t="str">
        <f t="shared" si="14"/>
        <v>EUB09D700836</v>
      </c>
      <c r="G292" s="4">
        <v>5778</v>
      </c>
      <c r="H292" s="4" t="s">
        <v>2850</v>
      </c>
      <c r="J292" s="19" t="str">
        <f t="shared" si="15"/>
        <v>Nem Heineken Költség</v>
      </c>
      <c r="K292" s="2" t="str">
        <f t="shared" si="16"/>
        <v/>
      </c>
    </row>
    <row r="293" spans="1:11" ht="30" customHeight="1" x14ac:dyDescent="0.25">
      <c r="A293" s="14">
        <v>45420</v>
      </c>
      <c r="B293" s="2" t="s">
        <v>21</v>
      </c>
      <c r="C293" s="22" t="s">
        <v>2348</v>
      </c>
      <c r="D293" s="111" t="s">
        <v>95</v>
      </c>
      <c r="E293" s="18" t="s">
        <v>2335</v>
      </c>
      <c r="F293" s="4" t="str">
        <f t="shared" si="14"/>
        <v>EUB09D700842</v>
      </c>
      <c r="G293" s="4">
        <v>4845</v>
      </c>
      <c r="H293" s="4" t="s">
        <v>2850</v>
      </c>
      <c r="J293" s="19" t="str">
        <f t="shared" si="15"/>
        <v>Nem Heineken Költség</v>
      </c>
      <c r="K293" s="2" t="str">
        <f t="shared" si="16"/>
        <v/>
      </c>
    </row>
    <row r="294" spans="1:11" ht="30" customHeight="1" x14ac:dyDescent="0.25">
      <c r="A294" s="14">
        <v>45420</v>
      </c>
      <c r="B294" s="2" t="s">
        <v>23</v>
      </c>
      <c r="C294" s="22" t="s">
        <v>2332</v>
      </c>
      <c r="D294" s="111" t="s">
        <v>95</v>
      </c>
      <c r="E294" s="18" t="s">
        <v>2334</v>
      </c>
      <c r="F294" s="4" t="str">
        <f t="shared" si="14"/>
        <v>EUB09D700740</v>
      </c>
      <c r="G294" s="4">
        <v>2358</v>
      </c>
      <c r="H294" s="4" t="s">
        <v>2850</v>
      </c>
      <c r="J294" s="19" t="str">
        <f t="shared" si="15"/>
        <v>Nem Heineken Költség</v>
      </c>
      <c r="K294" s="2" t="str">
        <f t="shared" si="16"/>
        <v/>
      </c>
    </row>
    <row r="295" spans="1:11" ht="30" customHeight="1" x14ac:dyDescent="0.25">
      <c r="A295" s="14">
        <v>45420</v>
      </c>
      <c r="B295" s="2" t="s">
        <v>24</v>
      </c>
      <c r="C295" s="22" t="s">
        <v>2332</v>
      </c>
      <c r="D295" s="111" t="s">
        <v>95</v>
      </c>
      <c r="E295" s="18" t="s">
        <v>2333</v>
      </c>
      <c r="F295" s="4" t="str">
        <f t="shared" si="14"/>
        <v>EUB09D700704</v>
      </c>
      <c r="G295" s="4">
        <v>2972</v>
      </c>
      <c r="H295" s="4" t="s">
        <v>2850</v>
      </c>
      <c r="J295" s="19" t="str">
        <f t="shared" si="15"/>
        <v>Nem Heineken Költség</v>
      </c>
      <c r="K295" s="2" t="str">
        <f t="shared" si="16"/>
        <v/>
      </c>
    </row>
    <row r="296" spans="1:11" ht="30" customHeight="1" x14ac:dyDescent="0.25">
      <c r="A296" s="14">
        <v>45420</v>
      </c>
      <c r="B296" s="2" t="s">
        <v>14</v>
      </c>
      <c r="C296" s="22" t="s">
        <v>2330</v>
      </c>
      <c r="D296" s="111" t="s">
        <v>95</v>
      </c>
      <c r="E296" s="18" t="s">
        <v>2331</v>
      </c>
      <c r="F296" s="4" t="str">
        <f t="shared" si="14"/>
        <v>EUB09D700269</v>
      </c>
      <c r="G296" s="4">
        <v>3992</v>
      </c>
      <c r="H296" s="4" t="s">
        <v>2851</v>
      </c>
      <c r="J296" s="19" t="str">
        <f t="shared" si="15"/>
        <v>Nem Heineken Költség</v>
      </c>
      <c r="K296" s="2" t="str">
        <f t="shared" si="16"/>
        <v/>
      </c>
    </row>
    <row r="297" spans="1:11" ht="30" customHeight="1" x14ac:dyDescent="0.25">
      <c r="A297" s="14">
        <v>45420</v>
      </c>
      <c r="B297" s="2" t="s">
        <v>79</v>
      </c>
      <c r="C297" s="22" t="s">
        <v>2328</v>
      </c>
      <c r="D297" s="111" t="s">
        <v>95</v>
      </c>
      <c r="E297" s="18" t="s">
        <v>2329</v>
      </c>
      <c r="F297" s="4" t="str">
        <f t="shared" si="14"/>
        <v>PTP200R239153</v>
      </c>
      <c r="G297" s="4">
        <v>1779</v>
      </c>
      <c r="H297" s="4"/>
      <c r="I297" s="2" t="s">
        <v>1728</v>
      </c>
      <c r="J297" s="19" t="str">
        <f t="shared" si="15"/>
        <v>SM-2024/5771</v>
      </c>
      <c r="K297" s="2">
        <f t="shared" si="16"/>
        <v>205.49</v>
      </c>
    </row>
    <row r="298" spans="1:11" ht="30" customHeight="1" x14ac:dyDescent="0.25">
      <c r="A298" s="14">
        <v>45419</v>
      </c>
      <c r="B298" s="2" t="s">
        <v>22</v>
      </c>
      <c r="C298" s="22" t="s">
        <v>2326</v>
      </c>
      <c r="D298" s="111" t="s">
        <v>95</v>
      </c>
      <c r="E298" s="18" t="s">
        <v>2327</v>
      </c>
      <c r="F298" s="4" t="str">
        <f t="shared" si="14"/>
        <v>EUB09D700838</v>
      </c>
      <c r="G298" s="4">
        <v>2661</v>
      </c>
      <c r="H298" s="4" t="s">
        <v>2850</v>
      </c>
      <c r="I298" s="2" t="s">
        <v>1728</v>
      </c>
      <c r="J298" s="19" t="str">
        <f t="shared" si="15"/>
        <v>SM-2024/5715</v>
      </c>
      <c r="K298" s="2">
        <f t="shared" si="16"/>
        <v>145.80000000000001</v>
      </c>
    </row>
    <row r="299" spans="1:11" ht="30" customHeight="1" x14ac:dyDescent="0.25">
      <c r="A299" s="14">
        <v>45419</v>
      </c>
      <c r="B299" s="2" t="s">
        <v>17</v>
      </c>
      <c r="C299" s="22" t="s">
        <v>2324</v>
      </c>
      <c r="D299" s="111" t="s">
        <v>95</v>
      </c>
      <c r="E299" s="18" t="s">
        <v>2325</v>
      </c>
      <c r="F299" s="4" t="str">
        <f t="shared" si="14"/>
        <v>EUB09D700852</v>
      </c>
      <c r="G299" s="4">
        <v>4972</v>
      </c>
      <c r="H299" s="4"/>
      <c r="J299" s="19" t="str">
        <f t="shared" si="15"/>
        <v>Nem Heineken Költség</v>
      </c>
      <c r="K299" s="2" t="str">
        <f t="shared" si="16"/>
        <v/>
      </c>
    </row>
    <row r="300" spans="1:11" ht="30" customHeight="1" x14ac:dyDescent="0.25">
      <c r="A300" s="14">
        <v>45419</v>
      </c>
      <c r="B300" s="2" t="s">
        <v>18</v>
      </c>
      <c r="C300" s="22" t="s">
        <v>2322</v>
      </c>
      <c r="D300" s="111" t="s">
        <v>95</v>
      </c>
      <c r="E300" s="18" t="s">
        <v>2323</v>
      </c>
      <c r="F300" s="4" t="str">
        <f t="shared" si="14"/>
        <v>EUB09D700992</v>
      </c>
      <c r="G300" s="4">
        <v>6299</v>
      </c>
      <c r="H300" s="4" t="s">
        <v>2851</v>
      </c>
      <c r="J300" s="19" t="str">
        <f t="shared" si="15"/>
        <v>Nem Heineken Költség</v>
      </c>
      <c r="K300" s="2" t="str">
        <f t="shared" si="16"/>
        <v/>
      </c>
    </row>
    <row r="301" spans="1:11" ht="30" customHeight="1" x14ac:dyDescent="0.25">
      <c r="A301" s="14">
        <v>45419</v>
      </c>
      <c r="B301" s="2" t="s">
        <v>158</v>
      </c>
      <c r="C301" s="22" t="s">
        <v>2320</v>
      </c>
      <c r="D301" s="111" t="s">
        <v>95</v>
      </c>
      <c r="E301" s="18" t="s">
        <v>2321</v>
      </c>
      <c r="F301" s="4" t="str">
        <f t="shared" si="14"/>
        <v>F24537B00022</v>
      </c>
      <c r="G301" s="4">
        <v>2895</v>
      </c>
      <c r="H301" s="4" t="s">
        <v>2850</v>
      </c>
      <c r="J301" s="19" t="str">
        <f t="shared" si="15"/>
        <v>Nem Heineken Költség</v>
      </c>
      <c r="K301" s="2" t="str">
        <f t="shared" si="16"/>
        <v/>
      </c>
    </row>
    <row r="302" spans="1:11" ht="30" customHeight="1" x14ac:dyDescent="0.25">
      <c r="A302" s="14">
        <v>45419</v>
      </c>
      <c r="B302" s="2" t="s">
        <v>23</v>
      </c>
      <c r="C302" s="22" t="s">
        <v>2318</v>
      </c>
      <c r="D302" s="111" t="s">
        <v>95</v>
      </c>
      <c r="E302" s="18" t="s">
        <v>2319</v>
      </c>
      <c r="F302" s="4" t="str">
        <f t="shared" si="14"/>
        <v>EUB09D700740</v>
      </c>
      <c r="G302" s="4">
        <v>2349</v>
      </c>
      <c r="H302" s="4" t="s">
        <v>2850</v>
      </c>
      <c r="I302" s="2" t="s">
        <v>1728</v>
      </c>
      <c r="J302" s="19" t="str">
        <f t="shared" si="15"/>
        <v>SM-2024/5717</v>
      </c>
      <c r="K302" s="2">
        <f t="shared" ref="K302:K322" si="17">IFERROR(VLOOKUP(E302,poprice,4,0),"")</f>
        <v>273.3</v>
      </c>
    </row>
    <row r="303" spans="1:11" ht="30" customHeight="1" x14ac:dyDescent="0.25">
      <c r="A303" s="14">
        <v>45419</v>
      </c>
      <c r="B303" s="2" t="s">
        <v>16</v>
      </c>
      <c r="C303" s="22" t="s">
        <v>2316</v>
      </c>
      <c r="D303" s="111" t="s">
        <v>95</v>
      </c>
      <c r="E303" s="18" t="s">
        <v>2317</v>
      </c>
      <c r="F303" s="4" t="str">
        <f t="shared" si="14"/>
        <v>EUB09D700851</v>
      </c>
      <c r="G303" s="4">
        <v>4366</v>
      </c>
      <c r="H303" s="4" t="s">
        <v>2852</v>
      </c>
      <c r="J303" s="19" t="str">
        <f t="shared" si="15"/>
        <v>Nem Heineken Költség</v>
      </c>
      <c r="K303" s="2" t="str">
        <f t="shared" si="17"/>
        <v/>
      </c>
    </row>
    <row r="304" spans="1:11" ht="30" customHeight="1" x14ac:dyDescent="0.25">
      <c r="A304" s="14">
        <v>45419</v>
      </c>
      <c r="B304" s="2" t="s">
        <v>18</v>
      </c>
      <c r="C304" s="22" t="s">
        <v>2314</v>
      </c>
      <c r="D304" s="111" t="s">
        <v>95</v>
      </c>
      <c r="E304" s="18" t="s">
        <v>2315</v>
      </c>
      <c r="F304" s="4" t="str">
        <f t="shared" si="14"/>
        <v>EUB09D700992</v>
      </c>
      <c r="G304" s="4">
        <v>6299</v>
      </c>
      <c r="H304" s="4" t="s">
        <v>2851</v>
      </c>
      <c r="J304" s="19" t="str">
        <f t="shared" si="15"/>
        <v>Nem Heineken Költség</v>
      </c>
      <c r="K304" s="2" t="str">
        <f t="shared" si="17"/>
        <v/>
      </c>
    </row>
    <row r="305" spans="1:11" ht="30" customHeight="1" x14ac:dyDescent="0.25">
      <c r="A305" s="14">
        <v>45419</v>
      </c>
      <c r="B305" s="2" t="s">
        <v>78</v>
      </c>
      <c r="C305" s="35" t="s">
        <v>2312</v>
      </c>
      <c r="D305" s="111" t="s">
        <v>95</v>
      </c>
      <c r="E305" s="18" t="s">
        <v>2313</v>
      </c>
      <c r="F305" s="4" t="str">
        <f t="shared" si="14"/>
        <v>PTP200R239152</v>
      </c>
      <c r="G305" s="4">
        <v>1842</v>
      </c>
      <c r="H305" s="4" t="s">
        <v>2851</v>
      </c>
      <c r="I305" s="2" t="s">
        <v>1728</v>
      </c>
      <c r="J305" s="19" t="str">
        <f t="shared" si="15"/>
        <v>SM-2024/5725</v>
      </c>
      <c r="K305" s="2">
        <f t="shared" si="17"/>
        <v>348.95</v>
      </c>
    </row>
    <row r="306" spans="1:11" ht="30" customHeight="1" x14ac:dyDescent="0.25">
      <c r="A306" s="14">
        <v>45418</v>
      </c>
      <c r="B306" s="2" t="s">
        <v>52</v>
      </c>
      <c r="C306" s="22" t="s">
        <v>2256</v>
      </c>
      <c r="D306" s="111" t="s">
        <v>95</v>
      </c>
      <c r="E306" s="18" t="s">
        <v>2257</v>
      </c>
      <c r="F306" s="4" t="str">
        <f t="shared" si="14"/>
        <v>Nincs Adat</v>
      </c>
      <c r="G306" s="4"/>
      <c r="H306" s="4" t="s">
        <v>2850</v>
      </c>
      <c r="J306" s="19" t="str">
        <f t="shared" si="15"/>
        <v>Nem Heineken Költség</v>
      </c>
      <c r="K306" s="2" t="str">
        <f t="shared" si="17"/>
        <v/>
      </c>
    </row>
    <row r="307" spans="1:11" ht="30" customHeight="1" x14ac:dyDescent="0.25">
      <c r="A307" s="14">
        <v>45418</v>
      </c>
      <c r="B307" s="2" t="s">
        <v>36</v>
      </c>
      <c r="C307" s="22" t="s">
        <v>2256</v>
      </c>
      <c r="D307" s="111" t="s">
        <v>95</v>
      </c>
      <c r="E307" s="18" t="s">
        <v>2257</v>
      </c>
      <c r="F307" s="4" t="str">
        <f t="shared" si="14"/>
        <v>Nincs Adat</v>
      </c>
      <c r="G307" s="4"/>
      <c r="H307" s="4" t="s">
        <v>2850</v>
      </c>
      <c r="J307" s="19" t="str">
        <f t="shared" si="15"/>
        <v>Nem Heineken Költség</v>
      </c>
      <c r="K307" s="2" t="str">
        <f t="shared" si="17"/>
        <v/>
      </c>
    </row>
    <row r="308" spans="1:11" ht="30" customHeight="1" x14ac:dyDescent="0.25">
      <c r="A308" s="14">
        <v>45418</v>
      </c>
      <c r="B308" s="2" t="s">
        <v>57</v>
      </c>
      <c r="C308" s="22" t="s">
        <v>2256</v>
      </c>
      <c r="D308" s="111" t="s">
        <v>95</v>
      </c>
      <c r="E308" s="18" t="s">
        <v>2257</v>
      </c>
      <c r="F308" s="4" t="str">
        <f t="shared" si="14"/>
        <v>Nincs Adat</v>
      </c>
      <c r="G308" s="4"/>
      <c r="H308" s="4" t="s">
        <v>2850</v>
      </c>
      <c r="J308" s="19" t="str">
        <f t="shared" si="15"/>
        <v>Nem Heineken Költség</v>
      </c>
      <c r="K308" s="2" t="str">
        <f t="shared" si="17"/>
        <v/>
      </c>
    </row>
    <row r="309" spans="1:11" ht="30" customHeight="1" x14ac:dyDescent="0.25">
      <c r="A309" s="14">
        <v>45418</v>
      </c>
      <c r="B309" s="2" t="s">
        <v>38</v>
      </c>
      <c r="C309" s="22" t="s">
        <v>2256</v>
      </c>
      <c r="D309" s="111" t="s">
        <v>95</v>
      </c>
      <c r="E309" s="18" t="s">
        <v>2257</v>
      </c>
      <c r="F309" s="4" t="str">
        <f t="shared" si="14"/>
        <v>Nincs Adat</v>
      </c>
      <c r="G309" s="4"/>
      <c r="H309" s="4" t="s">
        <v>2850</v>
      </c>
      <c r="J309" s="19" t="str">
        <f t="shared" si="15"/>
        <v>Nem Heineken Költség</v>
      </c>
      <c r="K309" s="2" t="str">
        <f t="shared" si="17"/>
        <v/>
      </c>
    </row>
    <row r="310" spans="1:11" ht="30" customHeight="1" x14ac:dyDescent="0.25">
      <c r="A310" s="14">
        <v>45418</v>
      </c>
      <c r="B310" s="2" t="s">
        <v>43</v>
      </c>
      <c r="C310" s="22" t="s">
        <v>2256</v>
      </c>
      <c r="D310" s="111" t="s">
        <v>95</v>
      </c>
      <c r="E310" s="18" t="s">
        <v>2257</v>
      </c>
      <c r="F310" s="4" t="str">
        <f t="shared" si="14"/>
        <v>Nincs Adat</v>
      </c>
      <c r="G310" s="4"/>
      <c r="H310" s="4" t="s">
        <v>2850</v>
      </c>
      <c r="J310" s="19" t="str">
        <f t="shared" si="15"/>
        <v>Nem Heineken Költség</v>
      </c>
      <c r="K310" s="2" t="str">
        <f t="shared" si="17"/>
        <v/>
      </c>
    </row>
    <row r="311" spans="1:11" ht="30" customHeight="1" x14ac:dyDescent="0.25">
      <c r="A311" s="14">
        <v>45418</v>
      </c>
      <c r="B311" s="2" t="s">
        <v>26</v>
      </c>
      <c r="C311" s="35" t="s">
        <v>2254</v>
      </c>
      <c r="D311" s="111" t="s">
        <v>95</v>
      </c>
      <c r="E311" s="18" t="s">
        <v>2255</v>
      </c>
      <c r="F311" s="4" t="str">
        <f t="shared" si="14"/>
        <v>EFC09D60002</v>
      </c>
      <c r="G311" s="4">
        <v>6297</v>
      </c>
      <c r="H311" s="4" t="s">
        <v>2850</v>
      </c>
      <c r="J311" s="19" t="str">
        <f t="shared" si="15"/>
        <v>Nem Heineken Költség</v>
      </c>
      <c r="K311" s="2" t="str">
        <f t="shared" si="17"/>
        <v/>
      </c>
    </row>
    <row r="312" spans="1:11" ht="30" customHeight="1" x14ac:dyDescent="0.25">
      <c r="A312" s="14">
        <v>45414</v>
      </c>
      <c r="B312" s="2" t="s">
        <v>77</v>
      </c>
      <c r="C312" s="22" t="s">
        <v>2268</v>
      </c>
      <c r="D312" s="111" t="s">
        <v>95</v>
      </c>
      <c r="E312" s="18" t="s">
        <v>2269</v>
      </c>
      <c r="F312" s="4" t="str">
        <f t="shared" si="14"/>
        <v>PTP200R239151</v>
      </c>
      <c r="G312" s="4">
        <v>1109</v>
      </c>
      <c r="H312" s="4" t="s">
        <v>2852</v>
      </c>
      <c r="J312" s="19" t="str">
        <f t="shared" si="15"/>
        <v>Nem Heineken Költség</v>
      </c>
      <c r="K312" s="2" t="str">
        <f t="shared" si="17"/>
        <v/>
      </c>
    </row>
    <row r="313" spans="1:11" ht="30" customHeight="1" x14ac:dyDescent="0.25">
      <c r="A313" s="14">
        <v>45414</v>
      </c>
      <c r="B313" s="2" t="s">
        <v>49</v>
      </c>
      <c r="C313" s="22" t="s">
        <v>2266</v>
      </c>
      <c r="D313" s="111" t="s">
        <v>95</v>
      </c>
      <c r="E313" s="18" t="s">
        <v>2267</v>
      </c>
      <c r="F313" s="4" t="str">
        <f t="shared" si="14"/>
        <v>Nincs Adat</v>
      </c>
      <c r="G313" s="4"/>
      <c r="H313" s="4" t="s">
        <v>2850</v>
      </c>
      <c r="J313" s="19" t="str">
        <f t="shared" si="15"/>
        <v>Nem Heineken Költség</v>
      </c>
      <c r="K313" s="2" t="str">
        <f t="shared" si="17"/>
        <v/>
      </c>
    </row>
    <row r="314" spans="1:11" ht="30" customHeight="1" x14ac:dyDescent="0.25">
      <c r="A314" s="14">
        <v>45414</v>
      </c>
      <c r="B314" s="2" t="s">
        <v>49</v>
      </c>
      <c r="C314" s="22" t="s">
        <v>2264</v>
      </c>
      <c r="D314" s="111" t="s">
        <v>95</v>
      </c>
      <c r="E314" s="18" t="s">
        <v>2265</v>
      </c>
      <c r="F314" s="4" t="str">
        <f t="shared" si="14"/>
        <v>Nincs Adat</v>
      </c>
      <c r="G314" s="4"/>
      <c r="H314" s="4" t="s">
        <v>2850</v>
      </c>
      <c r="J314" s="19" t="str">
        <f t="shared" si="15"/>
        <v>Nem Heineken Költség</v>
      </c>
      <c r="K314" s="2" t="str">
        <f t="shared" si="17"/>
        <v/>
      </c>
    </row>
    <row r="315" spans="1:11" ht="30" customHeight="1" x14ac:dyDescent="0.25">
      <c r="A315" s="14">
        <v>45414</v>
      </c>
      <c r="B315" s="2" t="s">
        <v>4</v>
      </c>
      <c r="C315" s="22" t="s">
        <v>2262</v>
      </c>
      <c r="D315" s="111" t="s">
        <v>95</v>
      </c>
      <c r="E315" s="18" t="s">
        <v>2263</v>
      </c>
      <c r="F315" s="4" t="str">
        <f t="shared" si="14"/>
        <v>JAG2N1E701604</v>
      </c>
      <c r="G315" s="4">
        <v>1996</v>
      </c>
      <c r="H315" s="4"/>
      <c r="J315" s="19" t="str">
        <f t="shared" si="15"/>
        <v>Nem Heineken Költség</v>
      </c>
      <c r="K315" s="2" t="str">
        <f t="shared" si="17"/>
        <v/>
      </c>
    </row>
    <row r="316" spans="1:11" ht="30" customHeight="1" x14ac:dyDescent="0.25">
      <c r="A316" s="14">
        <v>45414</v>
      </c>
      <c r="B316" s="2" t="s">
        <v>157</v>
      </c>
      <c r="C316" s="22" t="s">
        <v>2260</v>
      </c>
      <c r="D316" s="111" t="s">
        <v>95</v>
      </c>
      <c r="E316" s="18" t="s">
        <v>2261</v>
      </c>
      <c r="F316" s="4" t="str">
        <f t="shared" si="14"/>
        <v>F24537B00021</v>
      </c>
      <c r="G316" s="4">
        <v>350</v>
      </c>
      <c r="H316" s="4"/>
      <c r="J316" s="19" t="str">
        <f t="shared" si="15"/>
        <v>Nem Heineken Költség</v>
      </c>
      <c r="K316" s="2" t="str">
        <f t="shared" si="17"/>
        <v/>
      </c>
    </row>
    <row r="317" spans="1:11" ht="30" customHeight="1" x14ac:dyDescent="0.25">
      <c r="A317" s="14">
        <v>45414</v>
      </c>
      <c r="B317" s="2" t="s">
        <v>24</v>
      </c>
      <c r="C317" s="22" t="s">
        <v>2258</v>
      </c>
      <c r="D317" s="111" t="s">
        <v>95</v>
      </c>
      <c r="E317" s="18" t="s">
        <v>2259</v>
      </c>
      <c r="F317" s="4" t="str">
        <f t="shared" si="14"/>
        <v>EUB09D700704</v>
      </c>
      <c r="G317" s="4">
        <v>2884</v>
      </c>
      <c r="H317" s="4"/>
      <c r="J317" s="19" t="str">
        <f t="shared" si="15"/>
        <v>Nem Heineken Költség</v>
      </c>
      <c r="K317" s="2" t="str">
        <f t="shared" si="17"/>
        <v/>
      </c>
    </row>
    <row r="318" spans="1:11" ht="30" customHeight="1" x14ac:dyDescent="0.25">
      <c r="A318" s="14">
        <v>45412</v>
      </c>
      <c r="B318" s="2" t="s">
        <v>891</v>
      </c>
      <c r="C318" s="22" t="s">
        <v>2281</v>
      </c>
      <c r="D318" s="111" t="s">
        <v>95</v>
      </c>
      <c r="E318" s="18" t="s">
        <v>2282</v>
      </c>
      <c r="F318" s="4">
        <f t="shared" si="14"/>
        <v>10817</v>
      </c>
      <c r="G318" s="4"/>
      <c r="H318" s="4"/>
      <c r="J318" s="19" t="str">
        <f t="shared" si="15"/>
        <v>Nem Heineken Költség</v>
      </c>
      <c r="K318" s="2" t="str">
        <f t="shared" si="17"/>
        <v/>
      </c>
    </row>
    <row r="319" spans="1:11" ht="30" customHeight="1" x14ac:dyDescent="0.25">
      <c r="A319" s="14">
        <v>45412</v>
      </c>
      <c r="B319" s="2" t="s">
        <v>10</v>
      </c>
      <c r="C319" s="22" t="s">
        <v>2279</v>
      </c>
      <c r="D319" s="111" t="s">
        <v>95</v>
      </c>
      <c r="E319" s="18" t="s">
        <v>2280</v>
      </c>
      <c r="F319" s="4" t="str">
        <f t="shared" si="14"/>
        <v>EUB09D700794</v>
      </c>
      <c r="G319" s="4">
        <v>3948</v>
      </c>
      <c r="H319" s="4"/>
      <c r="J319" s="19" t="str">
        <f t="shared" si="15"/>
        <v>Nem Heineken Költség</v>
      </c>
      <c r="K319" s="2" t="str">
        <f t="shared" si="17"/>
        <v/>
      </c>
    </row>
    <row r="320" spans="1:11" ht="30" customHeight="1" x14ac:dyDescent="0.25">
      <c r="A320" s="14">
        <v>45412</v>
      </c>
      <c r="B320" s="2" t="s">
        <v>79</v>
      </c>
      <c r="C320" s="22" t="s">
        <v>2277</v>
      </c>
      <c r="D320" s="111" t="s">
        <v>95</v>
      </c>
      <c r="E320" s="18" t="s">
        <v>2278</v>
      </c>
      <c r="F320" s="4" t="str">
        <f t="shared" si="14"/>
        <v>PTP200R239153</v>
      </c>
      <c r="G320" s="4">
        <v>1763</v>
      </c>
      <c r="H320" s="4"/>
      <c r="J320" s="19" t="str">
        <f t="shared" si="15"/>
        <v>Nem Heineken Költség</v>
      </c>
      <c r="K320" s="2" t="str">
        <f t="shared" si="17"/>
        <v/>
      </c>
    </row>
    <row r="321" spans="1:11" ht="30" customHeight="1" x14ac:dyDescent="0.25">
      <c r="A321" s="14">
        <v>45412</v>
      </c>
      <c r="B321" s="2" t="s">
        <v>19</v>
      </c>
      <c r="C321" s="22" t="s">
        <v>2275</v>
      </c>
      <c r="D321" s="111" t="s">
        <v>95</v>
      </c>
      <c r="E321" s="18" t="s">
        <v>2276</v>
      </c>
      <c r="F321" s="4" t="str">
        <f t="shared" si="14"/>
        <v>EUB09D700836</v>
      </c>
      <c r="G321" s="4">
        <v>5745</v>
      </c>
      <c r="H321" s="4"/>
      <c r="J321" s="19" t="str">
        <f t="shared" si="15"/>
        <v>Nem Heineken Költség</v>
      </c>
      <c r="K321" s="2" t="str">
        <f t="shared" si="17"/>
        <v/>
      </c>
    </row>
    <row r="322" spans="1:11" ht="30" customHeight="1" x14ac:dyDescent="0.25">
      <c r="A322" s="14">
        <v>45412</v>
      </c>
      <c r="B322" s="2" t="s">
        <v>19</v>
      </c>
      <c r="C322" s="22" t="s">
        <v>2270</v>
      </c>
      <c r="D322" s="111" t="s">
        <v>95</v>
      </c>
      <c r="E322" s="18" t="s">
        <v>2274</v>
      </c>
      <c r="F322" s="4" t="str">
        <f t="shared" si="14"/>
        <v>EUB09D700836</v>
      </c>
      <c r="G322" s="4">
        <v>5745</v>
      </c>
      <c r="H322" s="4"/>
      <c r="J322" s="19" t="str">
        <f t="shared" si="15"/>
        <v>Nem Heineken Költség</v>
      </c>
      <c r="K322" s="2" t="str">
        <f t="shared" si="17"/>
        <v/>
      </c>
    </row>
    <row r="323" spans="1:11" ht="30" customHeight="1" x14ac:dyDescent="0.25">
      <c r="A323" s="14">
        <v>45412</v>
      </c>
      <c r="B323" s="2" t="s">
        <v>1785</v>
      </c>
      <c r="C323" s="533" t="s">
        <v>2272</v>
      </c>
      <c r="D323" s="111" t="s">
        <v>95</v>
      </c>
      <c r="E323" s="18" t="s">
        <v>2273</v>
      </c>
      <c r="F323" s="4" t="str">
        <f t="shared" ref="F323:F386" si="18">IFERROR(VLOOKUP(B323,targlist02,3,0),"Nincs Adat")</f>
        <v>Nincs Adat</v>
      </c>
      <c r="G323" s="4"/>
      <c r="H323" s="465" t="s">
        <v>2118</v>
      </c>
      <c r="I323" s="2" t="s">
        <v>1728</v>
      </c>
      <c r="J323" s="19" t="str">
        <f t="shared" ref="J323:J386" si="19">IF(I323="H",IFERROR(VLOOKUP(E323,podone,1,0),"Nincs Po"),"Nem Heineken Költség")</f>
        <v>Nincs Po</v>
      </c>
      <c r="K323" s="2" t="s">
        <v>2118</v>
      </c>
    </row>
    <row r="324" spans="1:11" ht="30" customHeight="1" x14ac:dyDescent="0.25">
      <c r="A324" s="14">
        <v>45411</v>
      </c>
      <c r="B324" s="2" t="s">
        <v>19</v>
      </c>
      <c r="C324" s="22" t="s">
        <v>2275</v>
      </c>
      <c r="D324" s="111" t="s">
        <v>95</v>
      </c>
      <c r="E324" s="18" t="s">
        <v>2283</v>
      </c>
      <c r="F324" s="4" t="str">
        <f t="shared" si="18"/>
        <v>EUB09D700836</v>
      </c>
      <c r="G324" s="4">
        <v>5745</v>
      </c>
      <c r="H324" s="4"/>
      <c r="J324" s="19" t="str">
        <f t="shared" si="19"/>
        <v>Nem Heineken Költség</v>
      </c>
      <c r="K324" s="2" t="str">
        <f t="shared" ref="K324:K355" si="20">IFERROR(VLOOKUP(E324,poprice,4,0),"")</f>
        <v/>
      </c>
    </row>
    <row r="325" spans="1:11" ht="30" customHeight="1" x14ac:dyDescent="0.25">
      <c r="A325" s="14">
        <v>45411</v>
      </c>
      <c r="B325" s="2" t="s">
        <v>19</v>
      </c>
      <c r="C325" s="22" t="s">
        <v>2270</v>
      </c>
      <c r="D325" s="111" t="s">
        <v>95</v>
      </c>
      <c r="E325" s="18" t="s">
        <v>2271</v>
      </c>
      <c r="F325" s="4" t="str">
        <f t="shared" si="18"/>
        <v>EUB09D700836</v>
      </c>
      <c r="G325" s="4">
        <v>5745</v>
      </c>
      <c r="H325" s="4"/>
      <c r="J325" s="19" t="str">
        <f t="shared" si="19"/>
        <v>Nem Heineken Költség</v>
      </c>
      <c r="K325" s="2" t="str">
        <f t="shared" si="20"/>
        <v/>
      </c>
    </row>
    <row r="326" spans="1:11" ht="30" customHeight="1" x14ac:dyDescent="0.25">
      <c r="A326" s="14">
        <v>45408</v>
      </c>
      <c r="B326" s="2" t="s">
        <v>158</v>
      </c>
      <c r="C326" s="22" t="s">
        <v>2292</v>
      </c>
      <c r="D326" s="111" t="s">
        <v>95</v>
      </c>
      <c r="E326" s="18" t="s">
        <v>2293</v>
      </c>
      <c r="F326" s="4" t="str">
        <f t="shared" si="18"/>
        <v>F24537B00022</v>
      </c>
      <c r="G326" s="4">
        <v>2894</v>
      </c>
      <c r="H326" s="4"/>
      <c r="J326" s="19" t="str">
        <f t="shared" si="19"/>
        <v>Nem Heineken Költség</v>
      </c>
      <c r="K326" s="2" t="str">
        <f t="shared" si="20"/>
        <v/>
      </c>
    </row>
    <row r="327" spans="1:11" ht="30" customHeight="1" x14ac:dyDescent="0.25">
      <c r="A327" s="14">
        <v>45408</v>
      </c>
      <c r="B327" s="2" t="s">
        <v>19</v>
      </c>
      <c r="C327" s="22" t="s">
        <v>2270</v>
      </c>
      <c r="D327" s="111" t="s">
        <v>95</v>
      </c>
      <c r="E327" s="18" t="s">
        <v>2291</v>
      </c>
      <c r="F327" s="4" t="str">
        <f t="shared" si="18"/>
        <v>EUB09D700836</v>
      </c>
      <c r="G327" s="4">
        <v>5745</v>
      </c>
      <c r="H327" s="4"/>
      <c r="J327" s="19" t="str">
        <f t="shared" si="19"/>
        <v>Nem Heineken Költség</v>
      </c>
      <c r="K327" s="2" t="str">
        <f t="shared" si="20"/>
        <v/>
      </c>
    </row>
    <row r="328" spans="1:11" ht="30" customHeight="1" x14ac:dyDescent="0.25">
      <c r="A328" s="14">
        <v>45408</v>
      </c>
      <c r="B328" s="2" t="s">
        <v>81</v>
      </c>
      <c r="C328" s="35" t="s">
        <v>2289</v>
      </c>
      <c r="D328" s="111" t="s">
        <v>95</v>
      </c>
      <c r="E328" s="18" t="s">
        <v>2290</v>
      </c>
      <c r="F328" s="4" t="str">
        <f t="shared" si="18"/>
        <v>PTP200R239155</v>
      </c>
      <c r="G328" s="4">
        <v>457</v>
      </c>
      <c r="H328" s="4"/>
      <c r="I328" s="2" t="s">
        <v>1728</v>
      </c>
      <c r="J328" s="19" t="str">
        <f t="shared" si="19"/>
        <v>SM-2024/5344</v>
      </c>
      <c r="K328" s="2">
        <f t="shared" si="20"/>
        <v>340.16</v>
      </c>
    </row>
    <row r="329" spans="1:11" ht="30" customHeight="1" x14ac:dyDescent="0.25">
      <c r="A329" s="14">
        <v>45408</v>
      </c>
      <c r="B329" s="2" t="s">
        <v>19</v>
      </c>
      <c r="C329" s="22" t="s">
        <v>2275</v>
      </c>
      <c r="D329" s="111" t="s">
        <v>95</v>
      </c>
      <c r="E329" s="18" t="s">
        <v>2288</v>
      </c>
      <c r="F329" s="4" t="str">
        <f t="shared" si="18"/>
        <v>EUB09D700836</v>
      </c>
      <c r="G329" s="4">
        <v>5745</v>
      </c>
      <c r="H329" s="4"/>
      <c r="J329" s="19" t="str">
        <f t="shared" si="19"/>
        <v>Nem Heineken Költség</v>
      </c>
      <c r="K329" s="2" t="str">
        <f t="shared" si="20"/>
        <v/>
      </c>
    </row>
    <row r="330" spans="1:11" ht="30" customHeight="1" x14ac:dyDescent="0.25">
      <c r="A330" s="14">
        <v>45408</v>
      </c>
      <c r="B330" s="2" t="s">
        <v>81</v>
      </c>
      <c r="C330" s="22" t="s">
        <v>2286</v>
      </c>
      <c r="D330" s="111" t="s">
        <v>95</v>
      </c>
      <c r="E330" s="18" t="s">
        <v>2287</v>
      </c>
      <c r="F330" s="4" t="str">
        <f t="shared" si="18"/>
        <v>PTP200R239155</v>
      </c>
      <c r="G330" s="4">
        <v>457</v>
      </c>
      <c r="H330" s="4"/>
      <c r="J330" s="19" t="str">
        <f t="shared" si="19"/>
        <v>Nem Heineken Költség</v>
      </c>
      <c r="K330" s="2" t="str">
        <f t="shared" si="20"/>
        <v/>
      </c>
    </row>
    <row r="331" spans="1:11" ht="30" customHeight="1" x14ac:dyDescent="0.25">
      <c r="A331" s="14">
        <v>45408</v>
      </c>
      <c r="B331" s="2" t="s">
        <v>5</v>
      </c>
      <c r="C331" s="22" t="s">
        <v>2284</v>
      </c>
      <c r="D331" s="111" t="s">
        <v>95</v>
      </c>
      <c r="E331" s="18" t="s">
        <v>2285</v>
      </c>
      <c r="F331" s="4" t="str">
        <f t="shared" si="18"/>
        <v>JAG2N1E701603</v>
      </c>
      <c r="G331" s="4">
        <v>1250</v>
      </c>
      <c r="H331" s="4"/>
      <c r="J331" s="19" t="str">
        <f t="shared" si="19"/>
        <v>Nem Heineken Költség</v>
      </c>
      <c r="K331" s="2" t="str">
        <f t="shared" si="20"/>
        <v/>
      </c>
    </row>
    <row r="332" spans="1:11" ht="30" customHeight="1" x14ac:dyDescent="0.25">
      <c r="A332" s="14">
        <v>45407</v>
      </c>
      <c r="B332" s="2" t="s">
        <v>6</v>
      </c>
      <c r="C332" s="22" t="s">
        <v>2298</v>
      </c>
      <c r="D332" s="111" t="s">
        <v>95</v>
      </c>
      <c r="E332" s="18" t="s">
        <v>2299</v>
      </c>
      <c r="F332" s="4" t="str">
        <f t="shared" si="18"/>
        <v>EUB09D700742</v>
      </c>
      <c r="G332" s="4">
        <v>5392</v>
      </c>
      <c r="H332" s="4"/>
      <c r="J332" s="19" t="str">
        <f t="shared" si="19"/>
        <v>Nem Heineken Költség</v>
      </c>
      <c r="K332" s="2" t="str">
        <f t="shared" si="20"/>
        <v/>
      </c>
    </row>
    <row r="333" spans="1:11" ht="30" customHeight="1" x14ac:dyDescent="0.25">
      <c r="A333" s="14">
        <v>45407</v>
      </c>
      <c r="B333" s="2" t="s">
        <v>19</v>
      </c>
      <c r="C333" s="22" t="s">
        <v>2296</v>
      </c>
      <c r="D333" s="111" t="s">
        <v>95</v>
      </c>
      <c r="E333" s="18" t="s">
        <v>2297</v>
      </c>
      <c r="F333" s="4" t="str">
        <f t="shared" si="18"/>
        <v>EUB09D700836</v>
      </c>
      <c r="G333" s="4">
        <v>5742</v>
      </c>
      <c r="H333" s="4"/>
      <c r="J333" s="19" t="str">
        <f t="shared" si="19"/>
        <v>Nem Heineken Költség</v>
      </c>
      <c r="K333" s="2" t="str">
        <f t="shared" si="20"/>
        <v/>
      </c>
    </row>
    <row r="334" spans="1:11" ht="30" customHeight="1" x14ac:dyDescent="0.25">
      <c r="A334" s="14">
        <v>45407</v>
      </c>
      <c r="B334" s="2" t="s">
        <v>158</v>
      </c>
      <c r="C334" s="35" t="s">
        <v>2294</v>
      </c>
      <c r="D334" s="111" t="s">
        <v>95</v>
      </c>
      <c r="E334" s="18" t="s">
        <v>2295</v>
      </c>
      <c r="F334" s="4" t="str">
        <f t="shared" si="18"/>
        <v>F24537B00022</v>
      </c>
      <c r="G334" s="4">
        <v>2891</v>
      </c>
      <c r="H334" s="4"/>
      <c r="I334" s="2" t="s">
        <v>1728</v>
      </c>
      <c r="J334" s="19" t="str">
        <f t="shared" si="19"/>
        <v>SM-2024/5286</v>
      </c>
      <c r="K334" s="2">
        <f t="shared" si="20"/>
        <v>496.79</v>
      </c>
    </row>
    <row r="335" spans="1:11" ht="30" customHeight="1" x14ac:dyDescent="0.25">
      <c r="A335" s="14">
        <v>45404</v>
      </c>
      <c r="B335" s="2" t="s">
        <v>7</v>
      </c>
      <c r="C335" s="22" t="s">
        <v>2252</v>
      </c>
      <c r="D335" s="111" t="s">
        <v>95</v>
      </c>
      <c r="E335" s="18" t="s">
        <v>2253</v>
      </c>
      <c r="F335" s="4" t="str">
        <f t="shared" si="18"/>
        <v>EUB09D700743</v>
      </c>
      <c r="G335" s="4">
        <v>4968</v>
      </c>
      <c r="H335" s="4"/>
      <c r="J335" s="19" t="str">
        <f t="shared" si="19"/>
        <v>Nem Heineken Költség</v>
      </c>
      <c r="K335" s="2" t="str">
        <f t="shared" si="20"/>
        <v/>
      </c>
    </row>
    <row r="336" spans="1:11" ht="30" customHeight="1" x14ac:dyDescent="0.25">
      <c r="A336" s="14">
        <v>45404</v>
      </c>
      <c r="B336" s="2" t="s">
        <v>16</v>
      </c>
      <c r="C336" s="22" t="s">
        <v>2308</v>
      </c>
      <c r="D336" s="111" t="s">
        <v>95</v>
      </c>
      <c r="E336" s="18" t="s">
        <v>2309</v>
      </c>
      <c r="F336" s="4" t="str">
        <f t="shared" si="18"/>
        <v>EUB09D700851</v>
      </c>
      <c r="G336" s="4">
        <v>4290</v>
      </c>
      <c r="H336" s="4"/>
      <c r="J336" s="19" t="str">
        <f t="shared" si="19"/>
        <v>Nem Heineken Költség</v>
      </c>
      <c r="K336" s="2" t="str">
        <f t="shared" si="20"/>
        <v/>
      </c>
    </row>
    <row r="337" spans="1:11" ht="30" customHeight="1" x14ac:dyDescent="0.25">
      <c r="A337" s="14">
        <v>45404</v>
      </c>
      <c r="B337" s="2" t="s">
        <v>5</v>
      </c>
      <c r="C337" s="22" t="s">
        <v>2306</v>
      </c>
      <c r="D337" s="111" t="s">
        <v>95</v>
      </c>
      <c r="E337" s="18" t="s">
        <v>2307</v>
      </c>
      <c r="F337" s="4" t="str">
        <f t="shared" si="18"/>
        <v>JAG2N1E701603</v>
      </c>
      <c r="G337" s="4">
        <v>1248</v>
      </c>
      <c r="H337" s="4"/>
      <c r="J337" s="19" t="str">
        <f t="shared" si="19"/>
        <v>Nem Heineken Költség</v>
      </c>
      <c r="K337" s="2" t="str">
        <f t="shared" si="20"/>
        <v/>
      </c>
    </row>
    <row r="338" spans="1:11" ht="30" customHeight="1" x14ac:dyDescent="0.25">
      <c r="A338" s="14">
        <v>45404</v>
      </c>
      <c r="B338" s="2" t="s">
        <v>36</v>
      </c>
      <c r="C338" s="22" t="s">
        <v>2304</v>
      </c>
      <c r="D338" s="111" t="s">
        <v>95</v>
      </c>
      <c r="E338" s="18" t="s">
        <v>2305</v>
      </c>
      <c r="F338" s="4" t="str">
        <f t="shared" si="18"/>
        <v>Nincs Adat</v>
      </c>
      <c r="G338" s="4"/>
      <c r="H338" s="4"/>
      <c r="J338" s="19" t="str">
        <f t="shared" si="19"/>
        <v>Nem Heineken Költség</v>
      </c>
      <c r="K338" s="2" t="str">
        <f t="shared" si="20"/>
        <v/>
      </c>
    </row>
    <row r="339" spans="1:11" ht="30" customHeight="1" x14ac:dyDescent="0.25">
      <c r="A339" s="14">
        <v>45404</v>
      </c>
      <c r="B339" s="2" t="s">
        <v>1203</v>
      </c>
      <c r="C339" s="22" t="s">
        <v>2302</v>
      </c>
      <c r="D339" s="111" t="s">
        <v>95</v>
      </c>
      <c r="E339" s="18" t="s">
        <v>2303</v>
      </c>
      <c r="F339" s="4" t="str">
        <f t="shared" si="18"/>
        <v>Nincs Adat</v>
      </c>
      <c r="G339" s="4">
        <v>1311</v>
      </c>
      <c r="H339" s="4"/>
      <c r="J339" s="19" t="str">
        <f t="shared" si="19"/>
        <v>Nem Heineken Költség</v>
      </c>
      <c r="K339" s="2" t="str">
        <f t="shared" si="20"/>
        <v/>
      </c>
    </row>
    <row r="340" spans="1:11" ht="30" customHeight="1" x14ac:dyDescent="0.25">
      <c r="A340" s="14">
        <v>45404</v>
      </c>
      <c r="B340" s="2" t="s">
        <v>891</v>
      </c>
      <c r="C340" s="22" t="s">
        <v>2300</v>
      </c>
      <c r="D340" s="111" t="s">
        <v>95</v>
      </c>
      <c r="E340" s="18" t="s">
        <v>2301</v>
      </c>
      <c r="F340" s="4">
        <f t="shared" si="18"/>
        <v>10817</v>
      </c>
      <c r="G340" s="4"/>
      <c r="H340" s="4"/>
      <c r="J340" s="19" t="str">
        <f t="shared" si="19"/>
        <v>Nem Heineken Költség</v>
      </c>
      <c r="K340" s="2" t="str">
        <f t="shared" si="20"/>
        <v/>
      </c>
    </row>
    <row r="341" spans="1:11" ht="30" customHeight="1" x14ac:dyDescent="0.25">
      <c r="A341" s="14">
        <v>45404</v>
      </c>
      <c r="B341" s="2" t="s">
        <v>7</v>
      </c>
      <c r="C341" s="22" t="s">
        <v>2252</v>
      </c>
      <c r="D341" s="111" t="s">
        <v>95</v>
      </c>
      <c r="E341" s="18" t="s">
        <v>2253</v>
      </c>
      <c r="F341" s="4" t="str">
        <f t="shared" si="18"/>
        <v>EUB09D700743</v>
      </c>
      <c r="G341" s="4">
        <v>4968</v>
      </c>
      <c r="H341" s="4"/>
      <c r="J341" s="19" t="str">
        <f t="shared" si="19"/>
        <v>Nem Heineken Költség</v>
      </c>
      <c r="K341" s="2" t="str">
        <f t="shared" si="20"/>
        <v/>
      </c>
    </row>
    <row r="342" spans="1:11" ht="49.9" customHeight="1" x14ac:dyDescent="0.25">
      <c r="A342" s="14">
        <v>45400</v>
      </c>
      <c r="B342" s="2" t="s">
        <v>77</v>
      </c>
      <c r="C342" s="35" t="s">
        <v>2249</v>
      </c>
      <c r="D342" s="111" t="s">
        <v>95</v>
      </c>
      <c r="E342" s="18" t="s">
        <v>2250</v>
      </c>
      <c r="F342" s="4" t="str">
        <f t="shared" si="18"/>
        <v>PTP200R239151</v>
      </c>
      <c r="G342" s="4">
        <v>1091</v>
      </c>
      <c r="H342" s="4"/>
      <c r="I342" s="2" t="s">
        <v>1728</v>
      </c>
      <c r="J342" s="19" t="str">
        <f t="shared" si="19"/>
        <v>SM-2024/5017</v>
      </c>
      <c r="K342" s="2">
        <f t="shared" si="20"/>
        <v>343.41</v>
      </c>
    </row>
    <row r="343" spans="1:11" ht="30" customHeight="1" x14ac:dyDescent="0.25">
      <c r="A343" s="14">
        <v>45400</v>
      </c>
      <c r="B343" s="2" t="s">
        <v>19</v>
      </c>
      <c r="C343" s="22" t="s">
        <v>2248</v>
      </c>
      <c r="D343" s="111" t="s">
        <v>95</v>
      </c>
      <c r="E343" s="18" t="s">
        <v>2247</v>
      </c>
      <c r="F343" s="4" t="str">
        <f t="shared" si="18"/>
        <v>EUB09D700836</v>
      </c>
      <c r="G343" s="4">
        <v>5720</v>
      </c>
      <c r="H343" s="4"/>
      <c r="J343" s="19" t="str">
        <f t="shared" si="19"/>
        <v>Nem Heineken Költség</v>
      </c>
      <c r="K343" s="2" t="str">
        <f t="shared" si="20"/>
        <v/>
      </c>
    </row>
    <row r="344" spans="1:11" ht="30" customHeight="1" x14ac:dyDescent="0.25">
      <c r="A344" s="14">
        <v>45399</v>
      </c>
      <c r="B344" s="2" t="s">
        <v>19</v>
      </c>
      <c r="C344" s="22" t="s">
        <v>2241</v>
      </c>
      <c r="D344" s="111" t="s">
        <v>95</v>
      </c>
      <c r="E344" s="18" t="s">
        <v>2242</v>
      </c>
      <c r="F344" s="4" t="str">
        <f t="shared" si="18"/>
        <v>EUB09D700836</v>
      </c>
      <c r="G344" s="4">
        <v>5712</v>
      </c>
      <c r="H344" s="4"/>
      <c r="J344" s="19" t="str">
        <f t="shared" si="19"/>
        <v>Nem Heineken Költség</v>
      </c>
      <c r="K344" s="2" t="str">
        <f t="shared" si="20"/>
        <v/>
      </c>
    </row>
    <row r="345" spans="1:11" ht="30" customHeight="1" x14ac:dyDescent="0.25">
      <c r="A345" s="14">
        <v>45399</v>
      </c>
      <c r="B345" s="2" t="s">
        <v>19</v>
      </c>
      <c r="C345" s="22" t="s">
        <v>2239</v>
      </c>
      <c r="D345" s="111" t="s">
        <v>95</v>
      </c>
      <c r="E345" s="18" t="s">
        <v>2240</v>
      </c>
      <c r="F345" s="4" t="str">
        <f t="shared" si="18"/>
        <v>EUB09D700836</v>
      </c>
      <c r="G345" s="4">
        <v>5712</v>
      </c>
      <c r="H345" s="4"/>
      <c r="J345" s="19" t="str">
        <f t="shared" si="19"/>
        <v>Nem Heineken Költség</v>
      </c>
      <c r="K345" s="2" t="str">
        <f t="shared" si="20"/>
        <v/>
      </c>
    </row>
    <row r="346" spans="1:11" ht="30" customHeight="1" x14ac:dyDescent="0.25">
      <c r="A346" s="14">
        <v>45398</v>
      </c>
      <c r="B346" s="2" t="s">
        <v>19</v>
      </c>
      <c r="C346" s="22" t="s">
        <v>2246</v>
      </c>
      <c r="D346" s="111" t="s">
        <v>95</v>
      </c>
      <c r="E346" s="18" t="s">
        <v>2245</v>
      </c>
      <c r="F346" s="4" t="str">
        <f t="shared" si="18"/>
        <v>EUB09D700836</v>
      </c>
      <c r="G346" s="4">
        <v>5712</v>
      </c>
      <c r="H346" s="4"/>
      <c r="J346" s="19" t="str">
        <f t="shared" si="19"/>
        <v>Nem Heineken Költség</v>
      </c>
      <c r="K346" s="2" t="str">
        <f t="shared" si="20"/>
        <v/>
      </c>
    </row>
    <row r="347" spans="1:11" ht="30" customHeight="1" x14ac:dyDescent="0.25">
      <c r="A347" s="14">
        <v>45398</v>
      </c>
      <c r="B347" s="2" t="s">
        <v>19</v>
      </c>
      <c r="C347" s="22" t="s">
        <v>2244</v>
      </c>
      <c r="D347" s="111" t="s">
        <v>95</v>
      </c>
      <c r="E347" s="18" t="s">
        <v>2243</v>
      </c>
      <c r="F347" s="4" t="str">
        <f t="shared" si="18"/>
        <v>EUB09D700836</v>
      </c>
      <c r="G347" s="4">
        <v>5712</v>
      </c>
      <c r="H347" s="4"/>
      <c r="J347" s="19" t="str">
        <f t="shared" si="19"/>
        <v>Nem Heineken Költség</v>
      </c>
      <c r="K347" s="2" t="str">
        <f t="shared" si="20"/>
        <v/>
      </c>
    </row>
    <row r="348" spans="1:11" ht="30" customHeight="1" x14ac:dyDescent="0.25">
      <c r="A348" s="14">
        <v>45397</v>
      </c>
      <c r="B348" s="2" t="s">
        <v>79</v>
      </c>
      <c r="C348" s="35" t="s">
        <v>2237</v>
      </c>
      <c r="D348" s="111" t="s">
        <v>95</v>
      </c>
      <c r="E348" s="18" t="s">
        <v>2238</v>
      </c>
      <c r="F348" s="4" t="str">
        <f t="shared" si="18"/>
        <v>PTP200R239153</v>
      </c>
      <c r="G348" s="4">
        <v>1707</v>
      </c>
      <c r="H348" s="4"/>
      <c r="I348" s="2" t="s">
        <v>1728</v>
      </c>
      <c r="J348" s="19" t="str">
        <f t="shared" si="19"/>
        <v>SM-2024/4781</v>
      </c>
      <c r="K348" s="2">
        <f t="shared" si="20"/>
        <v>711.72</v>
      </c>
    </row>
    <row r="349" spans="1:11" ht="30" customHeight="1" x14ac:dyDescent="0.25">
      <c r="A349" s="14">
        <v>45397</v>
      </c>
      <c r="B349" s="2" t="s">
        <v>19</v>
      </c>
      <c r="C349" s="35" t="s">
        <v>2235</v>
      </c>
      <c r="D349" s="111" t="s">
        <v>95</v>
      </c>
      <c r="E349" s="18" t="s">
        <v>2236</v>
      </c>
      <c r="F349" s="4" t="str">
        <f t="shared" si="18"/>
        <v>EUB09D700836</v>
      </c>
      <c r="G349" s="4">
        <v>5712</v>
      </c>
      <c r="H349" s="4"/>
      <c r="J349" s="19" t="str">
        <f t="shared" si="19"/>
        <v>Nem Heineken Költség</v>
      </c>
      <c r="K349" s="2" t="str">
        <f t="shared" si="20"/>
        <v/>
      </c>
    </row>
    <row r="350" spans="1:11" ht="49.9" customHeight="1" x14ac:dyDescent="0.25">
      <c r="A350" s="14">
        <v>45397</v>
      </c>
      <c r="B350" s="2" t="s">
        <v>17</v>
      </c>
      <c r="C350" s="22" t="s">
        <v>2234</v>
      </c>
      <c r="D350" s="111" t="s">
        <v>95</v>
      </c>
      <c r="E350" s="18"/>
      <c r="F350" s="4" t="str">
        <f t="shared" si="18"/>
        <v>EUB09D700852</v>
      </c>
      <c r="G350" s="4">
        <v>4810</v>
      </c>
      <c r="H350" s="4"/>
      <c r="J350" s="19" t="str">
        <f t="shared" si="19"/>
        <v>Nem Heineken Költség</v>
      </c>
      <c r="K350" s="2" t="str">
        <f t="shared" si="20"/>
        <v/>
      </c>
    </row>
    <row r="351" spans="1:11" ht="30" customHeight="1" x14ac:dyDescent="0.25">
      <c r="A351" s="14">
        <v>45397</v>
      </c>
      <c r="B351" s="2" t="s">
        <v>67</v>
      </c>
      <c r="C351" s="22" t="s">
        <v>2233</v>
      </c>
      <c r="D351" s="111" t="s">
        <v>95</v>
      </c>
      <c r="E351" s="18"/>
      <c r="F351" s="4" t="str">
        <f t="shared" si="18"/>
        <v>Nincs Adat</v>
      </c>
      <c r="G351" s="4"/>
      <c r="H351" s="4"/>
      <c r="J351" s="19" t="str">
        <f t="shared" si="19"/>
        <v>Nem Heineken Költség</v>
      </c>
      <c r="K351" s="2" t="str">
        <f t="shared" si="20"/>
        <v/>
      </c>
    </row>
    <row r="352" spans="1:11" ht="30" customHeight="1" x14ac:dyDescent="0.25">
      <c r="A352" s="14">
        <v>45397</v>
      </c>
      <c r="B352" s="2" t="s">
        <v>75</v>
      </c>
      <c r="C352" s="22" t="s">
        <v>2233</v>
      </c>
      <c r="D352" s="111" t="s">
        <v>95</v>
      </c>
      <c r="E352" s="18"/>
      <c r="F352" s="4" t="str">
        <f t="shared" si="18"/>
        <v>Nincs Adat</v>
      </c>
      <c r="G352" s="4"/>
      <c r="H352" s="4"/>
      <c r="J352" s="19" t="str">
        <f t="shared" si="19"/>
        <v>Nem Heineken Költség</v>
      </c>
      <c r="K352" s="2" t="str">
        <f t="shared" si="20"/>
        <v/>
      </c>
    </row>
    <row r="353" spans="1:11" ht="30" customHeight="1" x14ac:dyDescent="0.25">
      <c r="A353" s="14">
        <v>45397</v>
      </c>
      <c r="B353" s="2" t="s">
        <v>46</v>
      </c>
      <c r="C353" s="22" t="s">
        <v>2233</v>
      </c>
      <c r="D353" s="111" t="s">
        <v>95</v>
      </c>
      <c r="E353" s="18"/>
      <c r="F353" s="4" t="str">
        <f t="shared" si="18"/>
        <v>Nincs Adat</v>
      </c>
      <c r="G353" s="4"/>
      <c r="H353" s="4"/>
      <c r="J353" s="19" t="str">
        <f t="shared" si="19"/>
        <v>Nem Heineken Költség</v>
      </c>
      <c r="K353" s="2" t="str">
        <f t="shared" si="20"/>
        <v/>
      </c>
    </row>
    <row r="354" spans="1:11" ht="30" customHeight="1" x14ac:dyDescent="0.25">
      <c r="A354" s="14">
        <v>45397</v>
      </c>
      <c r="B354" s="2" t="s">
        <v>47</v>
      </c>
      <c r="C354" s="22" t="s">
        <v>2233</v>
      </c>
      <c r="D354" s="111" t="s">
        <v>95</v>
      </c>
      <c r="E354" s="18"/>
      <c r="F354" s="4" t="str">
        <f t="shared" si="18"/>
        <v>Nincs Adat</v>
      </c>
      <c r="G354" s="4"/>
      <c r="H354" s="4"/>
      <c r="J354" s="19" t="str">
        <f t="shared" si="19"/>
        <v>Nem Heineken Költség</v>
      </c>
      <c r="K354" s="2" t="str">
        <f t="shared" si="20"/>
        <v/>
      </c>
    </row>
    <row r="355" spans="1:11" ht="30" customHeight="1" x14ac:dyDescent="0.25">
      <c r="A355" s="14">
        <v>45393</v>
      </c>
      <c r="B355" s="2" t="s">
        <v>12</v>
      </c>
      <c r="C355" s="22" t="s">
        <v>2229</v>
      </c>
      <c r="D355" s="111" t="s">
        <v>95</v>
      </c>
      <c r="E355" s="18" t="s">
        <v>2251</v>
      </c>
      <c r="F355" s="4" t="str">
        <f t="shared" si="18"/>
        <v>EUB09D700267</v>
      </c>
      <c r="G355" s="4">
        <v>3892</v>
      </c>
      <c r="H355" s="4"/>
      <c r="J355" s="19" t="str">
        <f t="shared" si="19"/>
        <v>Nem Heineken Költség</v>
      </c>
      <c r="K355" s="2" t="str">
        <f t="shared" si="20"/>
        <v/>
      </c>
    </row>
    <row r="356" spans="1:11" ht="30" customHeight="1" x14ac:dyDescent="0.25">
      <c r="A356" s="14">
        <v>45393</v>
      </c>
      <c r="B356" s="2" t="s">
        <v>23</v>
      </c>
      <c r="C356" s="22" t="s">
        <v>2228</v>
      </c>
      <c r="D356" s="111" t="s">
        <v>96</v>
      </c>
      <c r="E356" s="18"/>
      <c r="F356" s="4" t="str">
        <f t="shared" si="18"/>
        <v>EUB09D700740</v>
      </c>
      <c r="G356" s="4"/>
      <c r="H356" s="4"/>
      <c r="J356" s="19" t="str">
        <f t="shared" si="19"/>
        <v>Nem Heineken Költség</v>
      </c>
      <c r="K356" s="2" t="str">
        <f t="shared" ref="K356:K378" si="21">IFERROR(VLOOKUP(E356,poprice,4,0),"")</f>
        <v/>
      </c>
    </row>
    <row r="357" spans="1:11" ht="30" customHeight="1" x14ac:dyDescent="0.25">
      <c r="A357" s="14">
        <v>45393</v>
      </c>
      <c r="B357" s="2" t="s">
        <v>22</v>
      </c>
      <c r="C357" s="22" t="s">
        <v>2228</v>
      </c>
      <c r="D357" s="111" t="s">
        <v>96</v>
      </c>
      <c r="E357" s="18"/>
      <c r="F357" s="4" t="str">
        <f t="shared" si="18"/>
        <v>EUB09D700838</v>
      </c>
      <c r="G357" s="4"/>
      <c r="H357" s="4"/>
      <c r="J357" s="19" t="str">
        <f t="shared" si="19"/>
        <v>Nem Heineken Költség</v>
      </c>
      <c r="K357" s="2" t="str">
        <f t="shared" si="21"/>
        <v/>
      </c>
    </row>
    <row r="358" spans="1:11" ht="30" customHeight="1" x14ac:dyDescent="0.25">
      <c r="A358" s="14">
        <v>45393</v>
      </c>
      <c r="B358" s="2" t="s">
        <v>21</v>
      </c>
      <c r="C358" s="22" t="s">
        <v>2227</v>
      </c>
      <c r="D358" s="111" t="s">
        <v>95</v>
      </c>
      <c r="E358" s="18" t="s">
        <v>2232</v>
      </c>
      <c r="F358" s="4" t="str">
        <f t="shared" si="18"/>
        <v>EUB09D700842</v>
      </c>
      <c r="G358" s="4">
        <v>4588</v>
      </c>
      <c r="H358" s="4"/>
      <c r="J358" s="19" t="str">
        <f t="shared" si="19"/>
        <v>Nem Heineken Költség</v>
      </c>
      <c r="K358" s="2" t="str">
        <f t="shared" si="21"/>
        <v/>
      </c>
    </row>
    <row r="359" spans="1:11" ht="30" customHeight="1" x14ac:dyDescent="0.25">
      <c r="A359" s="14">
        <v>45393</v>
      </c>
      <c r="B359" s="2" t="s">
        <v>10</v>
      </c>
      <c r="C359" s="22" t="s">
        <v>2226</v>
      </c>
      <c r="D359" s="111" t="s">
        <v>95</v>
      </c>
      <c r="E359" s="18" t="s">
        <v>2230</v>
      </c>
      <c r="F359" s="4" t="str">
        <f t="shared" si="18"/>
        <v>EUB09D700794</v>
      </c>
      <c r="G359" s="4"/>
      <c r="H359" s="4"/>
      <c r="J359" s="19" t="str">
        <f t="shared" si="19"/>
        <v>Nem Heineken Költség</v>
      </c>
      <c r="K359" s="2" t="str">
        <f t="shared" si="21"/>
        <v/>
      </c>
    </row>
    <row r="360" spans="1:11" ht="30" customHeight="1" x14ac:dyDescent="0.25">
      <c r="A360" s="14">
        <v>45393</v>
      </c>
      <c r="B360" s="2" t="s">
        <v>16</v>
      </c>
      <c r="C360" s="22" t="s">
        <v>2225</v>
      </c>
      <c r="D360" s="111" t="s">
        <v>95</v>
      </c>
      <c r="E360" s="18" t="s">
        <v>2231</v>
      </c>
      <c r="F360" s="4" t="str">
        <f t="shared" si="18"/>
        <v>EUB09D700851</v>
      </c>
      <c r="G360" s="4">
        <v>4208</v>
      </c>
      <c r="H360" s="4"/>
      <c r="J360" s="19" t="str">
        <f t="shared" si="19"/>
        <v>Nem Heineken Költség</v>
      </c>
      <c r="K360" s="2" t="str">
        <f t="shared" si="21"/>
        <v/>
      </c>
    </row>
    <row r="361" spans="1:11" ht="30" customHeight="1" x14ac:dyDescent="0.25">
      <c r="A361" s="14">
        <v>45393</v>
      </c>
      <c r="B361" s="2" t="s">
        <v>6</v>
      </c>
      <c r="C361" s="22" t="s">
        <v>2223</v>
      </c>
      <c r="D361" s="111" t="s">
        <v>95</v>
      </c>
      <c r="E361" s="18" t="s">
        <v>2224</v>
      </c>
      <c r="F361" s="4" t="str">
        <f t="shared" si="18"/>
        <v>EUB09D700742</v>
      </c>
      <c r="G361" s="4">
        <v>5253</v>
      </c>
      <c r="H361" s="4"/>
      <c r="J361" s="19" t="str">
        <f t="shared" si="19"/>
        <v>Nem Heineken Költség</v>
      </c>
      <c r="K361" s="2" t="str">
        <f t="shared" si="21"/>
        <v/>
      </c>
    </row>
    <row r="362" spans="1:11" ht="30" customHeight="1" x14ac:dyDescent="0.25">
      <c r="A362" s="14">
        <v>45393</v>
      </c>
      <c r="B362" s="2" t="s">
        <v>6</v>
      </c>
      <c r="C362" s="22" t="s">
        <v>2221</v>
      </c>
      <c r="D362" s="111" t="s">
        <v>95</v>
      </c>
      <c r="E362" s="18" t="s">
        <v>2222</v>
      </c>
      <c r="F362" s="4" t="str">
        <f t="shared" si="18"/>
        <v>EUB09D700742</v>
      </c>
      <c r="G362" s="4">
        <v>5253</v>
      </c>
      <c r="H362" s="4"/>
      <c r="J362" s="19" t="str">
        <f t="shared" si="19"/>
        <v>Nem Heineken Költség</v>
      </c>
      <c r="K362" s="2" t="str">
        <f t="shared" si="21"/>
        <v/>
      </c>
    </row>
    <row r="363" spans="1:11" ht="30" customHeight="1" x14ac:dyDescent="0.25">
      <c r="A363" s="14">
        <v>45392</v>
      </c>
      <c r="B363" s="2" t="s">
        <v>9</v>
      </c>
      <c r="C363" s="22" t="s">
        <v>2210</v>
      </c>
      <c r="D363" s="111" t="s">
        <v>95</v>
      </c>
      <c r="E363" s="18" t="s">
        <v>2209</v>
      </c>
      <c r="F363" s="4" t="str">
        <f t="shared" si="18"/>
        <v>EUB09D700745</v>
      </c>
      <c r="G363" s="4">
        <v>4482</v>
      </c>
      <c r="H363" s="4"/>
      <c r="J363" s="19" t="str">
        <f t="shared" si="19"/>
        <v>Nem Heineken Költség</v>
      </c>
      <c r="K363" s="2" t="str">
        <f t="shared" si="21"/>
        <v/>
      </c>
    </row>
    <row r="364" spans="1:11" ht="30" customHeight="1" x14ac:dyDescent="0.25">
      <c r="A364" s="14">
        <v>45391</v>
      </c>
      <c r="B364" s="2" t="s">
        <v>9</v>
      </c>
      <c r="C364" s="22" t="s">
        <v>2215</v>
      </c>
      <c r="D364" s="111" t="s">
        <v>95</v>
      </c>
      <c r="E364" s="18" t="s">
        <v>2216</v>
      </c>
      <c r="F364" s="4" t="str">
        <f t="shared" si="18"/>
        <v>EUB09D700745</v>
      </c>
      <c r="G364" s="4">
        <v>4482</v>
      </c>
      <c r="H364" s="4"/>
      <c r="I364" s="2" t="s">
        <v>1728</v>
      </c>
      <c r="J364" s="19" t="str">
        <f t="shared" si="19"/>
        <v>SM-2024/4502</v>
      </c>
      <c r="K364" s="2">
        <f t="shared" si="21"/>
        <v>563.63</v>
      </c>
    </row>
    <row r="365" spans="1:11" ht="30" customHeight="1" x14ac:dyDescent="0.25">
      <c r="A365" s="14">
        <v>45391</v>
      </c>
      <c r="B365" s="2" t="s">
        <v>158</v>
      </c>
      <c r="C365" s="22" t="s">
        <v>2213</v>
      </c>
      <c r="D365" s="111" t="s">
        <v>95</v>
      </c>
      <c r="E365" s="18" t="s">
        <v>2214</v>
      </c>
      <c r="F365" s="4" t="str">
        <f t="shared" si="18"/>
        <v>F24537B00022</v>
      </c>
      <c r="G365" s="4">
        <v>2883</v>
      </c>
      <c r="H365" s="4"/>
      <c r="J365" s="19" t="str">
        <f t="shared" si="19"/>
        <v>Nem Heineken Költség</v>
      </c>
      <c r="K365" s="2" t="str">
        <f t="shared" si="21"/>
        <v/>
      </c>
    </row>
    <row r="366" spans="1:11" ht="30" customHeight="1" x14ac:dyDescent="0.25">
      <c r="A366" s="14">
        <v>45391</v>
      </c>
      <c r="B366" s="2" t="s">
        <v>20</v>
      </c>
      <c r="C366" s="22" t="s">
        <v>2212</v>
      </c>
      <c r="D366" s="111" t="s">
        <v>95</v>
      </c>
      <c r="E366" s="18" t="s">
        <v>2211</v>
      </c>
      <c r="F366" s="4" t="str">
        <f t="shared" si="18"/>
        <v>EUB09D700832</v>
      </c>
      <c r="G366" s="4">
        <v>3823</v>
      </c>
      <c r="H366" s="4"/>
      <c r="J366" s="19" t="str">
        <f t="shared" si="19"/>
        <v>Nem Heineken Költség</v>
      </c>
      <c r="K366" s="2" t="str">
        <f t="shared" si="21"/>
        <v/>
      </c>
    </row>
    <row r="367" spans="1:11" ht="30" customHeight="1" x14ac:dyDescent="0.25">
      <c r="A367" s="14">
        <v>45390</v>
      </c>
      <c r="B367" s="2" t="s">
        <v>16</v>
      </c>
      <c r="C367" s="35" t="s">
        <v>2219</v>
      </c>
      <c r="D367" s="111" t="s">
        <v>95</v>
      </c>
      <c r="E367" s="18" t="s">
        <v>2220</v>
      </c>
      <c r="F367" s="4" t="str">
        <f t="shared" si="18"/>
        <v>EUB09D700851</v>
      </c>
      <c r="G367" s="4">
        <v>4208</v>
      </c>
      <c r="H367" s="4"/>
      <c r="J367" s="19" t="str">
        <f t="shared" si="19"/>
        <v>Nem Heineken Költség</v>
      </c>
      <c r="K367" s="2" t="str">
        <f t="shared" si="21"/>
        <v/>
      </c>
    </row>
    <row r="368" spans="1:11" ht="30" customHeight="1" x14ac:dyDescent="0.25">
      <c r="A368" s="14">
        <v>45390</v>
      </c>
      <c r="B368" s="2" t="s">
        <v>19</v>
      </c>
      <c r="C368" s="22" t="s">
        <v>2217</v>
      </c>
      <c r="D368" s="111" t="s">
        <v>95</v>
      </c>
      <c r="E368" s="18" t="s">
        <v>2218</v>
      </c>
      <c r="F368" s="4" t="str">
        <f t="shared" si="18"/>
        <v>EUB09D700836</v>
      </c>
      <c r="G368" s="4">
        <v>5638</v>
      </c>
      <c r="H368" s="4"/>
      <c r="J368" s="19" t="str">
        <f t="shared" si="19"/>
        <v>Nem Heineken Költség</v>
      </c>
      <c r="K368" s="2" t="str">
        <f t="shared" si="21"/>
        <v/>
      </c>
    </row>
    <row r="369" spans="1:11" ht="30" customHeight="1" x14ac:dyDescent="0.25">
      <c r="A369" s="14">
        <v>45387</v>
      </c>
      <c r="B369" s="2" t="s">
        <v>6</v>
      </c>
      <c r="C369" s="35" t="s">
        <v>2207</v>
      </c>
      <c r="D369" s="111" t="s">
        <v>95</v>
      </c>
      <c r="E369" s="18" t="s">
        <v>2208</v>
      </c>
      <c r="F369" s="4" t="str">
        <f t="shared" si="18"/>
        <v>EUB09D700742</v>
      </c>
      <c r="G369" s="4">
        <v>5203</v>
      </c>
      <c r="H369" s="4"/>
      <c r="J369" s="19" t="str">
        <f t="shared" si="19"/>
        <v>Nem Heineken Költség</v>
      </c>
      <c r="K369" s="2" t="str">
        <f t="shared" si="21"/>
        <v/>
      </c>
    </row>
    <row r="370" spans="1:11" ht="30" customHeight="1" x14ac:dyDescent="0.25">
      <c r="A370" s="14">
        <v>45387</v>
      </c>
      <c r="B370" s="2" t="s">
        <v>7</v>
      </c>
      <c r="C370" s="534" t="s">
        <v>2205</v>
      </c>
      <c r="D370" s="111" t="s">
        <v>95</v>
      </c>
      <c r="E370" s="18" t="s">
        <v>2206</v>
      </c>
      <c r="F370" s="4" t="str">
        <f t="shared" si="18"/>
        <v>EUB09D700743</v>
      </c>
      <c r="G370" s="4">
        <v>4815</v>
      </c>
      <c r="H370" s="4"/>
      <c r="J370" s="19" t="str">
        <f t="shared" si="19"/>
        <v>Nem Heineken Költség</v>
      </c>
      <c r="K370" s="2" t="str">
        <f t="shared" si="21"/>
        <v/>
      </c>
    </row>
    <row r="371" spans="1:11" ht="30" customHeight="1" x14ac:dyDescent="0.25">
      <c r="A371" s="14">
        <v>45386</v>
      </c>
      <c r="B371" s="2" t="s">
        <v>81</v>
      </c>
      <c r="C371" s="35" t="s">
        <v>2203</v>
      </c>
      <c r="D371" s="111" t="s">
        <v>95</v>
      </c>
      <c r="E371" s="18" t="s">
        <v>2204</v>
      </c>
      <c r="F371" s="4" t="str">
        <f t="shared" si="18"/>
        <v>PTP200R239155</v>
      </c>
      <c r="G371" s="4">
        <v>421</v>
      </c>
      <c r="H371" s="4"/>
      <c r="I371" s="2" t="s">
        <v>1728</v>
      </c>
      <c r="J371" s="19" t="str">
        <f t="shared" si="19"/>
        <v>SM-2024/4311</v>
      </c>
      <c r="K371" s="2">
        <f t="shared" si="21"/>
        <v>481.93</v>
      </c>
    </row>
    <row r="372" spans="1:11" ht="30" customHeight="1" x14ac:dyDescent="0.25">
      <c r="A372" s="14">
        <v>45386</v>
      </c>
      <c r="B372" s="2" t="s">
        <v>78</v>
      </c>
      <c r="C372" s="22" t="s">
        <v>2201</v>
      </c>
      <c r="D372" s="111" t="s">
        <v>95</v>
      </c>
      <c r="E372" s="18" t="s">
        <v>2202</v>
      </c>
      <c r="F372" s="4" t="str">
        <f t="shared" si="18"/>
        <v>PTP200R239152</v>
      </c>
      <c r="G372" s="4">
        <v>1753</v>
      </c>
      <c r="H372" s="4"/>
      <c r="J372" s="19" t="str">
        <f t="shared" si="19"/>
        <v>Nem Heineken Költség</v>
      </c>
      <c r="K372" s="2" t="str">
        <f t="shared" si="21"/>
        <v/>
      </c>
    </row>
    <row r="373" spans="1:11" ht="30" customHeight="1" x14ac:dyDescent="0.25">
      <c r="A373" s="14">
        <v>45386</v>
      </c>
      <c r="B373" s="2" t="s">
        <v>67</v>
      </c>
      <c r="C373" s="22" t="s">
        <v>2199</v>
      </c>
      <c r="D373" s="111" t="s">
        <v>95</v>
      </c>
      <c r="E373" s="18" t="s">
        <v>2200</v>
      </c>
      <c r="F373" s="4" t="str">
        <f t="shared" si="18"/>
        <v>Nincs Adat</v>
      </c>
      <c r="G373" s="4"/>
      <c r="H373" s="4"/>
      <c r="J373" s="19" t="str">
        <f t="shared" si="19"/>
        <v>Nem Heineken Költség</v>
      </c>
      <c r="K373" s="2" t="str">
        <f t="shared" si="21"/>
        <v/>
      </c>
    </row>
    <row r="374" spans="1:11" ht="30" customHeight="1" x14ac:dyDescent="0.25">
      <c r="A374" s="14">
        <v>45385</v>
      </c>
      <c r="B374" s="2" t="s">
        <v>78</v>
      </c>
      <c r="C374" s="35" t="s">
        <v>2187</v>
      </c>
      <c r="D374" s="111" t="s">
        <v>95</v>
      </c>
      <c r="E374" s="18" t="s">
        <v>2188</v>
      </c>
      <c r="F374" s="4" t="str">
        <f t="shared" si="18"/>
        <v>PTP200R239152</v>
      </c>
      <c r="G374" s="4">
        <v>1750</v>
      </c>
      <c r="H374" s="4"/>
      <c r="I374" s="2" t="s">
        <v>1728</v>
      </c>
      <c r="J374" s="19" t="str">
        <f t="shared" si="19"/>
        <v>SM-2024/4244</v>
      </c>
      <c r="K374" s="2">
        <f t="shared" si="21"/>
        <v>1058.93</v>
      </c>
    </row>
    <row r="375" spans="1:11" ht="30" customHeight="1" x14ac:dyDescent="0.25">
      <c r="A375" s="14">
        <v>45385</v>
      </c>
      <c r="B375" s="2" t="s">
        <v>8</v>
      </c>
      <c r="C375" s="35" t="s">
        <v>2185</v>
      </c>
      <c r="D375" s="111" t="s">
        <v>95</v>
      </c>
      <c r="E375" s="18" t="s">
        <v>2186</v>
      </c>
      <c r="F375" s="4" t="str">
        <f t="shared" si="18"/>
        <v>EUB09D700744</v>
      </c>
      <c r="G375" s="4">
        <v>4625</v>
      </c>
      <c r="H375" s="4"/>
      <c r="J375" s="19" t="str">
        <f t="shared" si="19"/>
        <v>Nem Heineken Költség</v>
      </c>
      <c r="K375" s="2" t="str">
        <f t="shared" si="21"/>
        <v/>
      </c>
    </row>
    <row r="376" spans="1:11" ht="30" customHeight="1" x14ac:dyDescent="0.25">
      <c r="A376" s="14">
        <v>45385</v>
      </c>
      <c r="B376" s="2" t="s">
        <v>18</v>
      </c>
      <c r="C376" s="22" t="s">
        <v>2183</v>
      </c>
      <c r="D376" s="111" t="s">
        <v>95</v>
      </c>
      <c r="E376" s="18" t="s">
        <v>2184</v>
      </c>
      <c r="F376" s="4" t="str">
        <f t="shared" si="18"/>
        <v>EUB09D700992</v>
      </c>
      <c r="G376" s="4">
        <v>5924</v>
      </c>
      <c r="H376" s="4"/>
      <c r="J376" s="19" t="str">
        <f t="shared" si="19"/>
        <v>Nem Heineken Költség</v>
      </c>
      <c r="K376" s="2" t="str">
        <f t="shared" si="21"/>
        <v/>
      </c>
    </row>
    <row r="377" spans="1:11" ht="30" customHeight="1" x14ac:dyDescent="0.25">
      <c r="A377" s="14">
        <v>45385</v>
      </c>
      <c r="B377" s="2" t="s">
        <v>4</v>
      </c>
      <c r="C377" s="35" t="s">
        <v>2175</v>
      </c>
      <c r="D377" s="111" t="s">
        <v>95</v>
      </c>
      <c r="E377" s="18" t="s">
        <v>2176</v>
      </c>
      <c r="F377" s="4" t="str">
        <f t="shared" si="18"/>
        <v>JAG2N1E701604</v>
      </c>
      <c r="G377" s="4">
        <v>1885</v>
      </c>
      <c r="H377" s="4"/>
      <c r="J377" s="19" t="str">
        <f t="shared" si="19"/>
        <v>Nem Heineken Költség</v>
      </c>
      <c r="K377" s="2" t="str">
        <f t="shared" si="21"/>
        <v/>
      </c>
    </row>
    <row r="378" spans="1:11" ht="30" customHeight="1" x14ac:dyDescent="0.25">
      <c r="A378" s="14">
        <v>45385</v>
      </c>
      <c r="B378" s="2" t="s">
        <v>8</v>
      </c>
      <c r="C378" s="35" t="s">
        <v>2173</v>
      </c>
      <c r="D378" s="111" t="s">
        <v>95</v>
      </c>
      <c r="E378" s="18" t="s">
        <v>2174</v>
      </c>
      <c r="F378" s="4" t="str">
        <f t="shared" si="18"/>
        <v>EUB09D700744</v>
      </c>
      <c r="G378" s="4">
        <v>4625</v>
      </c>
      <c r="H378" s="4"/>
      <c r="J378" s="19" t="str">
        <f t="shared" si="19"/>
        <v>Nem Heineken Költség</v>
      </c>
      <c r="K378" s="2" t="str">
        <f t="shared" si="21"/>
        <v/>
      </c>
    </row>
    <row r="379" spans="1:11" ht="30" customHeight="1" x14ac:dyDescent="0.25">
      <c r="A379" s="14">
        <v>45385</v>
      </c>
      <c r="B379" s="2" t="s">
        <v>78</v>
      </c>
      <c r="C379" s="22" t="s">
        <v>2172</v>
      </c>
      <c r="D379" s="111" t="s">
        <v>95</v>
      </c>
      <c r="E379" s="18" t="s">
        <v>2171</v>
      </c>
      <c r="F379" s="4" t="str">
        <f t="shared" si="18"/>
        <v>PTP200R239152</v>
      </c>
      <c r="G379" s="4">
        <v>1750</v>
      </c>
      <c r="H379" s="465" t="s">
        <v>2118</v>
      </c>
      <c r="I379" s="2" t="s">
        <v>1728</v>
      </c>
      <c r="J379" s="19" t="str">
        <f t="shared" si="19"/>
        <v>Nincs Po</v>
      </c>
      <c r="K379" s="2" t="s">
        <v>2118</v>
      </c>
    </row>
    <row r="380" spans="1:11" ht="30" customHeight="1" x14ac:dyDescent="0.25">
      <c r="A380" s="14">
        <v>45385</v>
      </c>
      <c r="B380" s="2" t="s">
        <v>18</v>
      </c>
      <c r="C380" s="22" t="s">
        <v>2169</v>
      </c>
      <c r="D380" s="111" t="s">
        <v>95</v>
      </c>
      <c r="E380" s="18" t="s">
        <v>2170</v>
      </c>
      <c r="F380" s="4" t="str">
        <f t="shared" si="18"/>
        <v>EUB09D700992</v>
      </c>
      <c r="G380" s="4">
        <v>5924</v>
      </c>
      <c r="H380" s="4"/>
      <c r="J380" s="19" t="str">
        <f t="shared" si="19"/>
        <v>Nem Heineken Költség</v>
      </c>
      <c r="K380" s="2" t="str">
        <f t="shared" ref="K380:K426" si="22">IFERROR(VLOOKUP(E380,poprice,4,0),"")</f>
        <v/>
      </c>
    </row>
    <row r="381" spans="1:11" ht="30" customHeight="1" x14ac:dyDescent="0.25">
      <c r="A381" s="14">
        <v>45384</v>
      </c>
      <c r="B381" s="2" t="s">
        <v>24</v>
      </c>
      <c r="C381" s="22" t="s">
        <v>2197</v>
      </c>
      <c r="D381" s="111" t="s">
        <v>95</v>
      </c>
      <c r="E381" s="18" t="s">
        <v>2198</v>
      </c>
      <c r="F381" s="4" t="str">
        <f t="shared" si="18"/>
        <v>EUB09D700704</v>
      </c>
      <c r="G381" s="4">
        <v>2736</v>
      </c>
      <c r="H381" s="4"/>
      <c r="I381" s="2" t="s">
        <v>1728</v>
      </c>
      <c r="J381" s="19" t="str">
        <f t="shared" si="19"/>
        <v>SM-2024/4233</v>
      </c>
      <c r="K381" s="2">
        <f t="shared" si="22"/>
        <v>205.49</v>
      </c>
    </row>
    <row r="382" spans="1:11" ht="30" customHeight="1" x14ac:dyDescent="0.25">
      <c r="A382" s="14">
        <v>45384</v>
      </c>
      <c r="B382" s="2" t="s">
        <v>9</v>
      </c>
      <c r="C382" s="22" t="s">
        <v>2195</v>
      </c>
      <c r="D382" s="111" t="s">
        <v>95</v>
      </c>
      <c r="E382" s="18" t="s">
        <v>2196</v>
      </c>
      <c r="F382" s="4" t="str">
        <f t="shared" si="18"/>
        <v>EUB09D700745</v>
      </c>
      <c r="G382" s="4">
        <v>4453</v>
      </c>
      <c r="H382" s="4"/>
      <c r="J382" s="19" t="str">
        <f t="shared" si="19"/>
        <v>Nem Heineken Költség</v>
      </c>
      <c r="K382" s="2" t="str">
        <f t="shared" si="22"/>
        <v/>
      </c>
    </row>
    <row r="383" spans="1:11" ht="30" customHeight="1" x14ac:dyDescent="0.25">
      <c r="A383" s="14">
        <v>45384</v>
      </c>
      <c r="B383" s="2" t="s">
        <v>80</v>
      </c>
      <c r="C383" s="35" t="s">
        <v>2193</v>
      </c>
      <c r="D383" s="111" t="s">
        <v>95</v>
      </c>
      <c r="E383" s="18" t="s">
        <v>2194</v>
      </c>
      <c r="F383" s="4" t="str">
        <f t="shared" si="18"/>
        <v>PTP200R239154</v>
      </c>
      <c r="G383" s="4">
        <v>22</v>
      </c>
      <c r="H383" s="4"/>
      <c r="I383" s="2" t="s">
        <v>1728</v>
      </c>
      <c r="J383" s="19" t="str">
        <f t="shared" si="19"/>
        <v>SM-2024/4238</v>
      </c>
      <c r="K383" s="2">
        <f t="shared" si="22"/>
        <v>362.34</v>
      </c>
    </row>
    <row r="384" spans="1:11" x14ac:dyDescent="0.25">
      <c r="A384" s="14">
        <v>45384</v>
      </c>
      <c r="B384" s="2" t="s">
        <v>891</v>
      </c>
      <c r="C384" s="22" t="s">
        <v>2191</v>
      </c>
      <c r="D384" s="111" t="s">
        <v>95</v>
      </c>
      <c r="E384" s="18" t="s">
        <v>2192</v>
      </c>
      <c r="F384" s="4">
        <f t="shared" si="18"/>
        <v>10817</v>
      </c>
      <c r="G384" s="4">
        <v>235</v>
      </c>
      <c r="H384" s="4"/>
      <c r="J384" s="19" t="str">
        <f t="shared" si="19"/>
        <v>Nem Heineken Költség</v>
      </c>
      <c r="K384" s="2" t="str">
        <f t="shared" si="22"/>
        <v/>
      </c>
    </row>
    <row r="385" spans="1:11" ht="45" x14ac:dyDescent="0.25">
      <c r="A385" s="14">
        <v>45384</v>
      </c>
      <c r="B385" s="2" t="s">
        <v>4</v>
      </c>
      <c r="C385" s="35" t="s">
        <v>2189</v>
      </c>
      <c r="D385" s="111" t="s">
        <v>95</v>
      </c>
      <c r="E385" s="18" t="s">
        <v>2190</v>
      </c>
      <c r="F385" s="4" t="str">
        <f t="shared" si="18"/>
        <v>JAG2N1E701604</v>
      </c>
      <c r="G385" s="4">
        <v>1886</v>
      </c>
      <c r="H385" s="4"/>
      <c r="J385" s="19" t="str">
        <f t="shared" si="19"/>
        <v>Nem Heineken Költség</v>
      </c>
      <c r="K385" s="2" t="str">
        <f t="shared" si="22"/>
        <v/>
      </c>
    </row>
    <row r="386" spans="1:11" x14ac:dyDescent="0.25">
      <c r="A386" s="14">
        <v>45384</v>
      </c>
      <c r="B386" s="2" t="s">
        <v>24</v>
      </c>
      <c r="C386" s="22" t="s">
        <v>2181</v>
      </c>
      <c r="D386" s="111" t="s">
        <v>95</v>
      </c>
      <c r="E386" s="18" t="s">
        <v>2182</v>
      </c>
      <c r="F386" s="4" t="str">
        <f t="shared" si="18"/>
        <v>EUB09D700704</v>
      </c>
      <c r="G386" s="4">
        <v>2736</v>
      </c>
      <c r="H386" s="4"/>
      <c r="I386" s="2" t="s">
        <v>1728</v>
      </c>
      <c r="J386" s="19" t="str">
        <f t="shared" si="19"/>
        <v>SM-2024/4230</v>
      </c>
      <c r="K386" s="2">
        <f t="shared" si="22"/>
        <v>145.80000000000001</v>
      </c>
    </row>
    <row r="387" spans="1:11" x14ac:dyDescent="0.25">
      <c r="A387" s="14">
        <v>45384</v>
      </c>
      <c r="B387" s="2" t="s">
        <v>9</v>
      </c>
      <c r="C387" s="22" t="s">
        <v>2179</v>
      </c>
      <c r="D387" s="111" t="s">
        <v>95</v>
      </c>
      <c r="E387" s="18" t="s">
        <v>2180</v>
      </c>
      <c r="F387" s="4" t="str">
        <f t="shared" ref="F387:F450" si="23">IFERROR(VLOOKUP(B387,targlist02,3,0),"Nincs Adat")</f>
        <v>EUB09D700745</v>
      </c>
      <c r="G387" s="4">
        <v>4453</v>
      </c>
      <c r="H387" s="4"/>
      <c r="J387" s="19" t="str">
        <f t="shared" ref="J387:J450" si="24">IF(I387="H",IFERROR(VLOOKUP(E387,podone,1,0),"Nincs Po"),"Nem Heineken Költség")</f>
        <v>Nem Heineken Költség</v>
      </c>
      <c r="K387" s="2" t="str">
        <f t="shared" si="22"/>
        <v/>
      </c>
    </row>
    <row r="388" spans="1:11" x14ac:dyDescent="0.25">
      <c r="A388" s="14">
        <v>45384</v>
      </c>
      <c r="B388" s="2" t="s">
        <v>23</v>
      </c>
      <c r="C388" s="22" t="s">
        <v>2177</v>
      </c>
      <c r="D388" s="111" t="s">
        <v>95</v>
      </c>
      <c r="E388" s="18" t="s">
        <v>2178</v>
      </c>
      <c r="F388" s="4" t="str">
        <f t="shared" si="23"/>
        <v>EUB09D700740</v>
      </c>
      <c r="G388" s="4">
        <v>2200</v>
      </c>
      <c r="H388" s="4"/>
      <c r="J388" s="19" t="str">
        <f t="shared" si="24"/>
        <v>Nem Heineken Költség</v>
      </c>
      <c r="K388" s="2" t="str">
        <f t="shared" si="22"/>
        <v/>
      </c>
    </row>
    <row r="389" spans="1:11" x14ac:dyDescent="0.25">
      <c r="A389" s="14">
        <v>45378</v>
      </c>
      <c r="B389" s="2" t="s">
        <v>2167</v>
      </c>
      <c r="C389" s="22" t="s">
        <v>2168</v>
      </c>
      <c r="D389" s="111" t="s">
        <v>95</v>
      </c>
      <c r="E389" s="18" t="s">
        <v>2166</v>
      </c>
      <c r="F389" s="4" t="str">
        <f t="shared" si="23"/>
        <v>Nincs Adat</v>
      </c>
      <c r="G389" s="4">
        <v>2366</v>
      </c>
      <c r="H389" s="4"/>
      <c r="J389" s="19" t="str">
        <f t="shared" si="24"/>
        <v>Nem Heineken Költség</v>
      </c>
      <c r="K389" s="2" t="str">
        <f t="shared" si="22"/>
        <v/>
      </c>
    </row>
    <row r="390" spans="1:11" x14ac:dyDescent="0.25">
      <c r="A390" s="14">
        <v>45378</v>
      </c>
      <c r="B390" s="2" t="s">
        <v>891</v>
      </c>
      <c r="C390" s="22" t="s">
        <v>2164</v>
      </c>
      <c r="D390" s="111" t="s">
        <v>95</v>
      </c>
      <c r="E390" s="18" t="s">
        <v>2165</v>
      </c>
      <c r="F390" s="4">
        <f t="shared" si="23"/>
        <v>10817</v>
      </c>
      <c r="G390" s="4">
        <v>234</v>
      </c>
      <c r="H390" s="4"/>
      <c r="J390" s="19" t="str">
        <f t="shared" si="24"/>
        <v>Nem Heineken Költség</v>
      </c>
      <c r="K390" s="2" t="str">
        <f t="shared" si="22"/>
        <v/>
      </c>
    </row>
    <row r="391" spans="1:11" x14ac:dyDescent="0.25">
      <c r="A391" s="14">
        <v>45378</v>
      </c>
      <c r="B391" s="2" t="s">
        <v>1203</v>
      </c>
      <c r="C391" s="22" t="s">
        <v>2162</v>
      </c>
      <c r="D391" s="111" t="s">
        <v>95</v>
      </c>
      <c r="E391" s="18" t="s">
        <v>2163</v>
      </c>
      <c r="F391" s="4" t="str">
        <f t="shared" si="23"/>
        <v>Nincs Adat</v>
      </c>
      <c r="G391" s="4"/>
      <c r="H391" s="4"/>
      <c r="J391" s="19" t="str">
        <f t="shared" si="24"/>
        <v>Nem Heineken Költség</v>
      </c>
      <c r="K391" s="2" t="str">
        <f t="shared" si="22"/>
        <v/>
      </c>
    </row>
    <row r="392" spans="1:11" ht="45" x14ac:dyDescent="0.25">
      <c r="A392" s="14">
        <v>45377</v>
      </c>
      <c r="B392" s="2" t="s">
        <v>80</v>
      </c>
      <c r="C392" s="35" t="s">
        <v>2160</v>
      </c>
      <c r="D392" s="111" t="s">
        <v>95</v>
      </c>
      <c r="E392" s="18" t="s">
        <v>2161</v>
      </c>
      <c r="F392" s="4" t="str">
        <f t="shared" si="23"/>
        <v>PTP200R239154</v>
      </c>
      <c r="G392" s="4">
        <v>11</v>
      </c>
      <c r="H392" s="4"/>
      <c r="I392" s="2" t="s">
        <v>1728</v>
      </c>
      <c r="J392" s="19" t="str">
        <f t="shared" si="24"/>
        <v>SM-2024/3953</v>
      </c>
      <c r="K392" s="2">
        <f t="shared" si="22"/>
        <v>511.77</v>
      </c>
    </row>
    <row r="393" spans="1:11" x14ac:dyDescent="0.25">
      <c r="A393" s="14">
        <v>45377</v>
      </c>
      <c r="B393" s="2" t="s">
        <v>157</v>
      </c>
      <c r="C393" s="22" t="s">
        <v>2158</v>
      </c>
      <c r="D393" s="111" t="s">
        <v>95</v>
      </c>
      <c r="E393" s="18" t="s">
        <v>2159</v>
      </c>
      <c r="F393" s="4" t="str">
        <f t="shared" si="23"/>
        <v>F24537B00021</v>
      </c>
      <c r="G393" s="4">
        <v>22</v>
      </c>
      <c r="H393" s="4"/>
      <c r="J393" s="19" t="str">
        <f t="shared" si="24"/>
        <v>Nem Heineken Költség</v>
      </c>
      <c r="K393" s="2" t="str">
        <f t="shared" si="22"/>
        <v/>
      </c>
    </row>
    <row r="394" spans="1:11" x14ac:dyDescent="0.25">
      <c r="A394" s="14">
        <v>45377</v>
      </c>
      <c r="B394" s="2" t="s">
        <v>158</v>
      </c>
      <c r="C394" s="22" t="s">
        <v>2156</v>
      </c>
      <c r="D394" s="111" t="s">
        <v>95</v>
      </c>
      <c r="E394" s="18" t="s">
        <v>2157</v>
      </c>
      <c r="F394" s="4" t="str">
        <f t="shared" si="23"/>
        <v>F24537B00022</v>
      </c>
      <c r="G394" s="4">
        <v>2878</v>
      </c>
      <c r="H394" s="4"/>
      <c r="J394" s="19" t="str">
        <f t="shared" si="24"/>
        <v>Nem Heineken Költség</v>
      </c>
      <c r="K394" s="2" t="str">
        <f t="shared" si="22"/>
        <v/>
      </c>
    </row>
    <row r="395" spans="1:11" x14ac:dyDescent="0.25">
      <c r="A395" s="14">
        <v>45377</v>
      </c>
      <c r="B395" s="2" t="s">
        <v>78</v>
      </c>
      <c r="C395" s="22" t="s">
        <v>2154</v>
      </c>
      <c r="D395" s="111" t="s">
        <v>95</v>
      </c>
      <c r="E395" s="18" t="s">
        <v>2155</v>
      </c>
      <c r="F395" s="4" t="str">
        <f t="shared" si="23"/>
        <v>PTP200R239152</v>
      </c>
      <c r="G395" s="4">
        <v>1737</v>
      </c>
      <c r="H395" s="4"/>
      <c r="J395" s="19" t="str">
        <f t="shared" si="24"/>
        <v>Nem Heineken Költség</v>
      </c>
      <c r="K395" s="2" t="str">
        <f t="shared" si="22"/>
        <v/>
      </c>
    </row>
    <row r="396" spans="1:11" x14ac:dyDescent="0.25">
      <c r="A396" s="14">
        <v>45377</v>
      </c>
      <c r="B396" s="2" t="s">
        <v>2153</v>
      </c>
      <c r="C396" s="22" t="s">
        <v>2152</v>
      </c>
      <c r="D396" s="111" t="s">
        <v>95</v>
      </c>
      <c r="E396" s="18" t="s">
        <v>2151</v>
      </c>
      <c r="F396" s="4" t="str">
        <f t="shared" si="23"/>
        <v>Nincs Adat</v>
      </c>
      <c r="G396" s="4">
        <v>3</v>
      </c>
      <c r="H396" s="4"/>
      <c r="J396" s="19" t="str">
        <f t="shared" si="24"/>
        <v>Nem Heineken Költség</v>
      </c>
      <c r="K396" s="2" t="str">
        <f t="shared" si="22"/>
        <v/>
      </c>
    </row>
    <row r="397" spans="1:11" x14ac:dyDescent="0.25">
      <c r="A397" s="14">
        <v>45377</v>
      </c>
      <c r="B397" s="2" t="s">
        <v>17</v>
      </c>
      <c r="C397" s="22" t="s">
        <v>2149</v>
      </c>
      <c r="D397" s="111" t="s">
        <v>95</v>
      </c>
      <c r="E397" s="18" t="s">
        <v>2150</v>
      </c>
      <c r="F397" s="4" t="str">
        <f t="shared" si="23"/>
        <v>EUB09D700852</v>
      </c>
      <c r="G397" s="4">
        <v>4336</v>
      </c>
      <c r="H397" s="4"/>
      <c r="J397" s="19" t="str">
        <f t="shared" si="24"/>
        <v>Nem Heineken Költség</v>
      </c>
      <c r="K397" s="2" t="str">
        <f t="shared" si="22"/>
        <v/>
      </c>
    </row>
    <row r="398" spans="1:11" x14ac:dyDescent="0.25">
      <c r="A398" s="14">
        <v>45376</v>
      </c>
      <c r="B398" s="2" t="s">
        <v>22</v>
      </c>
      <c r="C398" s="22" t="s">
        <v>2148</v>
      </c>
      <c r="D398" s="111" t="s">
        <v>95</v>
      </c>
      <c r="E398" s="18" t="s">
        <v>2147</v>
      </c>
      <c r="F398" s="4" t="str">
        <f t="shared" si="23"/>
        <v>EUB09D700838</v>
      </c>
      <c r="G398" s="4">
        <v>2480</v>
      </c>
      <c r="H398" s="4"/>
      <c r="J398" s="19" t="str">
        <f t="shared" si="24"/>
        <v>Nem Heineken Költség</v>
      </c>
      <c r="K398" s="2" t="str">
        <f t="shared" si="22"/>
        <v/>
      </c>
    </row>
    <row r="399" spans="1:11" ht="49.9" customHeight="1" x14ac:dyDescent="0.25">
      <c r="A399" s="14">
        <v>45376</v>
      </c>
      <c r="B399" s="2" t="s">
        <v>22</v>
      </c>
      <c r="C399" s="22" t="s">
        <v>2145</v>
      </c>
      <c r="D399" s="111" t="s">
        <v>95</v>
      </c>
      <c r="E399" s="18" t="s">
        <v>2146</v>
      </c>
      <c r="F399" s="4" t="str">
        <f t="shared" si="23"/>
        <v>EUB09D700838</v>
      </c>
      <c r="G399" s="4">
        <v>2480</v>
      </c>
      <c r="H399" s="4"/>
      <c r="J399" s="19" t="str">
        <f t="shared" si="24"/>
        <v>Nem Heineken Költség</v>
      </c>
      <c r="K399" s="2" t="str">
        <f t="shared" si="22"/>
        <v/>
      </c>
    </row>
    <row r="400" spans="1:11" x14ac:dyDescent="0.25">
      <c r="A400" s="14">
        <v>45376</v>
      </c>
      <c r="B400" s="2" t="s">
        <v>14</v>
      </c>
      <c r="C400" s="22" t="s">
        <v>2143</v>
      </c>
      <c r="D400" s="111" t="s">
        <v>95</v>
      </c>
      <c r="E400" s="18" t="s">
        <v>2144</v>
      </c>
      <c r="F400" s="4" t="str">
        <f t="shared" si="23"/>
        <v>EUB09D700269</v>
      </c>
      <c r="G400" s="4">
        <v>3686</v>
      </c>
      <c r="H400" s="4"/>
      <c r="J400" s="19" t="str">
        <f t="shared" si="24"/>
        <v>Nem Heineken Költség</v>
      </c>
      <c r="K400" s="2" t="str">
        <f t="shared" si="22"/>
        <v/>
      </c>
    </row>
    <row r="401" spans="1:11" x14ac:dyDescent="0.25">
      <c r="A401" s="14">
        <v>45372</v>
      </c>
      <c r="B401" s="2" t="s">
        <v>10</v>
      </c>
      <c r="C401" s="22" t="s">
        <v>2141</v>
      </c>
      <c r="D401" s="111" t="s">
        <v>95</v>
      </c>
      <c r="E401" s="18" t="s">
        <v>2142</v>
      </c>
      <c r="F401" s="4" t="str">
        <f t="shared" si="23"/>
        <v>EUB09D700794</v>
      </c>
      <c r="G401" s="4">
        <v>3891</v>
      </c>
      <c r="H401" s="4"/>
      <c r="J401" s="19" t="str">
        <f t="shared" si="24"/>
        <v>Nem Heineken Költség</v>
      </c>
      <c r="K401" s="2" t="str">
        <f t="shared" si="22"/>
        <v/>
      </c>
    </row>
    <row r="402" spans="1:11" x14ac:dyDescent="0.25">
      <c r="A402" s="14">
        <v>45372</v>
      </c>
      <c r="B402" s="2" t="s">
        <v>10</v>
      </c>
      <c r="C402" s="22" t="s">
        <v>2137</v>
      </c>
      <c r="D402" s="111" t="s">
        <v>95</v>
      </c>
      <c r="E402" s="18" t="s">
        <v>2138</v>
      </c>
      <c r="F402" s="4" t="str">
        <f t="shared" si="23"/>
        <v>EUB09D700794</v>
      </c>
      <c r="G402" s="4">
        <v>3891</v>
      </c>
      <c r="H402" s="4"/>
      <c r="J402" s="19" t="str">
        <f t="shared" si="24"/>
        <v>Nem Heineken Költség</v>
      </c>
      <c r="K402" s="2" t="str">
        <f t="shared" si="22"/>
        <v/>
      </c>
    </row>
    <row r="403" spans="1:11" x14ac:dyDescent="0.25">
      <c r="A403" s="14">
        <v>45371</v>
      </c>
      <c r="B403" s="2" t="s">
        <v>13</v>
      </c>
      <c r="C403" s="22" t="s">
        <v>2139</v>
      </c>
      <c r="D403" s="111" t="s">
        <v>95</v>
      </c>
      <c r="E403" s="18" t="s">
        <v>2140</v>
      </c>
      <c r="F403" s="4" t="str">
        <f t="shared" si="23"/>
        <v>EUB09D700268</v>
      </c>
      <c r="G403" s="4">
        <v>3720</v>
      </c>
      <c r="H403" s="4"/>
      <c r="J403" s="19" t="str">
        <f t="shared" si="24"/>
        <v>Nem Heineken Költség</v>
      </c>
      <c r="K403" s="2" t="str">
        <f t="shared" si="22"/>
        <v/>
      </c>
    </row>
    <row r="404" spans="1:11" x14ac:dyDescent="0.25">
      <c r="A404" s="14">
        <v>45371</v>
      </c>
      <c r="B404" s="2" t="s">
        <v>13</v>
      </c>
      <c r="C404" s="22" t="s">
        <v>2136</v>
      </c>
      <c r="D404" s="111" t="s">
        <v>95</v>
      </c>
      <c r="E404" s="18" t="s">
        <v>2135</v>
      </c>
      <c r="F404" s="4" t="str">
        <f t="shared" si="23"/>
        <v>EUB09D700268</v>
      </c>
      <c r="G404" s="4">
        <v>3720</v>
      </c>
      <c r="H404" s="4"/>
      <c r="J404" s="19" t="str">
        <f t="shared" si="24"/>
        <v>Nem Heineken Költség</v>
      </c>
      <c r="K404" s="2" t="str">
        <f t="shared" si="22"/>
        <v/>
      </c>
    </row>
    <row r="405" spans="1:11" ht="30" x14ac:dyDescent="0.25">
      <c r="A405" s="14">
        <v>45370</v>
      </c>
      <c r="B405" s="2" t="s">
        <v>14</v>
      </c>
      <c r="C405" s="35" t="s">
        <v>2134</v>
      </c>
      <c r="D405" s="111" t="s">
        <v>95</v>
      </c>
      <c r="E405" s="18" t="s">
        <v>2133</v>
      </c>
      <c r="F405" s="4" t="str">
        <f t="shared" si="23"/>
        <v>EUB09D700269</v>
      </c>
      <c r="G405" s="4">
        <v>3625</v>
      </c>
      <c r="H405" s="4"/>
      <c r="J405" s="19" t="str">
        <f t="shared" si="24"/>
        <v>Nem Heineken Költség</v>
      </c>
      <c r="K405" s="2" t="str">
        <f t="shared" si="22"/>
        <v/>
      </c>
    </row>
    <row r="406" spans="1:11" x14ac:dyDescent="0.25">
      <c r="A406" s="14">
        <v>45370</v>
      </c>
      <c r="B406" s="2" t="s">
        <v>23</v>
      </c>
      <c r="C406" s="22" t="s">
        <v>2132</v>
      </c>
      <c r="D406" s="111" t="s">
        <v>95</v>
      </c>
      <c r="E406" s="18" t="s">
        <v>2131</v>
      </c>
      <c r="F406" s="4" t="str">
        <f t="shared" si="23"/>
        <v>EUB09D700740</v>
      </c>
      <c r="G406" s="4">
        <v>2160</v>
      </c>
      <c r="H406" s="4"/>
      <c r="J406" s="19" t="str">
        <f t="shared" si="24"/>
        <v>Nem Heineken Költség</v>
      </c>
      <c r="K406" s="2" t="str">
        <f t="shared" si="22"/>
        <v/>
      </c>
    </row>
    <row r="407" spans="1:11" x14ac:dyDescent="0.25">
      <c r="A407" s="14">
        <v>45370</v>
      </c>
      <c r="B407" s="2" t="s">
        <v>6</v>
      </c>
      <c r="C407" s="22" t="s">
        <v>2129</v>
      </c>
      <c r="D407" s="111" t="s">
        <v>95</v>
      </c>
      <c r="E407" s="18" t="s">
        <v>2130</v>
      </c>
      <c r="F407" s="4" t="str">
        <f t="shared" si="23"/>
        <v>EUB09D700742</v>
      </c>
      <c r="G407" s="4">
        <v>5057</v>
      </c>
      <c r="H407" s="4"/>
      <c r="J407" s="19" t="str">
        <f t="shared" si="24"/>
        <v>Nem Heineken Költség</v>
      </c>
      <c r="K407" s="2" t="str">
        <f t="shared" si="22"/>
        <v/>
      </c>
    </row>
    <row r="408" spans="1:11" x14ac:dyDescent="0.25">
      <c r="A408" s="14">
        <v>45370</v>
      </c>
      <c r="B408" s="2" t="s">
        <v>10</v>
      </c>
      <c r="C408" s="22" t="s">
        <v>2127</v>
      </c>
      <c r="D408" s="111" t="s">
        <v>95</v>
      </c>
      <c r="E408" s="18" t="s">
        <v>2128</v>
      </c>
      <c r="F408" s="4" t="str">
        <f t="shared" si="23"/>
        <v>EUB09D700794</v>
      </c>
      <c r="G408" s="4">
        <v>3889</v>
      </c>
      <c r="H408" s="4"/>
      <c r="J408" s="19" t="str">
        <f t="shared" si="24"/>
        <v>Nem Heineken Költség</v>
      </c>
      <c r="K408" s="2" t="str">
        <f t="shared" si="22"/>
        <v/>
      </c>
    </row>
    <row r="409" spans="1:11" x14ac:dyDescent="0.25">
      <c r="A409" s="14">
        <v>45369</v>
      </c>
      <c r="B409" s="2" t="s">
        <v>158</v>
      </c>
      <c r="C409" s="22" t="s">
        <v>2112</v>
      </c>
      <c r="D409" s="111" t="s">
        <v>95</v>
      </c>
      <c r="E409" s="18" t="s">
        <v>2113</v>
      </c>
      <c r="F409" s="4" t="str">
        <f t="shared" si="23"/>
        <v>F24537B00022</v>
      </c>
      <c r="G409" s="4">
        <v>2873</v>
      </c>
      <c r="H409" s="4"/>
      <c r="J409" s="19" t="str">
        <f t="shared" si="24"/>
        <v>Nem Heineken Költség</v>
      </c>
      <c r="K409" s="2" t="str">
        <f t="shared" si="22"/>
        <v/>
      </c>
    </row>
    <row r="410" spans="1:11" ht="75" x14ac:dyDescent="0.25">
      <c r="A410" s="436">
        <v>45369</v>
      </c>
      <c r="B410" s="437" t="s">
        <v>80</v>
      </c>
      <c r="C410" s="535" t="s">
        <v>2110</v>
      </c>
      <c r="D410" s="111" t="s">
        <v>95</v>
      </c>
      <c r="E410" s="439" t="s">
        <v>2111</v>
      </c>
      <c r="F410" s="438" t="str">
        <f t="shared" si="23"/>
        <v>PTP200R239154</v>
      </c>
      <c r="G410" s="438">
        <v>0</v>
      </c>
      <c r="H410" s="4"/>
      <c r="I410" s="2" t="s">
        <v>1728</v>
      </c>
      <c r="J410" s="19" t="str">
        <f t="shared" si="24"/>
        <v>SM-2024/3654</v>
      </c>
      <c r="K410" s="2">
        <f t="shared" si="22"/>
        <v>904.05</v>
      </c>
    </row>
    <row r="411" spans="1:11" x14ac:dyDescent="0.25">
      <c r="A411" s="14">
        <v>45369</v>
      </c>
      <c r="B411" s="2" t="s">
        <v>14</v>
      </c>
      <c r="C411" s="22" t="s">
        <v>2088</v>
      </c>
      <c r="D411" s="111" t="s">
        <v>95</v>
      </c>
      <c r="E411" s="18" t="s">
        <v>2075</v>
      </c>
      <c r="F411" s="4" t="str">
        <f t="shared" si="23"/>
        <v>EUB09D700269</v>
      </c>
      <c r="G411" s="4">
        <v>3574</v>
      </c>
      <c r="H411" s="4"/>
      <c r="J411" s="19" t="str">
        <f t="shared" si="24"/>
        <v>Nem Heineken Költség</v>
      </c>
      <c r="K411" s="2" t="str">
        <f t="shared" si="22"/>
        <v/>
      </c>
    </row>
    <row r="412" spans="1:11" ht="45" x14ac:dyDescent="0.25">
      <c r="A412" s="14">
        <v>45364</v>
      </c>
      <c r="B412" s="2" t="s">
        <v>1213</v>
      </c>
      <c r="C412" s="35" t="s">
        <v>2109</v>
      </c>
      <c r="D412" s="111" t="s">
        <v>95</v>
      </c>
      <c r="E412" s="18" t="s">
        <v>2108</v>
      </c>
      <c r="F412" s="4" t="str">
        <f t="shared" si="23"/>
        <v>Nincs Adat</v>
      </c>
      <c r="G412" s="4"/>
      <c r="H412" s="4"/>
      <c r="J412" s="19" t="str">
        <f t="shared" si="24"/>
        <v>Nem Heineken Költség</v>
      </c>
      <c r="K412" s="2" t="str">
        <f t="shared" si="22"/>
        <v/>
      </c>
    </row>
    <row r="413" spans="1:11" x14ac:dyDescent="0.25">
      <c r="A413" s="14">
        <v>45364</v>
      </c>
      <c r="B413" s="2" t="s">
        <v>12</v>
      </c>
      <c r="C413" s="22" t="s">
        <v>2106</v>
      </c>
      <c r="D413" s="111" t="s">
        <v>95</v>
      </c>
      <c r="E413" s="18" t="s">
        <v>2107</v>
      </c>
      <c r="F413" s="4" t="str">
        <f t="shared" si="23"/>
        <v>EUB09D700267</v>
      </c>
      <c r="G413" s="4">
        <v>3414</v>
      </c>
      <c r="H413" s="4"/>
      <c r="J413" s="19" t="str">
        <f t="shared" si="24"/>
        <v>Nem Heineken Költség</v>
      </c>
      <c r="K413" s="2" t="str">
        <f t="shared" si="22"/>
        <v/>
      </c>
    </row>
    <row r="414" spans="1:11" x14ac:dyDescent="0.25">
      <c r="A414" s="14">
        <v>45364</v>
      </c>
      <c r="B414" s="2" t="s">
        <v>16</v>
      </c>
      <c r="C414" s="22" t="s">
        <v>2095</v>
      </c>
      <c r="D414" s="111" t="s">
        <v>95</v>
      </c>
      <c r="E414" s="18" t="s">
        <v>2105</v>
      </c>
      <c r="F414" s="4" t="str">
        <f t="shared" si="23"/>
        <v>EUB09D700851</v>
      </c>
      <c r="G414" s="4">
        <v>4091</v>
      </c>
      <c r="H414" s="4"/>
      <c r="J414" s="19" t="str">
        <f t="shared" si="24"/>
        <v>Nem Heineken Költség</v>
      </c>
      <c r="K414" s="2" t="str">
        <f t="shared" si="22"/>
        <v/>
      </c>
    </row>
    <row r="415" spans="1:11" ht="60" x14ac:dyDescent="0.25">
      <c r="A415" s="436">
        <v>45364</v>
      </c>
      <c r="B415" s="437" t="s">
        <v>79</v>
      </c>
      <c r="C415" s="535" t="s">
        <v>2103</v>
      </c>
      <c r="D415" s="111" t="s">
        <v>95</v>
      </c>
      <c r="E415" s="439" t="s">
        <v>2104</v>
      </c>
      <c r="F415" s="438" t="str">
        <f t="shared" si="23"/>
        <v>PTP200R239153</v>
      </c>
      <c r="G415" s="438">
        <v>1593</v>
      </c>
      <c r="H415" s="4"/>
      <c r="I415" s="2" t="s">
        <v>1728</v>
      </c>
      <c r="J415" s="19" t="str">
        <f t="shared" si="24"/>
        <v>SM-2024/3491</v>
      </c>
      <c r="K415" s="2">
        <f t="shared" si="22"/>
        <v>340.16</v>
      </c>
    </row>
    <row r="416" spans="1:11" ht="31.15" customHeight="1" x14ac:dyDescent="0.25">
      <c r="A416" s="14">
        <v>45363</v>
      </c>
      <c r="B416" s="2" t="s">
        <v>8</v>
      </c>
      <c r="C416" s="22" t="s">
        <v>2095</v>
      </c>
      <c r="D416" s="111" t="s">
        <v>95</v>
      </c>
      <c r="E416" s="18" t="s">
        <v>2102</v>
      </c>
      <c r="F416" s="4" t="str">
        <f t="shared" si="23"/>
        <v>EUB09D700744</v>
      </c>
      <c r="G416" s="4">
        <v>4491</v>
      </c>
      <c r="H416" s="4"/>
      <c r="J416" s="19" t="str">
        <f t="shared" si="24"/>
        <v>Nem Heineken Költség</v>
      </c>
      <c r="K416" s="2" t="str">
        <f t="shared" si="22"/>
        <v/>
      </c>
    </row>
    <row r="417" spans="1:11" ht="30" customHeight="1" x14ac:dyDescent="0.25">
      <c r="A417" s="14">
        <v>45363</v>
      </c>
      <c r="B417" s="2" t="s">
        <v>6</v>
      </c>
      <c r="C417" s="22" t="s">
        <v>2095</v>
      </c>
      <c r="D417" s="111" t="s">
        <v>95</v>
      </c>
      <c r="E417" s="18" t="s">
        <v>2101</v>
      </c>
      <c r="F417" s="4" t="str">
        <f t="shared" si="23"/>
        <v>EUB09D700742</v>
      </c>
      <c r="G417" s="4">
        <v>4998</v>
      </c>
      <c r="H417" s="4"/>
      <c r="J417" s="19" t="str">
        <f t="shared" si="24"/>
        <v>Nem Heineken Költség</v>
      </c>
      <c r="K417" s="2" t="str">
        <f t="shared" si="22"/>
        <v/>
      </c>
    </row>
    <row r="418" spans="1:11" x14ac:dyDescent="0.25">
      <c r="A418" s="14">
        <v>45363</v>
      </c>
      <c r="B418" s="2" t="s">
        <v>7</v>
      </c>
      <c r="C418" s="22" t="s">
        <v>2095</v>
      </c>
      <c r="D418" s="111" t="s">
        <v>95</v>
      </c>
      <c r="E418" s="18" t="s">
        <v>2097</v>
      </c>
      <c r="F418" s="4" t="str">
        <f t="shared" si="23"/>
        <v>EUB09D700743</v>
      </c>
      <c r="G418" s="4">
        <v>4642</v>
      </c>
      <c r="H418" s="4"/>
      <c r="J418" s="19" t="str">
        <f t="shared" si="24"/>
        <v>Nem Heineken Költség</v>
      </c>
      <c r="K418" s="2" t="str">
        <f t="shared" si="22"/>
        <v/>
      </c>
    </row>
    <row r="419" spans="1:11" x14ac:dyDescent="0.25">
      <c r="A419" s="14">
        <v>45363</v>
      </c>
      <c r="B419" s="2" t="s">
        <v>15</v>
      </c>
      <c r="C419" s="22" t="s">
        <v>2095</v>
      </c>
      <c r="D419" s="111" t="s">
        <v>95</v>
      </c>
      <c r="E419" s="18" t="s">
        <v>2099</v>
      </c>
      <c r="F419" s="4" t="str">
        <f t="shared" si="23"/>
        <v>EUB09D700705</v>
      </c>
      <c r="G419" s="4">
        <v>1616</v>
      </c>
      <c r="H419" s="4"/>
      <c r="J419" s="19" t="str">
        <f t="shared" si="24"/>
        <v>Nem Heineken Költség</v>
      </c>
      <c r="K419" s="2" t="str">
        <f t="shared" si="22"/>
        <v/>
      </c>
    </row>
    <row r="420" spans="1:11" x14ac:dyDescent="0.25">
      <c r="A420" s="14">
        <v>45363</v>
      </c>
      <c r="B420" s="2" t="s">
        <v>12</v>
      </c>
      <c r="C420" s="22" t="s">
        <v>2095</v>
      </c>
      <c r="D420" s="111" t="s">
        <v>95</v>
      </c>
      <c r="E420" s="18" t="s">
        <v>2098</v>
      </c>
      <c r="F420" s="4" t="str">
        <f t="shared" si="23"/>
        <v>EUB09D700267</v>
      </c>
      <c r="G420" s="4">
        <v>3607</v>
      </c>
      <c r="H420" s="4"/>
      <c r="J420" s="19" t="str">
        <f t="shared" si="24"/>
        <v>Nem Heineken Költség</v>
      </c>
      <c r="K420" s="2" t="str">
        <f t="shared" si="22"/>
        <v/>
      </c>
    </row>
    <row r="421" spans="1:11" x14ac:dyDescent="0.25">
      <c r="A421" s="14">
        <v>45363</v>
      </c>
      <c r="B421" s="2" t="s">
        <v>11</v>
      </c>
      <c r="C421" s="22" t="s">
        <v>2095</v>
      </c>
      <c r="D421" s="111" t="s">
        <v>95</v>
      </c>
      <c r="E421" s="18" t="s">
        <v>2096</v>
      </c>
      <c r="F421" s="4" t="str">
        <f t="shared" si="23"/>
        <v>EUB09D700850</v>
      </c>
      <c r="G421" s="4">
        <v>5568</v>
      </c>
      <c r="H421" s="4"/>
      <c r="J421" s="19" t="str">
        <f t="shared" si="24"/>
        <v>Nem Heineken Költség</v>
      </c>
      <c r="K421" s="2" t="str">
        <f t="shared" si="22"/>
        <v/>
      </c>
    </row>
    <row r="422" spans="1:11" ht="30" x14ac:dyDescent="0.25">
      <c r="A422" s="14">
        <v>45363</v>
      </c>
      <c r="B422" s="2" t="s">
        <v>17</v>
      </c>
      <c r="C422" s="35" t="s">
        <v>2093</v>
      </c>
      <c r="D422" s="111" t="s">
        <v>95</v>
      </c>
      <c r="E422" s="18" t="s">
        <v>2094</v>
      </c>
      <c r="F422" s="4" t="str">
        <f t="shared" si="23"/>
        <v>EUB09D700852</v>
      </c>
      <c r="G422" s="4">
        <v>4547</v>
      </c>
      <c r="H422" s="4"/>
      <c r="J422" s="19" t="str">
        <f t="shared" si="24"/>
        <v>Nem Heineken Költség</v>
      </c>
      <c r="K422" s="2" t="str">
        <f t="shared" si="22"/>
        <v/>
      </c>
    </row>
    <row r="423" spans="1:11" ht="45" x14ac:dyDescent="0.25">
      <c r="A423" s="436">
        <v>45363</v>
      </c>
      <c r="B423" s="437" t="s">
        <v>79</v>
      </c>
      <c r="C423" s="535" t="s">
        <v>2091</v>
      </c>
      <c r="D423" s="111" t="s">
        <v>95</v>
      </c>
      <c r="E423" s="439" t="s">
        <v>2092</v>
      </c>
      <c r="F423" s="438" t="str">
        <f t="shared" si="23"/>
        <v>PTP200R239153</v>
      </c>
      <c r="G423" s="438">
        <v>1593</v>
      </c>
      <c r="H423" s="438"/>
      <c r="I423" s="2" t="s">
        <v>1728</v>
      </c>
      <c r="J423" s="19" t="str">
        <f t="shared" si="24"/>
        <v>SM-2024/3432</v>
      </c>
      <c r="K423" s="2">
        <f t="shared" si="22"/>
        <v>145.80000000000001</v>
      </c>
    </row>
    <row r="424" spans="1:11" ht="30" x14ac:dyDescent="0.25">
      <c r="A424" s="14">
        <v>45363</v>
      </c>
      <c r="B424" s="2" t="s">
        <v>17</v>
      </c>
      <c r="C424" s="35" t="s">
        <v>2080</v>
      </c>
      <c r="D424" s="111" t="s">
        <v>95</v>
      </c>
      <c r="E424" s="18"/>
      <c r="F424" s="4" t="str">
        <f t="shared" si="23"/>
        <v>EUB09D700852</v>
      </c>
      <c r="G424" s="4"/>
      <c r="H424" s="4"/>
      <c r="J424" s="19" t="str">
        <f t="shared" si="24"/>
        <v>Nem Heineken Költség</v>
      </c>
      <c r="K424" s="2" t="str">
        <f t="shared" si="22"/>
        <v/>
      </c>
    </row>
    <row r="425" spans="1:11" x14ac:dyDescent="0.25">
      <c r="A425" s="14">
        <v>45363</v>
      </c>
      <c r="B425" s="2" t="s">
        <v>79</v>
      </c>
      <c r="C425" s="22" t="s">
        <v>2079</v>
      </c>
      <c r="D425" s="111" t="s">
        <v>95</v>
      </c>
      <c r="E425" s="18"/>
      <c r="F425" s="4" t="str">
        <f t="shared" si="23"/>
        <v>PTP200R239153</v>
      </c>
      <c r="G425" s="4"/>
      <c r="H425" s="4"/>
      <c r="J425" s="19" t="str">
        <f t="shared" si="24"/>
        <v>Nem Heineken Költség</v>
      </c>
      <c r="K425" s="2" t="str">
        <f t="shared" si="22"/>
        <v/>
      </c>
    </row>
    <row r="426" spans="1:11" x14ac:dyDescent="0.25">
      <c r="A426" s="14">
        <v>45363</v>
      </c>
      <c r="B426" s="2" t="s">
        <v>10</v>
      </c>
      <c r="C426" s="22" t="s">
        <v>2095</v>
      </c>
      <c r="D426" s="111" t="s">
        <v>95</v>
      </c>
      <c r="E426" s="18" t="s">
        <v>2100</v>
      </c>
      <c r="F426" s="4" t="str">
        <f t="shared" si="23"/>
        <v>EUB09D700794</v>
      </c>
      <c r="G426" s="4">
        <v>3857</v>
      </c>
      <c r="H426" s="4"/>
      <c r="J426" s="19" t="str">
        <f t="shared" si="24"/>
        <v>Nem Heineken Költség</v>
      </c>
      <c r="K426" s="2" t="str">
        <f t="shared" si="22"/>
        <v/>
      </c>
    </row>
    <row r="427" spans="1:11" x14ac:dyDescent="0.25">
      <c r="A427" s="463">
        <v>45362</v>
      </c>
      <c r="B427" s="464" t="s">
        <v>153</v>
      </c>
      <c r="C427" s="536" t="s">
        <v>2090</v>
      </c>
      <c r="D427" s="547" t="s">
        <v>95</v>
      </c>
      <c r="E427" s="462" t="s">
        <v>2077</v>
      </c>
      <c r="F427" s="461" t="str">
        <f t="shared" si="23"/>
        <v>Nincs Adat</v>
      </c>
      <c r="G427" s="461">
        <v>92</v>
      </c>
      <c r="H427" s="461" t="s">
        <v>2118</v>
      </c>
      <c r="I427" s="2" t="s">
        <v>1728</v>
      </c>
      <c r="J427" s="19" t="str">
        <f t="shared" si="24"/>
        <v>Nincs Po</v>
      </c>
      <c r="K427" s="2" t="s">
        <v>2118</v>
      </c>
    </row>
    <row r="428" spans="1:11" ht="45" x14ac:dyDescent="0.25">
      <c r="A428" s="436">
        <v>45362</v>
      </c>
      <c r="B428" s="437" t="s">
        <v>78</v>
      </c>
      <c r="C428" s="535" t="s">
        <v>2089</v>
      </c>
      <c r="D428" s="111" t="s">
        <v>95</v>
      </c>
      <c r="E428" s="439" t="s">
        <v>2076</v>
      </c>
      <c r="F428" s="438" t="str">
        <f t="shared" si="23"/>
        <v>PTP200R239152</v>
      </c>
      <c r="G428" s="438">
        <v>1703</v>
      </c>
      <c r="H428" s="438"/>
      <c r="I428" s="2" t="s">
        <v>1728</v>
      </c>
      <c r="J428" s="19" t="str">
        <f t="shared" si="24"/>
        <v>SM-2024/3348</v>
      </c>
      <c r="K428" s="2">
        <f>IFERROR(VLOOKUP(E428,poprice,4,0),"")</f>
        <v>403.64</v>
      </c>
    </row>
    <row r="429" spans="1:11" x14ac:dyDescent="0.25">
      <c r="A429" s="463">
        <v>45362</v>
      </c>
      <c r="B429" s="464" t="s">
        <v>153</v>
      </c>
      <c r="C429" s="536" t="s">
        <v>2074</v>
      </c>
      <c r="D429" s="111" t="s">
        <v>95</v>
      </c>
      <c r="E429" s="466" t="s">
        <v>2078</v>
      </c>
      <c r="F429" s="465" t="str">
        <f t="shared" si="23"/>
        <v>Nincs Adat</v>
      </c>
      <c r="G429" s="465">
        <v>91</v>
      </c>
      <c r="H429" s="465" t="s">
        <v>2118</v>
      </c>
      <c r="I429" s="2" t="s">
        <v>1728</v>
      </c>
      <c r="J429" s="19" t="str">
        <f t="shared" si="24"/>
        <v>Nincs Po</v>
      </c>
      <c r="K429" s="2" t="s">
        <v>2118</v>
      </c>
    </row>
    <row r="430" spans="1:11" x14ac:dyDescent="0.25">
      <c r="A430" s="463">
        <v>45362</v>
      </c>
      <c r="B430" s="464" t="s">
        <v>153</v>
      </c>
      <c r="C430" s="536" t="s">
        <v>2073</v>
      </c>
      <c r="D430" s="111" t="s">
        <v>95</v>
      </c>
      <c r="E430" s="466" t="s">
        <v>2077</v>
      </c>
      <c r="F430" s="465" t="str">
        <f t="shared" si="23"/>
        <v>Nincs Adat</v>
      </c>
      <c r="G430" s="465">
        <v>92</v>
      </c>
      <c r="H430" s="465" t="s">
        <v>2118</v>
      </c>
      <c r="I430" s="2" t="s">
        <v>1728</v>
      </c>
      <c r="J430" s="19" t="str">
        <f t="shared" si="24"/>
        <v>Nincs Po</v>
      </c>
      <c r="K430" s="2" t="s">
        <v>2118</v>
      </c>
    </row>
    <row r="431" spans="1:11" x14ac:dyDescent="0.25">
      <c r="A431" s="14">
        <v>45362</v>
      </c>
      <c r="B431" s="2" t="s">
        <v>78</v>
      </c>
      <c r="C431" s="22" t="s">
        <v>2072</v>
      </c>
      <c r="D431" s="111" t="s">
        <v>95</v>
      </c>
      <c r="E431" s="18" t="s">
        <v>2076</v>
      </c>
      <c r="F431" s="4" t="str">
        <f t="shared" si="23"/>
        <v>PTP200R239152</v>
      </c>
      <c r="G431" s="4">
        <v>1703</v>
      </c>
      <c r="H431" s="4"/>
      <c r="J431" s="19" t="str">
        <f t="shared" si="24"/>
        <v>Nem Heineken Költség</v>
      </c>
      <c r="K431" s="2">
        <f t="shared" ref="K431:K462" si="25">IFERROR(VLOOKUP(E431,poprice,4,0),"")</f>
        <v>403.64</v>
      </c>
    </row>
    <row r="432" spans="1:11" x14ac:dyDescent="0.25">
      <c r="A432" s="14">
        <v>45362</v>
      </c>
      <c r="B432" s="2" t="s">
        <v>14</v>
      </c>
      <c r="C432" s="22" t="s">
        <v>2071</v>
      </c>
      <c r="D432" s="111" t="s">
        <v>95</v>
      </c>
      <c r="E432" s="18" t="s">
        <v>2075</v>
      </c>
      <c r="F432" s="4" t="str">
        <f t="shared" si="23"/>
        <v>EUB09D700269</v>
      </c>
      <c r="G432" s="4">
        <v>3574</v>
      </c>
      <c r="H432" s="4"/>
      <c r="J432" s="19" t="str">
        <f t="shared" si="24"/>
        <v>Nem Heineken Költség</v>
      </c>
      <c r="K432" s="2" t="str">
        <f t="shared" si="25"/>
        <v/>
      </c>
    </row>
    <row r="433" spans="1:11" ht="49.9" customHeight="1" x14ac:dyDescent="0.25">
      <c r="A433" s="14">
        <v>45359</v>
      </c>
      <c r="B433" s="2" t="s">
        <v>857</v>
      </c>
      <c r="C433" s="22" t="s">
        <v>2086</v>
      </c>
      <c r="D433" s="111" t="s">
        <v>95</v>
      </c>
      <c r="E433" s="18" t="s">
        <v>2087</v>
      </c>
      <c r="F433" s="4" t="str">
        <f t="shared" si="23"/>
        <v>Nincs Adat</v>
      </c>
      <c r="G433" s="4">
        <v>17</v>
      </c>
      <c r="H433" s="4"/>
      <c r="J433" s="19" t="str">
        <f t="shared" si="24"/>
        <v>Nem Heineken Költség</v>
      </c>
      <c r="K433" s="2" t="str">
        <f t="shared" si="25"/>
        <v/>
      </c>
    </row>
    <row r="434" spans="1:11" x14ac:dyDescent="0.25">
      <c r="A434" s="14">
        <v>45357</v>
      </c>
      <c r="B434" s="2" t="s">
        <v>9</v>
      </c>
      <c r="C434" s="22" t="s">
        <v>2052</v>
      </c>
      <c r="D434" s="111" t="s">
        <v>95</v>
      </c>
      <c r="E434" s="18" t="s">
        <v>2051</v>
      </c>
      <c r="F434" s="4" t="str">
        <f t="shared" si="23"/>
        <v>EUB09D700745</v>
      </c>
      <c r="G434" s="4"/>
      <c r="H434" s="4" t="s">
        <v>2853</v>
      </c>
      <c r="J434" s="19" t="str">
        <f t="shared" si="24"/>
        <v>Nem Heineken Költség</v>
      </c>
      <c r="K434" s="2" t="str">
        <f t="shared" si="25"/>
        <v/>
      </c>
    </row>
    <row r="435" spans="1:11" x14ac:dyDescent="0.25">
      <c r="A435" s="14">
        <v>45357</v>
      </c>
      <c r="B435" s="2" t="s">
        <v>13</v>
      </c>
      <c r="C435" s="22" t="s">
        <v>2066</v>
      </c>
      <c r="D435" s="111" t="s">
        <v>95</v>
      </c>
      <c r="E435" s="18" t="s">
        <v>2067</v>
      </c>
      <c r="F435" s="4" t="str">
        <f t="shared" si="23"/>
        <v>EUB09D700268</v>
      </c>
      <c r="G435" s="4">
        <v>3720</v>
      </c>
      <c r="H435" s="4"/>
      <c r="J435" s="19" t="str">
        <f t="shared" si="24"/>
        <v>Nem Heineken Költség</v>
      </c>
      <c r="K435" s="2" t="str">
        <f t="shared" si="25"/>
        <v/>
      </c>
    </row>
    <row r="436" spans="1:11" x14ac:dyDescent="0.25">
      <c r="A436" s="14">
        <v>45357</v>
      </c>
      <c r="B436" s="2" t="s">
        <v>14</v>
      </c>
      <c r="C436" s="22" t="s">
        <v>2064</v>
      </c>
      <c r="D436" s="111" t="s">
        <v>95</v>
      </c>
      <c r="E436" s="18" t="s">
        <v>2065</v>
      </c>
      <c r="F436" s="4" t="str">
        <f t="shared" si="23"/>
        <v>EUB09D700269</v>
      </c>
      <c r="G436" s="4">
        <v>3527</v>
      </c>
      <c r="H436" s="4"/>
      <c r="J436" s="19" t="str">
        <f t="shared" si="24"/>
        <v>Nem Heineken Költség</v>
      </c>
      <c r="K436" s="2" t="str">
        <f t="shared" si="25"/>
        <v/>
      </c>
    </row>
    <row r="437" spans="1:11" x14ac:dyDescent="0.25">
      <c r="A437" s="14">
        <v>45357</v>
      </c>
      <c r="B437" s="2" t="s">
        <v>25</v>
      </c>
      <c r="C437" s="22" t="s">
        <v>2062</v>
      </c>
      <c r="D437" s="111" t="s">
        <v>95</v>
      </c>
      <c r="E437" s="18" t="s">
        <v>2063</v>
      </c>
      <c r="F437" s="4" t="str">
        <f t="shared" si="23"/>
        <v>EUB09D700741</v>
      </c>
      <c r="G437" s="4">
        <v>2550</v>
      </c>
      <c r="H437" s="4"/>
      <c r="J437" s="19" t="str">
        <f t="shared" si="24"/>
        <v>Nem Heineken Költség</v>
      </c>
      <c r="K437" s="2" t="str">
        <f t="shared" si="25"/>
        <v/>
      </c>
    </row>
    <row r="438" spans="1:11" x14ac:dyDescent="0.25">
      <c r="A438" s="14">
        <v>45357</v>
      </c>
      <c r="B438" s="2" t="s">
        <v>20</v>
      </c>
      <c r="C438" s="22" t="s">
        <v>2060</v>
      </c>
      <c r="D438" s="111" t="s">
        <v>95</v>
      </c>
      <c r="E438" s="18" t="s">
        <v>2061</v>
      </c>
      <c r="F438" s="4" t="str">
        <f t="shared" si="23"/>
        <v>EUB09D700832</v>
      </c>
      <c r="G438" s="4">
        <v>3749</v>
      </c>
      <c r="H438" s="4"/>
      <c r="J438" s="19" t="str">
        <f t="shared" si="24"/>
        <v>Nem Heineken Költség</v>
      </c>
      <c r="K438" s="2" t="str">
        <f t="shared" si="25"/>
        <v/>
      </c>
    </row>
    <row r="439" spans="1:11" x14ac:dyDescent="0.25">
      <c r="A439" s="14">
        <v>45357</v>
      </c>
      <c r="B439" s="2" t="s">
        <v>9</v>
      </c>
      <c r="C439" s="22" t="s">
        <v>2058</v>
      </c>
      <c r="D439" s="111" t="s">
        <v>95</v>
      </c>
      <c r="E439" s="18" t="s">
        <v>2059</v>
      </c>
      <c r="F439" s="4" t="str">
        <f t="shared" si="23"/>
        <v>EUB09D700745</v>
      </c>
      <c r="G439" s="4"/>
      <c r="H439" s="4"/>
      <c r="J439" s="19" t="str">
        <f t="shared" si="24"/>
        <v>Nem Heineken Költség</v>
      </c>
      <c r="K439" s="2" t="str">
        <f t="shared" si="25"/>
        <v/>
      </c>
    </row>
    <row r="440" spans="1:11" ht="30" x14ac:dyDescent="0.25">
      <c r="A440" s="14">
        <v>45357</v>
      </c>
      <c r="B440" s="2" t="s">
        <v>9</v>
      </c>
      <c r="C440" s="35" t="s">
        <v>2057</v>
      </c>
      <c r="D440" s="111" t="s">
        <v>95</v>
      </c>
      <c r="E440" s="18" t="s">
        <v>2056</v>
      </c>
      <c r="F440" s="4" t="str">
        <f t="shared" si="23"/>
        <v>EUB09D700745</v>
      </c>
      <c r="G440" s="4"/>
      <c r="H440" s="4"/>
      <c r="J440" s="19" t="str">
        <f t="shared" si="24"/>
        <v>Nem Heineken Költség</v>
      </c>
      <c r="K440" s="2" t="str">
        <f t="shared" si="25"/>
        <v/>
      </c>
    </row>
    <row r="441" spans="1:11" x14ac:dyDescent="0.25">
      <c r="A441" s="14">
        <v>45357</v>
      </c>
      <c r="B441" s="2" t="s">
        <v>13</v>
      </c>
      <c r="C441" s="22" t="s">
        <v>2055</v>
      </c>
      <c r="D441" s="111" t="s">
        <v>95</v>
      </c>
      <c r="E441" s="18" t="s">
        <v>2054</v>
      </c>
      <c r="F441" s="4" t="str">
        <f t="shared" si="23"/>
        <v>EUB09D700268</v>
      </c>
      <c r="G441" s="4">
        <v>3720</v>
      </c>
      <c r="H441" s="4"/>
      <c r="J441" s="19" t="str">
        <f t="shared" si="24"/>
        <v>Nem Heineken Költség</v>
      </c>
      <c r="K441" s="2" t="str">
        <f t="shared" si="25"/>
        <v/>
      </c>
    </row>
    <row r="442" spans="1:11" x14ac:dyDescent="0.25">
      <c r="A442" s="14">
        <v>45357</v>
      </c>
      <c r="B442" s="2" t="s">
        <v>9</v>
      </c>
      <c r="C442" s="22" t="s">
        <v>504</v>
      </c>
      <c r="D442" s="111" t="s">
        <v>95</v>
      </c>
      <c r="E442" s="18"/>
      <c r="F442" s="4" t="str">
        <f t="shared" si="23"/>
        <v>EUB09D700745</v>
      </c>
      <c r="G442" s="4"/>
      <c r="H442" s="4"/>
      <c r="J442" s="19" t="str">
        <f t="shared" si="24"/>
        <v>Nem Heineken Költség</v>
      </c>
      <c r="K442" s="2" t="str">
        <f t="shared" si="25"/>
        <v/>
      </c>
    </row>
    <row r="443" spans="1:11" ht="30" x14ac:dyDescent="0.25">
      <c r="A443" s="14">
        <v>45356</v>
      </c>
      <c r="B443" s="2" t="s">
        <v>18</v>
      </c>
      <c r="C443" s="35" t="s">
        <v>2045</v>
      </c>
      <c r="D443" s="111" t="s">
        <v>95</v>
      </c>
      <c r="E443" s="18" t="s">
        <v>2046</v>
      </c>
      <c r="F443" s="4" t="str">
        <f t="shared" si="23"/>
        <v>EUB09D700992</v>
      </c>
      <c r="G443" s="4"/>
      <c r="H443" s="4"/>
      <c r="J443" s="19" t="str">
        <f t="shared" si="24"/>
        <v>Nem Heineken Költség</v>
      </c>
      <c r="K443" s="2" t="str">
        <f t="shared" si="25"/>
        <v/>
      </c>
    </row>
    <row r="444" spans="1:11" ht="30" x14ac:dyDescent="0.25">
      <c r="A444" s="14">
        <v>45355</v>
      </c>
      <c r="B444" s="2" t="s">
        <v>13</v>
      </c>
      <c r="C444" s="35" t="s">
        <v>2040</v>
      </c>
      <c r="D444" s="111" t="s">
        <v>95</v>
      </c>
      <c r="E444" s="18" t="s">
        <v>2041</v>
      </c>
      <c r="F444" s="4" t="str">
        <f t="shared" si="23"/>
        <v>EUB09D700268</v>
      </c>
      <c r="G444" s="4"/>
      <c r="H444" s="4"/>
      <c r="J444" s="19" t="str">
        <f t="shared" si="24"/>
        <v>Nem Heineken Költség</v>
      </c>
      <c r="K444" s="2" t="str">
        <f t="shared" si="25"/>
        <v/>
      </c>
    </row>
    <row r="445" spans="1:11" x14ac:dyDescent="0.25">
      <c r="A445" s="14">
        <v>45355</v>
      </c>
      <c r="B445" s="2" t="s">
        <v>13</v>
      </c>
      <c r="C445" s="22" t="s">
        <v>2038</v>
      </c>
      <c r="D445" s="111" t="s">
        <v>95</v>
      </c>
      <c r="E445" s="18" t="s">
        <v>2039</v>
      </c>
      <c r="F445" s="4" t="str">
        <f t="shared" si="23"/>
        <v>EUB09D700268</v>
      </c>
      <c r="G445" s="4"/>
      <c r="H445" s="4"/>
      <c r="J445" s="19" t="str">
        <f t="shared" si="24"/>
        <v>Nem Heineken Költség</v>
      </c>
      <c r="K445" s="2" t="str">
        <f t="shared" si="25"/>
        <v/>
      </c>
    </row>
    <row r="446" spans="1:11" ht="30" x14ac:dyDescent="0.25">
      <c r="A446" s="14">
        <v>45355</v>
      </c>
      <c r="B446" s="2" t="s">
        <v>15</v>
      </c>
      <c r="C446" s="35" t="s">
        <v>2036</v>
      </c>
      <c r="D446" s="111" t="s">
        <v>95</v>
      </c>
      <c r="E446" s="18" t="s">
        <v>2037</v>
      </c>
      <c r="F446" s="4" t="str">
        <f t="shared" si="23"/>
        <v>EUB09D700705</v>
      </c>
      <c r="G446" s="4"/>
      <c r="H446" s="4"/>
      <c r="J446" s="19" t="str">
        <f t="shared" si="24"/>
        <v>Nem Heineken Költség</v>
      </c>
      <c r="K446" s="2" t="str">
        <f t="shared" si="25"/>
        <v/>
      </c>
    </row>
    <row r="447" spans="1:11" x14ac:dyDescent="0.25">
      <c r="A447" s="14">
        <v>45352</v>
      </c>
      <c r="B447" s="2" t="s">
        <v>15</v>
      </c>
      <c r="C447" s="22" t="s">
        <v>2034</v>
      </c>
      <c r="D447" s="111" t="s">
        <v>95</v>
      </c>
      <c r="E447" s="18" t="s">
        <v>2035</v>
      </c>
      <c r="F447" s="4" t="str">
        <f t="shared" si="23"/>
        <v>EUB09D700705</v>
      </c>
      <c r="G447" s="4"/>
      <c r="H447" s="4"/>
      <c r="J447" s="19" t="str">
        <f t="shared" si="24"/>
        <v>Nem Heineken Költség</v>
      </c>
      <c r="K447" s="2" t="str">
        <f t="shared" si="25"/>
        <v/>
      </c>
    </row>
    <row r="448" spans="1:11" ht="30" x14ac:dyDescent="0.25">
      <c r="A448" s="436">
        <v>45352</v>
      </c>
      <c r="B448" s="437" t="s">
        <v>77</v>
      </c>
      <c r="C448" s="535" t="s">
        <v>2032</v>
      </c>
      <c r="D448" s="548" t="s">
        <v>95</v>
      </c>
      <c r="E448" s="439" t="s">
        <v>2033</v>
      </c>
      <c r="F448" s="438" t="str">
        <f t="shared" si="23"/>
        <v>PTP200R239151</v>
      </c>
      <c r="G448" s="438"/>
      <c r="H448" s="438"/>
      <c r="I448" s="215" t="s">
        <v>1728</v>
      </c>
      <c r="J448" s="19" t="str">
        <f t="shared" si="24"/>
        <v>SM-2024/3002</v>
      </c>
      <c r="K448" s="2">
        <f t="shared" si="25"/>
        <v>836.07</v>
      </c>
    </row>
    <row r="449" spans="1:11" x14ac:dyDescent="0.25">
      <c r="A449" s="14">
        <v>45352</v>
      </c>
      <c r="B449" s="2" t="s">
        <v>15</v>
      </c>
      <c r="C449" s="22" t="s">
        <v>2030</v>
      </c>
      <c r="D449" s="111" t="s">
        <v>95</v>
      </c>
      <c r="E449" s="18" t="s">
        <v>2031</v>
      </c>
      <c r="F449" s="4" t="str">
        <f t="shared" si="23"/>
        <v>EUB09D700705</v>
      </c>
      <c r="G449" s="4"/>
      <c r="H449" s="4"/>
      <c r="J449" s="19" t="str">
        <f t="shared" si="24"/>
        <v>Nem Heineken Költség</v>
      </c>
      <c r="K449" s="2" t="str">
        <f t="shared" si="25"/>
        <v/>
      </c>
    </row>
    <row r="450" spans="1:11" x14ac:dyDescent="0.25">
      <c r="A450" s="14">
        <v>45352</v>
      </c>
      <c r="B450" s="2" t="s">
        <v>13</v>
      </c>
      <c r="C450" s="22" t="s">
        <v>2028</v>
      </c>
      <c r="D450" s="111" t="s">
        <v>95</v>
      </c>
      <c r="E450" s="18" t="s">
        <v>2029</v>
      </c>
      <c r="F450" s="4" t="str">
        <f t="shared" si="23"/>
        <v>EUB09D700268</v>
      </c>
      <c r="G450" s="4"/>
      <c r="H450" s="4"/>
      <c r="J450" s="19" t="str">
        <f t="shared" si="24"/>
        <v>Nem Heineken Költség</v>
      </c>
      <c r="K450" s="2" t="str">
        <f t="shared" si="25"/>
        <v/>
      </c>
    </row>
    <row r="451" spans="1:11" x14ac:dyDescent="0.25">
      <c r="A451" s="14">
        <v>45352</v>
      </c>
      <c r="B451" s="2" t="s">
        <v>12</v>
      </c>
      <c r="C451" s="22" t="s">
        <v>2026</v>
      </c>
      <c r="D451" s="111" t="s">
        <v>95</v>
      </c>
      <c r="E451" s="18" t="s">
        <v>2027</v>
      </c>
      <c r="F451" s="4" t="str">
        <f t="shared" ref="F451:F514" si="26">IFERROR(VLOOKUP(B451,targlist02,3,0),"Nincs Adat")</f>
        <v>EUB09D700267</v>
      </c>
      <c r="G451" s="4"/>
      <c r="H451" s="4"/>
      <c r="J451" s="19" t="str">
        <f t="shared" ref="J451:J514" si="27">IF(I451="H",IFERROR(VLOOKUP(E451,podone,1,0),"Nincs Po"),"Nem Heineken Költség")</f>
        <v>Nem Heineken Költség</v>
      </c>
      <c r="K451" s="2" t="str">
        <f t="shared" si="25"/>
        <v/>
      </c>
    </row>
    <row r="452" spans="1:11" x14ac:dyDescent="0.25">
      <c r="A452" s="14">
        <v>45352</v>
      </c>
      <c r="B452" s="2" t="s">
        <v>13</v>
      </c>
      <c r="C452" s="22" t="s">
        <v>2014</v>
      </c>
      <c r="D452" s="111" t="s">
        <v>95</v>
      </c>
      <c r="E452" s="18" t="s">
        <v>2015</v>
      </c>
      <c r="F452" s="4" t="str">
        <f t="shared" si="26"/>
        <v>EUB09D700268</v>
      </c>
      <c r="G452" s="4"/>
      <c r="H452" s="4"/>
      <c r="J452" s="19" t="str">
        <f t="shared" si="27"/>
        <v>Nem Heineken Költség</v>
      </c>
      <c r="K452" s="2" t="str">
        <f t="shared" si="25"/>
        <v/>
      </c>
    </row>
    <row r="453" spans="1:11" x14ac:dyDescent="0.25">
      <c r="A453" s="14">
        <v>45352</v>
      </c>
      <c r="B453" s="2" t="s">
        <v>3</v>
      </c>
      <c r="C453" s="22" t="s">
        <v>2013</v>
      </c>
      <c r="D453" s="111" t="s">
        <v>96</v>
      </c>
      <c r="E453" s="18"/>
      <c r="F453" s="4" t="str">
        <f t="shared" si="26"/>
        <v>JA2N1E700428</v>
      </c>
      <c r="G453" s="4"/>
      <c r="H453" s="4"/>
      <c r="J453" s="19" t="str">
        <f t="shared" si="27"/>
        <v>Nem Heineken Költség</v>
      </c>
      <c r="K453" s="2" t="str">
        <f t="shared" si="25"/>
        <v/>
      </c>
    </row>
    <row r="454" spans="1:11" x14ac:dyDescent="0.25">
      <c r="A454" s="14">
        <v>45352</v>
      </c>
      <c r="B454" s="2" t="s">
        <v>11</v>
      </c>
      <c r="C454" s="22" t="s">
        <v>2011</v>
      </c>
      <c r="D454" s="111" t="s">
        <v>96</v>
      </c>
      <c r="E454" s="18"/>
      <c r="F454" s="4" t="str">
        <f t="shared" si="26"/>
        <v>EUB09D700850</v>
      </c>
      <c r="G454" s="4"/>
      <c r="H454" s="4"/>
      <c r="J454" s="19" t="str">
        <f t="shared" si="27"/>
        <v>Nem Heineken Költség</v>
      </c>
      <c r="K454" s="2" t="str">
        <f t="shared" si="25"/>
        <v/>
      </c>
    </row>
    <row r="455" spans="1:11" x14ac:dyDescent="0.25">
      <c r="A455" s="14">
        <v>45352</v>
      </c>
      <c r="B455" s="2" t="s">
        <v>6</v>
      </c>
      <c r="C455" s="22" t="s">
        <v>2010</v>
      </c>
      <c r="D455" s="111" t="s">
        <v>95</v>
      </c>
      <c r="E455" s="18"/>
      <c r="F455" s="4" t="str">
        <f t="shared" si="26"/>
        <v>EUB09D700742</v>
      </c>
      <c r="G455" s="4"/>
      <c r="H455" s="4"/>
      <c r="J455" s="19" t="str">
        <f t="shared" si="27"/>
        <v>Nem Heineken Költség</v>
      </c>
      <c r="K455" s="2" t="str">
        <f t="shared" si="25"/>
        <v/>
      </c>
    </row>
    <row r="456" spans="1:11" x14ac:dyDescent="0.25">
      <c r="A456" s="14">
        <v>45352</v>
      </c>
      <c r="B456" s="2" t="s">
        <v>21</v>
      </c>
      <c r="C456" s="22" t="s">
        <v>2009</v>
      </c>
      <c r="D456" s="111" t="s">
        <v>96</v>
      </c>
      <c r="E456" s="18"/>
      <c r="F456" s="4" t="str">
        <f t="shared" si="26"/>
        <v>EUB09D700842</v>
      </c>
      <c r="G456" s="4"/>
      <c r="H456" s="4"/>
      <c r="J456" s="19" t="str">
        <f t="shared" si="27"/>
        <v>Nem Heineken Költség</v>
      </c>
      <c r="K456" s="2" t="str">
        <f t="shared" si="25"/>
        <v/>
      </c>
    </row>
    <row r="457" spans="1:11" x14ac:dyDescent="0.25">
      <c r="A457" s="14">
        <v>45352</v>
      </c>
      <c r="B457" s="2" t="s">
        <v>14</v>
      </c>
      <c r="C457" s="22" t="s">
        <v>2044</v>
      </c>
      <c r="D457" s="111" t="s">
        <v>95</v>
      </c>
      <c r="E457" s="18" t="s">
        <v>2043</v>
      </c>
      <c r="F457" s="4" t="str">
        <f t="shared" si="26"/>
        <v>EUB09D700269</v>
      </c>
      <c r="G457" s="4"/>
      <c r="H457" s="4"/>
      <c r="J457" s="19" t="str">
        <f t="shared" si="27"/>
        <v>Nem Heineken Költség</v>
      </c>
      <c r="K457" s="2" t="str">
        <f t="shared" si="25"/>
        <v/>
      </c>
    </row>
    <row r="458" spans="1:11" x14ac:dyDescent="0.25">
      <c r="A458" s="14">
        <v>45352</v>
      </c>
      <c r="B458" s="2" t="s">
        <v>22</v>
      </c>
      <c r="C458" s="22" t="s">
        <v>2008</v>
      </c>
      <c r="D458" s="111" t="s">
        <v>95</v>
      </c>
      <c r="E458" s="18"/>
      <c r="F458" s="4" t="str">
        <f t="shared" si="26"/>
        <v>EUB09D700838</v>
      </c>
      <c r="G458" s="4"/>
      <c r="H458" s="4"/>
      <c r="J458" s="19" t="str">
        <f t="shared" si="27"/>
        <v>Nem Heineken Költség</v>
      </c>
      <c r="K458" s="2" t="str">
        <f t="shared" si="25"/>
        <v/>
      </c>
    </row>
    <row r="459" spans="1:11" x14ac:dyDescent="0.25">
      <c r="A459" s="14">
        <v>45352</v>
      </c>
      <c r="B459" s="2" t="s">
        <v>86</v>
      </c>
      <c r="C459" s="22" t="s">
        <v>2007</v>
      </c>
      <c r="D459" s="111" t="s">
        <v>95</v>
      </c>
      <c r="E459" s="18"/>
      <c r="F459" s="4" t="str">
        <f t="shared" si="26"/>
        <v>Nincs Adat</v>
      </c>
      <c r="G459" s="4"/>
      <c r="H459" s="4"/>
      <c r="J459" s="19" t="str">
        <f t="shared" si="27"/>
        <v>Nem Heineken Költség</v>
      </c>
      <c r="K459" s="2" t="str">
        <f t="shared" si="25"/>
        <v/>
      </c>
    </row>
    <row r="460" spans="1:11" x14ac:dyDescent="0.25">
      <c r="A460" s="14">
        <v>45352</v>
      </c>
      <c r="B460" s="2" t="s">
        <v>35</v>
      </c>
      <c r="C460" s="22" t="s">
        <v>128</v>
      </c>
      <c r="D460" s="111" t="s">
        <v>95</v>
      </c>
      <c r="E460" s="18" t="s">
        <v>2047</v>
      </c>
      <c r="F460" s="4" t="str">
        <f t="shared" si="26"/>
        <v>Nincs Adat</v>
      </c>
      <c r="G460" s="4"/>
      <c r="H460" s="4"/>
      <c r="J460" s="19" t="str">
        <f t="shared" si="27"/>
        <v>Nem Heineken Költség</v>
      </c>
      <c r="K460" s="2" t="str">
        <f t="shared" si="25"/>
        <v/>
      </c>
    </row>
    <row r="461" spans="1:11" x14ac:dyDescent="0.25">
      <c r="A461" s="14">
        <v>45352</v>
      </c>
      <c r="B461" s="2" t="s">
        <v>10</v>
      </c>
      <c r="C461" s="22" t="s">
        <v>2006</v>
      </c>
      <c r="D461" s="111" t="s">
        <v>95</v>
      </c>
      <c r="E461" s="18" t="s">
        <v>2047</v>
      </c>
      <c r="F461" s="4" t="str">
        <f t="shared" si="26"/>
        <v>EUB09D700794</v>
      </c>
      <c r="G461" s="4"/>
      <c r="H461" s="4"/>
      <c r="J461" s="19" t="str">
        <f t="shared" si="27"/>
        <v>Nem Heineken Költség</v>
      </c>
      <c r="K461" s="2" t="str">
        <f t="shared" si="25"/>
        <v/>
      </c>
    </row>
    <row r="462" spans="1:11" x14ac:dyDescent="0.25">
      <c r="A462" s="14">
        <v>45351</v>
      </c>
      <c r="B462" s="2" t="s">
        <v>15</v>
      </c>
      <c r="C462" s="22" t="s">
        <v>2024</v>
      </c>
      <c r="D462" s="111" t="s">
        <v>95</v>
      </c>
      <c r="E462" s="18" t="s">
        <v>2025</v>
      </c>
      <c r="F462" s="4" t="str">
        <f t="shared" si="26"/>
        <v>EUB09D700705</v>
      </c>
      <c r="G462" s="4"/>
      <c r="H462" s="4"/>
      <c r="J462" s="19" t="str">
        <f t="shared" si="27"/>
        <v>Nem Heineken Költség</v>
      </c>
      <c r="K462" s="2" t="str">
        <f t="shared" si="25"/>
        <v/>
      </c>
    </row>
    <row r="463" spans="1:11" x14ac:dyDescent="0.25">
      <c r="A463" s="14">
        <v>45351</v>
      </c>
      <c r="B463" s="2" t="s">
        <v>15</v>
      </c>
      <c r="C463" s="22" t="s">
        <v>2023</v>
      </c>
      <c r="D463" s="111" t="s">
        <v>95</v>
      </c>
      <c r="E463" s="18" t="s">
        <v>2022</v>
      </c>
      <c r="F463" s="4" t="str">
        <f t="shared" si="26"/>
        <v>EUB09D700705</v>
      </c>
      <c r="G463" s="4"/>
      <c r="H463" s="4"/>
      <c r="J463" s="19" t="str">
        <f t="shared" si="27"/>
        <v>Nem Heineken Költség</v>
      </c>
      <c r="K463" s="2" t="str">
        <f t="shared" ref="K463:K479" si="28">IFERROR(VLOOKUP(E463,poprice,4,0),"")</f>
        <v/>
      </c>
    </row>
    <row r="464" spans="1:11" x14ac:dyDescent="0.25">
      <c r="A464" s="14">
        <v>45350</v>
      </c>
      <c r="B464" s="2" t="s">
        <v>12</v>
      </c>
      <c r="C464" s="22" t="s">
        <v>2020</v>
      </c>
      <c r="D464" s="111" t="s">
        <v>95</v>
      </c>
      <c r="E464" s="18" t="s">
        <v>2021</v>
      </c>
      <c r="F464" s="4" t="str">
        <f t="shared" si="26"/>
        <v>EUB09D700267</v>
      </c>
      <c r="G464" s="4"/>
      <c r="H464" s="4"/>
      <c r="J464" s="19" t="str">
        <f t="shared" si="27"/>
        <v>Nem Heineken Költség</v>
      </c>
      <c r="K464" s="2" t="str">
        <f t="shared" si="28"/>
        <v/>
      </c>
    </row>
    <row r="465" spans="1:11" x14ac:dyDescent="0.25">
      <c r="A465" s="14">
        <v>45350</v>
      </c>
      <c r="B465" s="2" t="s">
        <v>15</v>
      </c>
      <c r="C465" s="22" t="s">
        <v>2018</v>
      </c>
      <c r="D465" s="111" t="s">
        <v>95</v>
      </c>
      <c r="E465" s="18" t="s">
        <v>2019</v>
      </c>
      <c r="F465" s="4" t="str">
        <f t="shared" si="26"/>
        <v>EUB09D700705</v>
      </c>
      <c r="G465" s="4"/>
      <c r="H465" s="4"/>
      <c r="J465" s="19" t="str">
        <f t="shared" si="27"/>
        <v>Nem Heineken Költség</v>
      </c>
      <c r="K465" s="2" t="str">
        <f t="shared" si="28"/>
        <v/>
      </c>
    </row>
    <row r="466" spans="1:11" x14ac:dyDescent="0.25">
      <c r="A466" s="14">
        <v>45349</v>
      </c>
      <c r="B466" s="2" t="s">
        <v>12</v>
      </c>
      <c r="C466" s="22" t="s">
        <v>2001</v>
      </c>
      <c r="D466" s="111" t="s">
        <v>95</v>
      </c>
      <c r="E466" s="18" t="s">
        <v>2002</v>
      </c>
      <c r="F466" s="4" t="str">
        <f t="shared" si="26"/>
        <v>EUB09D700267</v>
      </c>
      <c r="G466" s="4">
        <v>3492</v>
      </c>
      <c r="H466" s="4"/>
      <c r="J466" s="19" t="str">
        <f t="shared" si="27"/>
        <v>Nem Heineken Költség</v>
      </c>
      <c r="K466" s="2" t="str">
        <f t="shared" si="28"/>
        <v/>
      </c>
    </row>
    <row r="467" spans="1:11" x14ac:dyDescent="0.25">
      <c r="A467" s="14">
        <v>45349</v>
      </c>
      <c r="B467" s="2" t="s">
        <v>11</v>
      </c>
      <c r="C467" s="22" t="s">
        <v>1999</v>
      </c>
      <c r="D467" s="111" t="s">
        <v>95</v>
      </c>
      <c r="E467" s="18" t="s">
        <v>2000</v>
      </c>
      <c r="F467" s="4" t="str">
        <f t="shared" si="26"/>
        <v>EUB09D700850</v>
      </c>
      <c r="G467" s="4">
        <v>5453</v>
      </c>
      <c r="H467" s="4"/>
      <c r="J467" s="19" t="str">
        <f t="shared" si="27"/>
        <v>Nem Heineken Költség</v>
      </c>
      <c r="K467" s="2" t="str">
        <f t="shared" si="28"/>
        <v/>
      </c>
    </row>
    <row r="468" spans="1:11" x14ac:dyDescent="0.25">
      <c r="A468" s="432">
        <v>45348</v>
      </c>
      <c r="B468" s="433" t="s">
        <v>12</v>
      </c>
      <c r="C468" s="537" t="s">
        <v>2017</v>
      </c>
      <c r="D468" s="549" t="s">
        <v>95</v>
      </c>
      <c r="E468" s="435" t="s">
        <v>2016</v>
      </c>
      <c r="F468" s="434" t="str">
        <f t="shared" si="26"/>
        <v>EUB09D700267</v>
      </c>
      <c r="G468" s="434"/>
      <c r="H468" s="434"/>
      <c r="I468" s="433"/>
      <c r="J468" s="440" t="str">
        <f t="shared" si="27"/>
        <v>Nem Heineken Költség</v>
      </c>
      <c r="K468" s="433" t="str">
        <f t="shared" si="28"/>
        <v/>
      </c>
    </row>
    <row r="469" spans="1:11" ht="49.9" customHeight="1" x14ac:dyDescent="0.25">
      <c r="A469" s="436">
        <v>45348</v>
      </c>
      <c r="B469" s="437" t="s">
        <v>79</v>
      </c>
      <c r="C469" s="538" t="s">
        <v>2003</v>
      </c>
      <c r="D469" s="548" t="s">
        <v>95</v>
      </c>
      <c r="E469" s="439" t="s">
        <v>2004</v>
      </c>
      <c r="F469" s="438" t="str">
        <f t="shared" si="26"/>
        <v>PTP200R239153</v>
      </c>
      <c r="G469" s="438">
        <v>1548</v>
      </c>
      <c r="H469" s="438"/>
      <c r="I469" s="215" t="s">
        <v>1728</v>
      </c>
      <c r="J469" s="19" t="str">
        <f t="shared" si="27"/>
        <v>Nincs Po</v>
      </c>
      <c r="K469" s="2" t="str">
        <f t="shared" si="28"/>
        <v/>
      </c>
    </row>
    <row r="470" spans="1:11" x14ac:dyDescent="0.25">
      <c r="A470" s="432">
        <v>45348</v>
      </c>
      <c r="B470" s="433" t="s">
        <v>12</v>
      </c>
      <c r="C470" s="537" t="s">
        <v>1998</v>
      </c>
      <c r="D470" s="550" t="s">
        <v>95</v>
      </c>
      <c r="E470" s="435" t="s">
        <v>1997</v>
      </c>
      <c r="F470" s="434" t="str">
        <f t="shared" si="26"/>
        <v>EUB09D700267</v>
      </c>
      <c r="G470" s="434">
        <v>3492</v>
      </c>
      <c r="H470" s="434"/>
      <c r="I470" s="433"/>
      <c r="J470" s="19" t="str">
        <f t="shared" si="27"/>
        <v>Nem Heineken Költség</v>
      </c>
      <c r="K470" s="2" t="str">
        <f t="shared" si="28"/>
        <v/>
      </c>
    </row>
    <row r="471" spans="1:11" x14ac:dyDescent="0.25">
      <c r="A471" s="14">
        <v>45345</v>
      </c>
      <c r="B471" s="2" t="s">
        <v>16</v>
      </c>
      <c r="C471" s="22" t="s">
        <v>1996</v>
      </c>
      <c r="D471" s="111" t="s">
        <v>96</v>
      </c>
      <c r="E471" s="18"/>
      <c r="F471" s="4" t="str">
        <f t="shared" si="26"/>
        <v>EUB09D700851</v>
      </c>
      <c r="G471" s="4"/>
      <c r="H471" s="4"/>
      <c r="J471" s="19" t="str">
        <f t="shared" si="27"/>
        <v>Nem Heineken Költség</v>
      </c>
      <c r="K471" s="2" t="str">
        <f t="shared" si="28"/>
        <v/>
      </c>
    </row>
    <row r="472" spans="1:11" x14ac:dyDescent="0.25">
      <c r="A472" s="14">
        <v>45344</v>
      </c>
      <c r="B472" s="2" t="s">
        <v>7</v>
      </c>
      <c r="C472" s="22" t="s">
        <v>1989</v>
      </c>
      <c r="D472" s="111" t="s">
        <v>95</v>
      </c>
      <c r="E472" s="18" t="s">
        <v>1990</v>
      </c>
      <c r="F472" s="4" t="str">
        <f t="shared" si="26"/>
        <v>EUB09D700743</v>
      </c>
      <c r="G472" s="4">
        <v>4497</v>
      </c>
      <c r="H472" s="4"/>
      <c r="J472" s="19" t="str">
        <f t="shared" si="27"/>
        <v>Nem Heineken Költség</v>
      </c>
      <c r="K472" s="2" t="str">
        <f t="shared" si="28"/>
        <v/>
      </c>
    </row>
    <row r="473" spans="1:11" x14ac:dyDescent="0.25">
      <c r="A473" s="14">
        <v>45344</v>
      </c>
      <c r="B473" s="2" t="s">
        <v>7</v>
      </c>
      <c r="C473" s="22" t="s">
        <v>1985</v>
      </c>
      <c r="D473" s="111" t="s">
        <v>95</v>
      </c>
      <c r="E473" s="18" t="s">
        <v>1986</v>
      </c>
      <c r="F473" s="4" t="str">
        <f t="shared" si="26"/>
        <v>EUB09D700743</v>
      </c>
      <c r="G473" s="4">
        <v>4497</v>
      </c>
      <c r="H473" s="4"/>
      <c r="J473" s="19" t="str">
        <f t="shared" si="27"/>
        <v>Nem Heineken Költség</v>
      </c>
      <c r="K473" s="2" t="str">
        <f t="shared" si="28"/>
        <v/>
      </c>
    </row>
    <row r="474" spans="1:11" x14ac:dyDescent="0.25">
      <c r="A474" s="14">
        <v>45344</v>
      </c>
      <c r="B474" s="2" t="s">
        <v>16</v>
      </c>
      <c r="C474" s="22" t="s">
        <v>1988</v>
      </c>
      <c r="D474" s="111" t="s">
        <v>95</v>
      </c>
      <c r="E474" s="18" t="s">
        <v>1987</v>
      </c>
      <c r="F474" s="4" t="str">
        <f t="shared" si="26"/>
        <v>EUB09D700851</v>
      </c>
      <c r="G474" s="4">
        <v>3997</v>
      </c>
      <c r="H474" s="4"/>
      <c r="J474" s="19" t="str">
        <f t="shared" si="27"/>
        <v>Nem Heineken Költség</v>
      </c>
      <c r="K474" s="2" t="str">
        <f t="shared" si="28"/>
        <v/>
      </c>
    </row>
    <row r="475" spans="1:11" x14ac:dyDescent="0.25">
      <c r="A475" s="14">
        <v>45343</v>
      </c>
      <c r="B475" s="2" t="s">
        <v>7</v>
      </c>
      <c r="C475" s="22" t="s">
        <v>1983</v>
      </c>
      <c r="D475" s="111" t="s">
        <v>95</v>
      </c>
      <c r="E475" s="18" t="s">
        <v>1984</v>
      </c>
      <c r="F475" s="4" t="str">
        <f t="shared" si="26"/>
        <v>EUB09D700743</v>
      </c>
      <c r="G475" s="4">
        <v>4497</v>
      </c>
      <c r="H475" s="4"/>
      <c r="J475" s="19" t="str">
        <f t="shared" si="27"/>
        <v>Nem Heineken Költség</v>
      </c>
      <c r="K475" s="2" t="str">
        <f t="shared" si="28"/>
        <v/>
      </c>
    </row>
    <row r="476" spans="1:11" x14ac:dyDescent="0.25">
      <c r="A476" s="14">
        <v>45343</v>
      </c>
      <c r="B476" s="2" t="s">
        <v>7</v>
      </c>
      <c r="C476" s="22" t="s">
        <v>1979</v>
      </c>
      <c r="D476" s="111" t="s">
        <v>95</v>
      </c>
      <c r="E476" s="18" t="s">
        <v>1980</v>
      </c>
      <c r="F476" s="4" t="str">
        <f t="shared" si="26"/>
        <v>EUB09D700743</v>
      </c>
      <c r="G476" s="4">
        <v>4497</v>
      </c>
      <c r="H476" s="4"/>
      <c r="J476" s="19" t="str">
        <f t="shared" si="27"/>
        <v>Nem Heineken Költség</v>
      </c>
      <c r="K476" s="2" t="str">
        <f t="shared" si="28"/>
        <v/>
      </c>
    </row>
    <row r="477" spans="1:11" ht="30" x14ac:dyDescent="0.25">
      <c r="A477" s="14">
        <v>45343</v>
      </c>
      <c r="B477" s="2" t="s">
        <v>7</v>
      </c>
      <c r="C477" s="35" t="s">
        <v>1976</v>
      </c>
      <c r="D477" s="111" t="s">
        <v>95</v>
      </c>
      <c r="E477" s="18" t="s">
        <v>1977</v>
      </c>
      <c r="F477" s="4" t="str">
        <f t="shared" si="26"/>
        <v>EUB09D700743</v>
      </c>
      <c r="G477" s="4">
        <v>4497</v>
      </c>
      <c r="H477" s="4"/>
      <c r="J477" s="19" t="str">
        <f t="shared" si="27"/>
        <v>Nem Heineken Költség</v>
      </c>
      <c r="K477" s="2" t="str">
        <f t="shared" si="28"/>
        <v/>
      </c>
    </row>
    <row r="478" spans="1:11" x14ac:dyDescent="0.25">
      <c r="A478" s="14">
        <v>45343</v>
      </c>
      <c r="B478" s="2" t="s">
        <v>16</v>
      </c>
      <c r="C478" s="22" t="s">
        <v>1981</v>
      </c>
      <c r="D478" s="111" t="s">
        <v>95</v>
      </c>
      <c r="E478" s="18" t="s">
        <v>1982</v>
      </c>
      <c r="F478" s="4" t="str">
        <f t="shared" si="26"/>
        <v>EUB09D700851</v>
      </c>
      <c r="G478" s="4">
        <v>3886</v>
      </c>
      <c r="H478" s="4"/>
      <c r="J478" s="19" t="str">
        <f t="shared" si="27"/>
        <v>Nem Heineken Költség</v>
      </c>
      <c r="K478" s="2" t="str">
        <f t="shared" si="28"/>
        <v/>
      </c>
    </row>
    <row r="479" spans="1:11" ht="30" x14ac:dyDescent="0.25">
      <c r="A479" s="14">
        <v>45343</v>
      </c>
      <c r="B479" s="2" t="s">
        <v>16</v>
      </c>
      <c r="C479" s="35" t="s">
        <v>1962</v>
      </c>
      <c r="D479" s="111" t="s">
        <v>95</v>
      </c>
      <c r="E479" s="18" t="s">
        <v>1978</v>
      </c>
      <c r="F479" s="4" t="str">
        <f t="shared" si="26"/>
        <v>EUB09D700851</v>
      </c>
      <c r="G479" s="4">
        <v>3886</v>
      </c>
      <c r="H479" s="4"/>
      <c r="J479" s="19" t="str">
        <f t="shared" si="27"/>
        <v>Nem Heineken Költség</v>
      </c>
      <c r="K479" s="2" t="str">
        <f t="shared" si="28"/>
        <v/>
      </c>
    </row>
    <row r="480" spans="1:11" x14ac:dyDescent="0.25">
      <c r="A480" s="463">
        <v>45342</v>
      </c>
      <c r="B480" s="464" t="s">
        <v>3</v>
      </c>
      <c r="C480" s="536" t="s">
        <v>1973</v>
      </c>
      <c r="D480" s="111" t="s">
        <v>95</v>
      </c>
      <c r="E480" s="466" t="s">
        <v>1974</v>
      </c>
      <c r="F480" s="465" t="str">
        <f t="shared" si="26"/>
        <v>JA2N1E700428</v>
      </c>
      <c r="G480" s="465">
        <v>1824</v>
      </c>
      <c r="H480" s="465" t="s">
        <v>2053</v>
      </c>
      <c r="I480" s="2" t="s">
        <v>1728</v>
      </c>
      <c r="J480" s="19" t="str">
        <f t="shared" si="27"/>
        <v>Nincs Po</v>
      </c>
      <c r="K480" s="2" t="s">
        <v>2118</v>
      </c>
    </row>
    <row r="481" spans="1:11" x14ac:dyDescent="0.25">
      <c r="A481" s="14">
        <v>45342</v>
      </c>
      <c r="B481" s="2" t="s">
        <v>2</v>
      </c>
      <c r="C481" s="22" t="s">
        <v>1127</v>
      </c>
      <c r="D481" s="111" t="s">
        <v>95</v>
      </c>
      <c r="E481" s="18" t="s">
        <v>1972</v>
      </c>
      <c r="F481" s="4" t="str">
        <f t="shared" si="26"/>
        <v>JA2N1E700427</v>
      </c>
      <c r="G481" s="4">
        <v>2062</v>
      </c>
      <c r="H481" s="4"/>
      <c r="J481" s="19" t="str">
        <f t="shared" si="27"/>
        <v>Nem Heineken Költség</v>
      </c>
      <c r="K481" s="2" t="str">
        <f>IFERROR(VLOOKUP(E481,poprice,4,0),"")</f>
        <v/>
      </c>
    </row>
    <row r="482" spans="1:11" x14ac:dyDescent="0.25">
      <c r="A482" s="463">
        <v>45342</v>
      </c>
      <c r="B482" s="464" t="s">
        <v>2</v>
      </c>
      <c r="C482" s="536" t="s">
        <v>1971</v>
      </c>
      <c r="D482" s="111" t="s">
        <v>95</v>
      </c>
      <c r="E482" s="466" t="s">
        <v>1970</v>
      </c>
      <c r="F482" s="465" t="str">
        <f t="shared" si="26"/>
        <v>JA2N1E700427</v>
      </c>
      <c r="G482" s="465">
        <v>2062</v>
      </c>
      <c r="H482" s="465" t="s">
        <v>2053</v>
      </c>
      <c r="I482" s="2" t="s">
        <v>1728</v>
      </c>
      <c r="J482" s="19" t="str">
        <f t="shared" si="27"/>
        <v>Nincs Po</v>
      </c>
      <c r="K482" s="2" t="s">
        <v>2118</v>
      </c>
    </row>
    <row r="483" spans="1:11" x14ac:dyDescent="0.25">
      <c r="A483" s="14">
        <v>45342</v>
      </c>
      <c r="B483" s="2" t="s">
        <v>4</v>
      </c>
      <c r="C483" s="22" t="s">
        <v>1968</v>
      </c>
      <c r="D483" s="111" t="s">
        <v>95</v>
      </c>
      <c r="E483" s="18" t="s">
        <v>1969</v>
      </c>
      <c r="F483" s="4" t="str">
        <f t="shared" si="26"/>
        <v>JAG2N1E701604</v>
      </c>
      <c r="G483" s="4">
        <v>1578</v>
      </c>
      <c r="H483" s="4"/>
      <c r="J483" s="19" t="str">
        <f t="shared" si="27"/>
        <v>Nem Heineken Költség</v>
      </c>
      <c r="K483" s="2" t="str">
        <f t="shared" ref="K483:K546" si="29">IFERROR(VLOOKUP(E483,poprice,4,0),"")</f>
        <v/>
      </c>
    </row>
    <row r="484" spans="1:11" x14ac:dyDescent="0.25">
      <c r="A484" s="14">
        <v>45341</v>
      </c>
      <c r="B484" s="2" t="s">
        <v>16</v>
      </c>
      <c r="C484" s="22" t="s">
        <v>1966</v>
      </c>
      <c r="D484" s="111" t="s">
        <v>95</v>
      </c>
      <c r="E484" s="18" t="s">
        <v>1967</v>
      </c>
      <c r="F484" s="4" t="str">
        <f t="shared" si="26"/>
        <v>EUB09D700851</v>
      </c>
      <c r="G484" s="4">
        <v>3986</v>
      </c>
      <c r="H484" s="4"/>
      <c r="J484" s="19" t="str">
        <f t="shared" si="27"/>
        <v>Nem Heineken Költség</v>
      </c>
      <c r="K484" s="2" t="str">
        <f t="shared" si="29"/>
        <v/>
      </c>
    </row>
    <row r="485" spans="1:11" x14ac:dyDescent="0.25">
      <c r="A485" s="14">
        <v>45341</v>
      </c>
      <c r="B485" s="2" t="s">
        <v>11</v>
      </c>
      <c r="C485" s="22" t="s">
        <v>1964</v>
      </c>
      <c r="D485" s="111" t="s">
        <v>95</v>
      </c>
      <c r="E485" s="18" t="s">
        <v>1965</v>
      </c>
      <c r="F485" s="4" t="str">
        <f t="shared" si="26"/>
        <v>EUB09D700850</v>
      </c>
      <c r="G485" s="4">
        <v>5417</v>
      </c>
      <c r="H485" s="4"/>
      <c r="J485" s="19" t="str">
        <f t="shared" si="27"/>
        <v>Nem Heineken Költség</v>
      </c>
      <c r="K485" s="2" t="str">
        <f t="shared" si="29"/>
        <v/>
      </c>
    </row>
    <row r="486" spans="1:11" ht="30" x14ac:dyDescent="0.25">
      <c r="A486" s="14">
        <v>45341</v>
      </c>
      <c r="B486" s="2" t="s">
        <v>16</v>
      </c>
      <c r="C486" s="35" t="s">
        <v>1962</v>
      </c>
      <c r="D486" s="111" t="s">
        <v>95</v>
      </c>
      <c r="E486" s="18" t="s">
        <v>1963</v>
      </c>
      <c r="F486" s="4" t="str">
        <f t="shared" si="26"/>
        <v>EUB09D700851</v>
      </c>
      <c r="G486" s="4">
        <v>3886</v>
      </c>
      <c r="H486" s="4"/>
      <c r="J486" s="19" t="str">
        <f t="shared" si="27"/>
        <v>Nem Heineken Költség</v>
      </c>
      <c r="K486" s="2" t="str">
        <f t="shared" si="29"/>
        <v/>
      </c>
    </row>
    <row r="487" spans="1:11" x14ac:dyDescent="0.25">
      <c r="A487" s="14">
        <v>45341</v>
      </c>
      <c r="B487" s="2" t="s">
        <v>16</v>
      </c>
      <c r="C487" s="22" t="s">
        <v>1960</v>
      </c>
      <c r="D487" s="111" t="s">
        <v>95</v>
      </c>
      <c r="E487" s="18" t="s">
        <v>1961</v>
      </c>
      <c r="F487" s="4" t="str">
        <f t="shared" si="26"/>
        <v>EUB09D700851</v>
      </c>
      <c r="G487" s="4">
        <v>3986</v>
      </c>
      <c r="H487" s="4"/>
      <c r="J487" s="19" t="str">
        <f t="shared" si="27"/>
        <v>Nem Heineken Költség</v>
      </c>
      <c r="K487" s="2" t="str">
        <f t="shared" si="29"/>
        <v/>
      </c>
    </row>
    <row r="488" spans="1:11" x14ac:dyDescent="0.25">
      <c r="A488" s="14">
        <v>45338</v>
      </c>
      <c r="B488" s="2" t="s">
        <v>14</v>
      </c>
      <c r="C488" s="22" t="s">
        <v>1958</v>
      </c>
      <c r="D488" s="111" t="s">
        <v>95</v>
      </c>
      <c r="E488" s="18" t="s">
        <v>1959</v>
      </c>
      <c r="F488" s="4" t="str">
        <f t="shared" si="26"/>
        <v>EUB09D700269</v>
      </c>
      <c r="G488" s="4">
        <v>3408</v>
      </c>
      <c r="H488" s="4"/>
      <c r="J488" s="19" t="str">
        <f t="shared" si="27"/>
        <v>Nem Heineken Költség</v>
      </c>
      <c r="K488" s="2" t="str">
        <f t="shared" si="29"/>
        <v/>
      </c>
    </row>
    <row r="489" spans="1:11" x14ac:dyDescent="0.25">
      <c r="A489" s="14">
        <v>45338</v>
      </c>
      <c r="B489" s="2" t="s">
        <v>14</v>
      </c>
      <c r="C489" s="22" t="s">
        <v>1956</v>
      </c>
      <c r="D489" s="111" t="s">
        <v>95</v>
      </c>
      <c r="E489" s="18" t="s">
        <v>1957</v>
      </c>
      <c r="F489" s="4" t="str">
        <f t="shared" si="26"/>
        <v>EUB09D700269</v>
      </c>
      <c r="G489" s="4">
        <v>3408</v>
      </c>
      <c r="H489" s="4"/>
      <c r="J489" s="19" t="str">
        <f t="shared" si="27"/>
        <v>Nem Heineken Költség</v>
      </c>
      <c r="K489" s="2" t="str">
        <f t="shared" si="29"/>
        <v/>
      </c>
    </row>
    <row r="490" spans="1:11" x14ac:dyDescent="0.25">
      <c r="A490" s="14">
        <v>45338</v>
      </c>
      <c r="B490" s="2" t="s">
        <v>14</v>
      </c>
      <c r="C490" s="22" t="s">
        <v>1954</v>
      </c>
      <c r="D490" s="111" t="s">
        <v>95</v>
      </c>
      <c r="E490" s="18" t="s">
        <v>1955</v>
      </c>
      <c r="F490" s="4" t="str">
        <f t="shared" si="26"/>
        <v>EUB09D700269</v>
      </c>
      <c r="G490" s="4">
        <v>3408</v>
      </c>
      <c r="H490" s="4"/>
      <c r="J490" s="19" t="str">
        <f t="shared" si="27"/>
        <v>Nem Heineken Költség</v>
      </c>
      <c r="K490" s="2" t="str">
        <f t="shared" si="29"/>
        <v/>
      </c>
    </row>
    <row r="491" spans="1:11" x14ac:dyDescent="0.25">
      <c r="A491" s="14">
        <v>45337</v>
      </c>
      <c r="B491" s="2" t="s">
        <v>157</v>
      </c>
      <c r="C491" s="22" t="s">
        <v>1953</v>
      </c>
      <c r="D491" s="111" t="s">
        <v>95</v>
      </c>
      <c r="E491" s="18" t="s">
        <v>1927</v>
      </c>
      <c r="F491" s="4" t="str">
        <f t="shared" si="26"/>
        <v>F24537B00021</v>
      </c>
      <c r="G491" s="4">
        <v>10</v>
      </c>
      <c r="H491" s="4"/>
      <c r="J491" s="19" t="str">
        <f t="shared" si="27"/>
        <v>Nem Heineken Költség</v>
      </c>
      <c r="K491" s="2" t="str">
        <f t="shared" si="29"/>
        <v/>
      </c>
    </row>
    <row r="492" spans="1:11" x14ac:dyDescent="0.25">
      <c r="A492" s="355">
        <v>45337</v>
      </c>
      <c r="B492" s="2" t="s">
        <v>157</v>
      </c>
      <c r="C492" s="22" t="s">
        <v>1926</v>
      </c>
      <c r="D492" s="111" t="s">
        <v>95</v>
      </c>
      <c r="E492" s="18" t="s">
        <v>1927</v>
      </c>
      <c r="F492" s="4" t="str">
        <f t="shared" si="26"/>
        <v>F24537B00021</v>
      </c>
      <c r="G492" s="4">
        <v>10</v>
      </c>
      <c r="H492" s="4"/>
      <c r="J492" s="19" t="str">
        <f t="shared" si="27"/>
        <v>Nem Heineken Költség</v>
      </c>
      <c r="K492" s="2" t="str">
        <f t="shared" si="29"/>
        <v/>
      </c>
    </row>
    <row r="493" spans="1:11" x14ac:dyDescent="0.25">
      <c r="A493" s="14">
        <v>45336</v>
      </c>
      <c r="B493" s="2" t="s">
        <v>13</v>
      </c>
      <c r="C493" s="22" t="s">
        <v>1922</v>
      </c>
      <c r="D493" s="111" t="s">
        <v>95</v>
      </c>
      <c r="E493" s="18" t="s">
        <v>1925</v>
      </c>
      <c r="F493" s="4" t="str">
        <f t="shared" si="26"/>
        <v>EUB09D700268</v>
      </c>
      <c r="G493" s="4">
        <v>3597</v>
      </c>
      <c r="H493" s="4"/>
      <c r="J493" s="19" t="str">
        <f t="shared" si="27"/>
        <v>Nem Heineken Költség</v>
      </c>
      <c r="K493" s="2" t="str">
        <f t="shared" si="29"/>
        <v/>
      </c>
    </row>
    <row r="494" spans="1:11" x14ac:dyDescent="0.25">
      <c r="A494" s="14">
        <v>45336</v>
      </c>
      <c r="B494" s="2" t="s">
        <v>14</v>
      </c>
      <c r="C494" s="22" t="s">
        <v>1952</v>
      </c>
      <c r="D494" s="111" t="s">
        <v>95</v>
      </c>
      <c r="E494" s="18" t="s">
        <v>1923</v>
      </c>
      <c r="F494" s="4" t="str">
        <f t="shared" si="26"/>
        <v>EUB09D700269</v>
      </c>
      <c r="G494" s="4">
        <v>3408</v>
      </c>
      <c r="H494" s="4"/>
      <c r="J494" s="19" t="str">
        <f t="shared" si="27"/>
        <v>Nem Heineken Költség</v>
      </c>
      <c r="K494" s="2" t="str">
        <f t="shared" si="29"/>
        <v/>
      </c>
    </row>
    <row r="495" spans="1:11" ht="49.9" customHeight="1" x14ac:dyDescent="0.25">
      <c r="A495" s="14">
        <v>45336</v>
      </c>
      <c r="B495" s="2" t="s">
        <v>24</v>
      </c>
      <c r="C495" s="22" t="s">
        <v>1951</v>
      </c>
      <c r="D495" s="111" t="s">
        <v>95</v>
      </c>
      <c r="E495" s="18" t="s">
        <v>1921</v>
      </c>
      <c r="F495" s="4" t="str">
        <f t="shared" si="26"/>
        <v>EUB09D700704</v>
      </c>
      <c r="G495" s="4">
        <v>2712</v>
      </c>
      <c r="H495" s="4"/>
      <c r="J495" s="19" t="str">
        <f t="shared" si="27"/>
        <v>Nem Heineken Költség</v>
      </c>
      <c r="K495" s="2" t="str">
        <f t="shared" si="29"/>
        <v/>
      </c>
    </row>
    <row r="496" spans="1:11" x14ac:dyDescent="0.25">
      <c r="A496" s="355">
        <v>45336</v>
      </c>
      <c r="B496" s="2" t="s">
        <v>13</v>
      </c>
      <c r="C496" s="22" t="s">
        <v>1924</v>
      </c>
      <c r="D496" s="111" t="s">
        <v>95</v>
      </c>
      <c r="E496" s="18" t="s">
        <v>1925</v>
      </c>
      <c r="F496" s="4" t="str">
        <f t="shared" si="26"/>
        <v>EUB09D700268</v>
      </c>
      <c r="G496" s="4">
        <v>3597</v>
      </c>
      <c r="H496" s="4"/>
      <c r="J496" s="19" t="str">
        <f t="shared" si="27"/>
        <v>Nem Heineken Költség</v>
      </c>
      <c r="K496" s="2" t="str">
        <f t="shared" si="29"/>
        <v/>
      </c>
    </row>
    <row r="497" spans="1:11" x14ac:dyDescent="0.25">
      <c r="A497" s="355">
        <v>45336</v>
      </c>
      <c r="B497" s="2" t="s">
        <v>14</v>
      </c>
      <c r="C497" s="22" t="s">
        <v>1922</v>
      </c>
      <c r="D497" s="111" t="s">
        <v>95</v>
      </c>
      <c r="E497" s="18" t="s">
        <v>1923</v>
      </c>
      <c r="F497" s="4" t="str">
        <f t="shared" si="26"/>
        <v>EUB09D700269</v>
      </c>
      <c r="G497" s="4">
        <v>3408</v>
      </c>
      <c r="H497" s="4"/>
      <c r="J497" s="19" t="str">
        <f t="shared" si="27"/>
        <v>Nem Heineken Költség</v>
      </c>
      <c r="K497" s="2" t="str">
        <f t="shared" si="29"/>
        <v/>
      </c>
    </row>
    <row r="498" spans="1:11" ht="49.9" customHeight="1" x14ac:dyDescent="0.25">
      <c r="A498" s="355">
        <v>45336</v>
      </c>
      <c r="B498" s="2" t="s">
        <v>24</v>
      </c>
      <c r="C498" s="22" t="s">
        <v>1920</v>
      </c>
      <c r="D498" s="111" t="s">
        <v>95</v>
      </c>
      <c r="E498" s="18" t="s">
        <v>1921</v>
      </c>
      <c r="F498" s="4" t="str">
        <f t="shared" si="26"/>
        <v>EUB09D700704</v>
      </c>
      <c r="G498" s="4">
        <v>2712</v>
      </c>
      <c r="H498" s="4"/>
      <c r="J498" s="19" t="str">
        <f t="shared" si="27"/>
        <v>Nem Heineken Költség</v>
      </c>
      <c r="K498" s="2" t="str">
        <f t="shared" si="29"/>
        <v/>
      </c>
    </row>
    <row r="499" spans="1:11" ht="30" x14ac:dyDescent="0.25">
      <c r="A499" s="214">
        <v>45336</v>
      </c>
      <c r="B499" s="215" t="s">
        <v>80</v>
      </c>
      <c r="C499" s="532" t="s">
        <v>1916</v>
      </c>
      <c r="D499" s="548" t="s">
        <v>95</v>
      </c>
      <c r="E499" s="346" t="s">
        <v>1917</v>
      </c>
      <c r="F499" s="216" t="str">
        <f t="shared" si="26"/>
        <v>PTP200R239154</v>
      </c>
      <c r="G499" s="216">
        <v>28</v>
      </c>
      <c r="H499" s="4"/>
      <c r="I499" s="2" t="s">
        <v>1728</v>
      </c>
      <c r="J499" s="19" t="str">
        <f t="shared" si="27"/>
        <v>SM-2024/2123</v>
      </c>
      <c r="K499" s="2">
        <f t="shared" si="29"/>
        <v>363.89</v>
      </c>
    </row>
    <row r="500" spans="1:11" x14ac:dyDescent="0.25">
      <c r="A500" s="14">
        <v>45336</v>
      </c>
      <c r="B500" s="2" t="s">
        <v>13</v>
      </c>
      <c r="C500" s="22" t="s">
        <v>1914</v>
      </c>
      <c r="D500" s="551" t="s">
        <v>95</v>
      </c>
      <c r="E500" s="18" t="s">
        <v>1915</v>
      </c>
      <c r="F500" s="4" t="str">
        <f t="shared" si="26"/>
        <v>EUB09D700268</v>
      </c>
      <c r="G500" s="4">
        <v>3597</v>
      </c>
      <c r="H500" s="4"/>
      <c r="J500" s="19" t="str">
        <f t="shared" si="27"/>
        <v>Nem Heineken Költség</v>
      </c>
      <c r="K500" s="2" t="str">
        <f t="shared" si="29"/>
        <v/>
      </c>
    </row>
    <row r="501" spans="1:11" ht="45" x14ac:dyDescent="0.25">
      <c r="A501" s="14">
        <v>45336</v>
      </c>
      <c r="B501" s="2" t="s">
        <v>13</v>
      </c>
      <c r="C501" s="35" t="s">
        <v>1912</v>
      </c>
      <c r="D501" s="551" t="s">
        <v>95</v>
      </c>
      <c r="E501" s="18" t="s">
        <v>1913</v>
      </c>
      <c r="F501" s="4" t="str">
        <f t="shared" si="26"/>
        <v>EUB09D700268</v>
      </c>
      <c r="G501" s="4">
        <v>3597</v>
      </c>
      <c r="H501" s="4"/>
      <c r="J501" s="19" t="str">
        <f t="shared" si="27"/>
        <v>Nem Heineken Költség</v>
      </c>
      <c r="K501" s="2" t="str">
        <f t="shared" si="29"/>
        <v/>
      </c>
    </row>
    <row r="502" spans="1:11" x14ac:dyDescent="0.25">
      <c r="A502" s="14">
        <v>45335</v>
      </c>
      <c r="B502" s="2" t="s">
        <v>13</v>
      </c>
      <c r="C502" s="22" t="s">
        <v>1918</v>
      </c>
      <c r="D502" s="111" t="s">
        <v>95</v>
      </c>
      <c r="E502" s="18" t="s">
        <v>1919</v>
      </c>
      <c r="F502" s="4" t="str">
        <f t="shared" si="26"/>
        <v>EUB09D700268</v>
      </c>
      <c r="G502" s="4">
        <v>3597</v>
      </c>
      <c r="H502" s="4"/>
      <c r="J502" s="19" t="str">
        <f t="shared" si="27"/>
        <v>Nem Heineken Költség</v>
      </c>
      <c r="K502" s="2" t="str">
        <f t="shared" si="29"/>
        <v/>
      </c>
    </row>
    <row r="503" spans="1:11" ht="30" x14ac:dyDescent="0.25">
      <c r="A503" s="214">
        <v>45335</v>
      </c>
      <c r="B503" s="215" t="s">
        <v>80</v>
      </c>
      <c r="C503" s="532" t="s">
        <v>1916</v>
      </c>
      <c r="D503" s="548" t="s">
        <v>95</v>
      </c>
      <c r="E503" s="346" t="s">
        <v>1917</v>
      </c>
      <c r="F503" s="216" t="str">
        <f t="shared" si="26"/>
        <v>PTP200R239154</v>
      </c>
      <c r="G503" s="216">
        <v>28</v>
      </c>
      <c r="H503" s="216"/>
      <c r="I503" s="215" t="s">
        <v>1728</v>
      </c>
      <c r="J503" s="19" t="str">
        <f t="shared" si="27"/>
        <v>SM-2024/2123</v>
      </c>
      <c r="K503" s="2">
        <f t="shared" si="29"/>
        <v>363.89</v>
      </c>
    </row>
    <row r="504" spans="1:11" x14ac:dyDescent="0.25">
      <c r="A504" s="14">
        <v>45335</v>
      </c>
      <c r="B504" s="2" t="s">
        <v>13</v>
      </c>
      <c r="C504" s="22" t="s">
        <v>1914</v>
      </c>
      <c r="D504" s="111" t="s">
        <v>95</v>
      </c>
      <c r="E504" s="18" t="s">
        <v>1915</v>
      </c>
      <c r="F504" s="4" t="str">
        <f t="shared" si="26"/>
        <v>EUB09D700268</v>
      </c>
      <c r="G504" s="4">
        <v>3597</v>
      </c>
      <c r="H504" s="4"/>
      <c r="J504" s="19" t="str">
        <f t="shared" si="27"/>
        <v>Nem Heineken Költség</v>
      </c>
      <c r="K504" s="2" t="str">
        <f t="shared" si="29"/>
        <v/>
      </c>
    </row>
    <row r="505" spans="1:11" x14ac:dyDescent="0.25">
      <c r="A505" s="14">
        <v>45335</v>
      </c>
      <c r="B505" s="2" t="s">
        <v>13</v>
      </c>
      <c r="C505" s="22" t="s">
        <v>1950</v>
      </c>
      <c r="D505" s="111" t="s">
        <v>95</v>
      </c>
      <c r="E505" s="18" t="s">
        <v>1913</v>
      </c>
      <c r="F505" s="4" t="str">
        <f t="shared" si="26"/>
        <v>EUB09D700268</v>
      </c>
      <c r="G505" s="4">
        <v>3597</v>
      </c>
      <c r="H505" s="4"/>
      <c r="J505" s="19" t="str">
        <f t="shared" si="27"/>
        <v>Nem Heineken Költség</v>
      </c>
      <c r="K505" s="2" t="str">
        <f t="shared" si="29"/>
        <v/>
      </c>
    </row>
    <row r="506" spans="1:11" x14ac:dyDescent="0.25">
      <c r="A506" s="14">
        <v>45335</v>
      </c>
      <c r="B506" s="2" t="s">
        <v>13</v>
      </c>
      <c r="C506" s="22" t="s">
        <v>1918</v>
      </c>
      <c r="D506" s="551" t="s">
        <v>95</v>
      </c>
      <c r="E506" s="18" t="s">
        <v>1919</v>
      </c>
      <c r="F506" s="4" t="str">
        <f t="shared" si="26"/>
        <v>EUB09D700268</v>
      </c>
      <c r="G506" s="4">
        <v>3597</v>
      </c>
      <c r="H506" s="4"/>
      <c r="J506" s="19" t="str">
        <f t="shared" si="27"/>
        <v>Nem Heineken Költség</v>
      </c>
      <c r="K506" s="2" t="str">
        <f t="shared" si="29"/>
        <v/>
      </c>
    </row>
    <row r="507" spans="1:11" ht="30" x14ac:dyDescent="0.25">
      <c r="A507" s="14">
        <v>45334</v>
      </c>
      <c r="B507" s="2" t="s">
        <v>158</v>
      </c>
      <c r="C507" s="35" t="s">
        <v>1949</v>
      </c>
      <c r="D507" s="111" t="s">
        <v>95</v>
      </c>
      <c r="E507" s="18" t="s">
        <v>1910</v>
      </c>
      <c r="F507" s="4" t="str">
        <f t="shared" si="26"/>
        <v>F24537B00022</v>
      </c>
      <c r="G507" s="4">
        <v>3862</v>
      </c>
      <c r="H507" s="4"/>
      <c r="J507" s="19" t="str">
        <f t="shared" si="27"/>
        <v>Nem Heineken Költség</v>
      </c>
      <c r="K507" s="2">
        <f t="shared" si="29"/>
        <v>663.55</v>
      </c>
    </row>
    <row r="508" spans="1:11" x14ac:dyDescent="0.25">
      <c r="A508" s="214">
        <v>45334</v>
      </c>
      <c r="B508" s="215" t="s">
        <v>78</v>
      </c>
      <c r="C508" s="533" t="s">
        <v>1948</v>
      </c>
      <c r="D508" s="548" t="s">
        <v>95</v>
      </c>
      <c r="E508" s="346" t="s">
        <v>1909</v>
      </c>
      <c r="F508" s="216" t="str">
        <f t="shared" si="26"/>
        <v>PTP200R239152</v>
      </c>
      <c r="G508" s="216">
        <v>1655</v>
      </c>
      <c r="H508" s="216"/>
      <c r="I508" s="215" t="s">
        <v>1728</v>
      </c>
      <c r="J508" s="19" t="str">
        <f t="shared" si="27"/>
        <v>SM-2024/2065</v>
      </c>
      <c r="K508" s="2">
        <f t="shared" si="29"/>
        <v>123.58</v>
      </c>
    </row>
    <row r="509" spans="1:11" x14ac:dyDescent="0.25">
      <c r="A509" s="14">
        <v>45334</v>
      </c>
      <c r="B509" s="2" t="s">
        <v>18</v>
      </c>
      <c r="C509" s="22" t="s">
        <v>1947</v>
      </c>
      <c r="D509" s="111" t="s">
        <v>95</v>
      </c>
      <c r="E509" s="18" t="s">
        <v>1907</v>
      </c>
      <c r="F509" s="4" t="str">
        <f t="shared" si="26"/>
        <v>EUB09D700992</v>
      </c>
      <c r="G509" s="4">
        <v>5581</v>
      </c>
      <c r="H509" s="4"/>
      <c r="J509" s="19" t="str">
        <f t="shared" si="27"/>
        <v>Nem Heineken Költség</v>
      </c>
      <c r="K509" s="2" t="str">
        <f t="shared" si="29"/>
        <v/>
      </c>
    </row>
    <row r="510" spans="1:11" ht="30" x14ac:dyDescent="0.25">
      <c r="A510" s="214">
        <v>45334</v>
      </c>
      <c r="B510" s="215" t="s">
        <v>158</v>
      </c>
      <c r="C510" s="532" t="s">
        <v>1911</v>
      </c>
      <c r="D510" s="548" t="s">
        <v>95</v>
      </c>
      <c r="E510" s="346" t="s">
        <v>1910</v>
      </c>
      <c r="F510" s="216" t="str">
        <f t="shared" si="26"/>
        <v>F24537B00022</v>
      </c>
      <c r="G510" s="216">
        <v>3862</v>
      </c>
      <c r="H510" s="4"/>
      <c r="I510" s="2" t="s">
        <v>1728</v>
      </c>
      <c r="J510" s="19" t="str">
        <f t="shared" si="27"/>
        <v>SM-2024/2063</v>
      </c>
      <c r="K510" s="2">
        <f t="shared" si="29"/>
        <v>663.55</v>
      </c>
    </row>
    <row r="511" spans="1:11" x14ac:dyDescent="0.25">
      <c r="A511" s="214">
        <v>45334</v>
      </c>
      <c r="B511" s="215" t="s">
        <v>78</v>
      </c>
      <c r="C511" s="533" t="s">
        <v>1908</v>
      </c>
      <c r="D511" s="548" t="s">
        <v>95</v>
      </c>
      <c r="E511" s="346" t="s">
        <v>1909</v>
      </c>
      <c r="F511" s="216" t="str">
        <f t="shared" si="26"/>
        <v>PTP200R239152</v>
      </c>
      <c r="G511" s="216">
        <v>1655</v>
      </c>
      <c r="H511" s="4"/>
      <c r="I511" s="2" t="s">
        <v>1728</v>
      </c>
      <c r="J511" s="19" t="str">
        <f t="shared" si="27"/>
        <v>SM-2024/2065</v>
      </c>
      <c r="K511" s="2">
        <f t="shared" si="29"/>
        <v>123.58</v>
      </c>
    </row>
    <row r="512" spans="1:11" x14ac:dyDescent="0.25">
      <c r="A512" s="14">
        <v>45334</v>
      </c>
      <c r="B512" s="2" t="s">
        <v>18</v>
      </c>
      <c r="C512" s="22" t="s">
        <v>1906</v>
      </c>
      <c r="D512" s="551" t="s">
        <v>95</v>
      </c>
      <c r="E512" s="18" t="s">
        <v>1907</v>
      </c>
      <c r="F512" s="4" t="str">
        <f t="shared" si="26"/>
        <v>EUB09D700992</v>
      </c>
      <c r="G512" s="4">
        <v>5581</v>
      </c>
      <c r="H512" s="4"/>
      <c r="J512" s="19" t="str">
        <f t="shared" si="27"/>
        <v>Nem Heineken Költség</v>
      </c>
      <c r="K512" s="2" t="str">
        <f t="shared" si="29"/>
        <v/>
      </c>
    </row>
    <row r="513" spans="1:11" x14ac:dyDescent="0.25">
      <c r="A513" s="14">
        <v>45331</v>
      </c>
      <c r="B513" s="2" t="s">
        <v>16</v>
      </c>
      <c r="C513" s="22" t="s">
        <v>1945</v>
      </c>
      <c r="D513" s="111" t="s">
        <v>95</v>
      </c>
      <c r="E513" s="18" t="s">
        <v>1946</v>
      </c>
      <c r="F513" s="4" t="str">
        <f t="shared" si="26"/>
        <v>EUB09D700851</v>
      </c>
      <c r="G513" s="4">
        <v>3957</v>
      </c>
      <c r="H513" s="4"/>
      <c r="J513" s="19" t="str">
        <f t="shared" si="27"/>
        <v>Nem Heineken Költség</v>
      </c>
      <c r="K513" s="2" t="str">
        <f t="shared" si="29"/>
        <v/>
      </c>
    </row>
    <row r="514" spans="1:11" x14ac:dyDescent="0.25">
      <c r="A514" s="14">
        <v>45331</v>
      </c>
      <c r="B514" s="2" t="s">
        <v>81</v>
      </c>
      <c r="C514" s="22" t="s">
        <v>1944</v>
      </c>
      <c r="D514" s="111" t="s">
        <v>95</v>
      </c>
      <c r="E514" s="18" t="s">
        <v>1943</v>
      </c>
      <c r="F514" s="4" t="str">
        <f t="shared" si="26"/>
        <v>PTP200R239155</v>
      </c>
      <c r="G514" s="4">
        <v>371</v>
      </c>
      <c r="H514" s="4"/>
      <c r="J514" s="19" t="str">
        <f t="shared" si="27"/>
        <v>Nem Heineken Költség</v>
      </c>
      <c r="K514" s="2" t="str">
        <f t="shared" si="29"/>
        <v/>
      </c>
    </row>
    <row r="515" spans="1:11" x14ac:dyDescent="0.25">
      <c r="A515" s="14">
        <v>45331</v>
      </c>
      <c r="B515" s="2" t="s">
        <v>6</v>
      </c>
      <c r="C515" s="22" t="s">
        <v>1898</v>
      </c>
      <c r="D515" s="111" t="s">
        <v>95</v>
      </c>
      <c r="E515" s="18" t="s">
        <v>1942</v>
      </c>
      <c r="F515" s="4" t="str">
        <f t="shared" ref="F515:F578" si="30">IFERROR(VLOOKUP(B515,targlist02,3,0),"Nincs Adat")</f>
        <v>EUB09D700742</v>
      </c>
      <c r="G515" s="4">
        <v>4761</v>
      </c>
      <c r="H515" s="4"/>
      <c r="J515" s="19" t="str">
        <f t="shared" ref="J515:J578" si="31">IF(I515="H",IFERROR(VLOOKUP(E515,podone,1,0),"Nincs Po"),"Nem Heineken Költség")</f>
        <v>Nem Heineken Költség</v>
      </c>
      <c r="K515" s="2" t="str">
        <f t="shared" si="29"/>
        <v/>
      </c>
    </row>
    <row r="516" spans="1:11" x14ac:dyDescent="0.25">
      <c r="A516" s="14">
        <v>45331</v>
      </c>
      <c r="B516" s="2" t="s">
        <v>16</v>
      </c>
      <c r="C516" s="22" t="s">
        <v>1940</v>
      </c>
      <c r="D516" s="111" t="s">
        <v>95</v>
      </c>
      <c r="E516" s="18" t="s">
        <v>1941</v>
      </c>
      <c r="F516" s="4" t="str">
        <f t="shared" si="30"/>
        <v>EUB09D700851</v>
      </c>
      <c r="G516" s="4">
        <v>3957</v>
      </c>
      <c r="H516" s="4"/>
      <c r="J516" s="19" t="str">
        <f t="shared" si="31"/>
        <v>Nem Heineken Költség</v>
      </c>
      <c r="K516" s="2" t="str">
        <f t="shared" si="29"/>
        <v/>
      </c>
    </row>
    <row r="517" spans="1:11" x14ac:dyDescent="0.25">
      <c r="A517" s="14">
        <v>45331</v>
      </c>
      <c r="B517" s="2" t="s">
        <v>6</v>
      </c>
      <c r="C517" s="22" t="s">
        <v>1938</v>
      </c>
      <c r="D517" s="111" t="s">
        <v>95</v>
      </c>
      <c r="E517" s="18" t="s">
        <v>1939</v>
      </c>
      <c r="F517" s="4" t="str">
        <f t="shared" si="30"/>
        <v>EUB09D700742</v>
      </c>
      <c r="G517" s="4">
        <v>4761</v>
      </c>
      <c r="H517" s="4"/>
      <c r="J517" s="19" t="str">
        <f t="shared" si="31"/>
        <v>Nem Heineken Költség</v>
      </c>
      <c r="K517" s="2" t="str">
        <f t="shared" si="29"/>
        <v/>
      </c>
    </row>
    <row r="518" spans="1:11" x14ac:dyDescent="0.25">
      <c r="A518" s="14">
        <v>45331</v>
      </c>
      <c r="B518" s="2" t="s">
        <v>6</v>
      </c>
      <c r="C518" s="22" t="s">
        <v>1936</v>
      </c>
      <c r="D518" s="111" t="s">
        <v>95</v>
      </c>
      <c r="E518" s="18" t="s">
        <v>1937</v>
      </c>
      <c r="F518" s="4" t="str">
        <f t="shared" si="30"/>
        <v>EUB09D700742</v>
      </c>
      <c r="G518" s="4">
        <v>4761</v>
      </c>
      <c r="H518" s="4"/>
      <c r="J518" s="19" t="str">
        <f t="shared" si="31"/>
        <v>Nem Heineken Költség</v>
      </c>
      <c r="K518" s="2" t="str">
        <f t="shared" si="29"/>
        <v/>
      </c>
    </row>
    <row r="519" spans="1:11" ht="45" x14ac:dyDescent="0.25">
      <c r="A519" s="214">
        <v>45330</v>
      </c>
      <c r="B519" s="215" t="s">
        <v>78</v>
      </c>
      <c r="C519" s="532" t="s">
        <v>1904</v>
      </c>
      <c r="D519" s="548" t="s">
        <v>95</v>
      </c>
      <c r="E519" s="346" t="s">
        <v>1905</v>
      </c>
      <c r="F519" s="216" t="str">
        <f t="shared" si="30"/>
        <v>PTP200R239152</v>
      </c>
      <c r="G519" s="216">
        <v>1654</v>
      </c>
      <c r="H519" s="4"/>
      <c r="I519" s="2" t="s">
        <v>1728</v>
      </c>
      <c r="J519" s="19" t="str">
        <f t="shared" si="31"/>
        <v>SM-2024/1922</v>
      </c>
      <c r="K519" s="2">
        <f t="shared" si="29"/>
        <v>209.69</v>
      </c>
    </row>
    <row r="520" spans="1:11" x14ac:dyDescent="0.25">
      <c r="A520" s="14">
        <v>45330</v>
      </c>
      <c r="B520" s="2" t="s">
        <v>6</v>
      </c>
      <c r="C520" s="22" t="s">
        <v>1898</v>
      </c>
      <c r="D520" s="551" t="s">
        <v>95</v>
      </c>
      <c r="E520" s="18" t="s">
        <v>1903</v>
      </c>
      <c r="F520" s="4" t="str">
        <f t="shared" si="30"/>
        <v>EUB09D700742</v>
      </c>
      <c r="G520" s="4">
        <v>4761</v>
      </c>
      <c r="H520" s="4"/>
      <c r="J520" s="19" t="str">
        <f t="shared" si="31"/>
        <v>Nem Heineken Költség</v>
      </c>
      <c r="K520" s="2" t="str">
        <f t="shared" si="29"/>
        <v/>
      </c>
    </row>
    <row r="521" spans="1:11" ht="49.9" customHeight="1" x14ac:dyDescent="0.25">
      <c r="A521" s="14">
        <v>45330</v>
      </c>
      <c r="B521" s="2" t="s">
        <v>6</v>
      </c>
      <c r="C521" s="22" t="s">
        <v>1894</v>
      </c>
      <c r="D521" s="551" t="s">
        <v>95</v>
      </c>
      <c r="E521" s="18" t="s">
        <v>1902</v>
      </c>
      <c r="F521" s="4" t="str">
        <f t="shared" si="30"/>
        <v>EUB09D700742</v>
      </c>
      <c r="G521" s="4">
        <v>4761</v>
      </c>
      <c r="H521" s="4"/>
      <c r="J521" s="19" t="str">
        <f t="shared" si="31"/>
        <v>Nem Heineken Költség</v>
      </c>
      <c r="K521" s="2" t="str">
        <f t="shared" si="29"/>
        <v/>
      </c>
    </row>
    <row r="522" spans="1:11" x14ac:dyDescent="0.25">
      <c r="A522" s="14">
        <v>45330</v>
      </c>
      <c r="B522" s="2" t="s">
        <v>6</v>
      </c>
      <c r="C522" s="22" t="s">
        <v>1900</v>
      </c>
      <c r="D522" s="551" t="s">
        <v>95</v>
      </c>
      <c r="E522" s="18" t="s">
        <v>1901</v>
      </c>
      <c r="F522" s="4" t="str">
        <f t="shared" si="30"/>
        <v>EUB09D700742</v>
      </c>
      <c r="G522" s="4">
        <v>4761</v>
      </c>
      <c r="H522" s="4"/>
      <c r="J522" s="19" t="str">
        <f t="shared" si="31"/>
        <v>Nem Heineken Költség</v>
      </c>
      <c r="K522" s="2" t="str">
        <f t="shared" si="29"/>
        <v/>
      </c>
    </row>
    <row r="523" spans="1:11" x14ac:dyDescent="0.25">
      <c r="A523" s="14">
        <v>45329</v>
      </c>
      <c r="B523" s="2" t="s">
        <v>6</v>
      </c>
      <c r="C523" s="22" t="s">
        <v>1898</v>
      </c>
      <c r="D523" s="551" t="s">
        <v>95</v>
      </c>
      <c r="E523" s="18" t="s">
        <v>1899</v>
      </c>
      <c r="F523" s="4" t="str">
        <f t="shared" si="30"/>
        <v>EUB09D700742</v>
      </c>
      <c r="G523" s="4">
        <v>4761</v>
      </c>
      <c r="H523" s="4"/>
      <c r="J523" s="19" t="str">
        <f t="shared" si="31"/>
        <v>Nem Heineken Költség</v>
      </c>
      <c r="K523" s="2" t="str">
        <f t="shared" si="29"/>
        <v/>
      </c>
    </row>
    <row r="524" spans="1:11" ht="49.9" customHeight="1" x14ac:dyDescent="0.25">
      <c r="A524" s="14">
        <v>45329</v>
      </c>
      <c r="B524" s="2" t="s">
        <v>9</v>
      </c>
      <c r="C524" s="22" t="s">
        <v>1896</v>
      </c>
      <c r="D524" s="551" t="s">
        <v>95</v>
      </c>
      <c r="E524" s="18" t="s">
        <v>1897</v>
      </c>
      <c r="F524" s="4" t="str">
        <f t="shared" si="30"/>
        <v>EUB09D700745</v>
      </c>
      <c r="G524" s="4">
        <v>4389</v>
      </c>
      <c r="H524" s="4"/>
      <c r="J524" s="19" t="str">
        <f t="shared" si="31"/>
        <v>Nem Heineken Költség</v>
      </c>
      <c r="K524" s="2" t="str">
        <f t="shared" si="29"/>
        <v/>
      </c>
    </row>
    <row r="525" spans="1:11" x14ac:dyDescent="0.25">
      <c r="A525" s="14">
        <v>45329</v>
      </c>
      <c r="B525" s="2" t="s">
        <v>6</v>
      </c>
      <c r="C525" s="22" t="s">
        <v>1894</v>
      </c>
      <c r="D525" s="551" t="s">
        <v>95</v>
      </c>
      <c r="E525" s="18" t="s">
        <v>1895</v>
      </c>
      <c r="F525" s="4" t="str">
        <f t="shared" si="30"/>
        <v>EUB09D700742</v>
      </c>
      <c r="G525" s="4">
        <v>4761</v>
      </c>
      <c r="H525" s="4"/>
      <c r="J525" s="19" t="str">
        <f t="shared" si="31"/>
        <v>Nem Heineken Költség</v>
      </c>
      <c r="K525" s="2" t="str">
        <f t="shared" si="29"/>
        <v/>
      </c>
    </row>
    <row r="526" spans="1:11" x14ac:dyDescent="0.25">
      <c r="A526" s="14">
        <v>45329</v>
      </c>
      <c r="B526" s="2" t="s">
        <v>9</v>
      </c>
      <c r="C526" s="22" t="s">
        <v>1892</v>
      </c>
      <c r="D526" s="551" t="s">
        <v>95</v>
      </c>
      <c r="E526" s="18" t="s">
        <v>1893</v>
      </c>
      <c r="F526" s="4" t="str">
        <f t="shared" si="30"/>
        <v>EUB09D700745</v>
      </c>
      <c r="G526" s="43">
        <v>4389</v>
      </c>
      <c r="H526" s="4"/>
      <c r="J526" s="19" t="str">
        <f t="shared" si="31"/>
        <v>Nem Heineken Költség</v>
      </c>
      <c r="K526" s="2" t="str">
        <f t="shared" si="29"/>
        <v/>
      </c>
    </row>
    <row r="527" spans="1:11" x14ac:dyDescent="0.25">
      <c r="A527" s="14">
        <v>45329</v>
      </c>
      <c r="B527" s="2" t="s">
        <v>9</v>
      </c>
      <c r="C527" s="22" t="s">
        <v>1891</v>
      </c>
      <c r="D527" s="551" t="s">
        <v>95</v>
      </c>
      <c r="E527" s="18" t="s">
        <v>1890</v>
      </c>
      <c r="F527" s="4" t="str">
        <f t="shared" si="30"/>
        <v>EUB09D700745</v>
      </c>
      <c r="G527" s="43">
        <v>4389</v>
      </c>
      <c r="H527" s="4"/>
      <c r="J527" s="19" t="str">
        <f t="shared" si="31"/>
        <v>Nem Heineken Költség</v>
      </c>
      <c r="K527" s="2" t="str">
        <f t="shared" si="29"/>
        <v/>
      </c>
    </row>
    <row r="528" spans="1:11" x14ac:dyDescent="0.25">
      <c r="A528" s="14">
        <v>45329</v>
      </c>
      <c r="B528" s="2" t="s">
        <v>6</v>
      </c>
      <c r="C528" s="22" t="s">
        <v>1888</v>
      </c>
      <c r="D528" s="551" t="s">
        <v>95</v>
      </c>
      <c r="E528" s="18" t="s">
        <v>1889</v>
      </c>
      <c r="F528" s="4" t="str">
        <f t="shared" si="30"/>
        <v>EUB09D700742</v>
      </c>
      <c r="G528" s="43"/>
      <c r="H528" s="4"/>
      <c r="J528" s="19" t="str">
        <f t="shared" si="31"/>
        <v>Nem Heineken Költség</v>
      </c>
      <c r="K528" s="2" t="str">
        <f t="shared" si="29"/>
        <v/>
      </c>
    </row>
    <row r="529" spans="1:11" x14ac:dyDescent="0.25">
      <c r="A529" s="388">
        <v>45328</v>
      </c>
      <c r="B529" s="389" t="s">
        <v>12</v>
      </c>
      <c r="C529" s="539" t="s">
        <v>1887</v>
      </c>
      <c r="D529" s="551" t="s">
        <v>95</v>
      </c>
      <c r="E529" s="391" t="s">
        <v>1886</v>
      </c>
      <c r="F529" s="390" t="str">
        <f t="shared" si="30"/>
        <v>EUB09D700267</v>
      </c>
      <c r="G529" s="43">
        <v>3363</v>
      </c>
      <c r="H529" s="4"/>
      <c r="J529" s="19" t="str">
        <f t="shared" si="31"/>
        <v>Nem Heineken Költség</v>
      </c>
      <c r="K529" s="2" t="str">
        <f t="shared" si="29"/>
        <v/>
      </c>
    </row>
    <row r="530" spans="1:11" ht="30" x14ac:dyDescent="0.25">
      <c r="A530" s="388">
        <v>45328</v>
      </c>
      <c r="B530" s="389" t="s">
        <v>12</v>
      </c>
      <c r="C530" s="540" t="s">
        <v>1885</v>
      </c>
      <c r="D530" s="551" t="s">
        <v>95</v>
      </c>
      <c r="E530" s="391" t="s">
        <v>1884</v>
      </c>
      <c r="F530" s="390" t="str">
        <f t="shared" si="30"/>
        <v>EUB09D700267</v>
      </c>
      <c r="G530" s="43">
        <v>3363</v>
      </c>
      <c r="H530" s="4"/>
      <c r="J530" s="19" t="str">
        <f t="shared" si="31"/>
        <v>Nem Heineken Költség</v>
      </c>
      <c r="K530" s="2" t="str">
        <f t="shared" si="29"/>
        <v/>
      </c>
    </row>
    <row r="531" spans="1:11" x14ac:dyDescent="0.25">
      <c r="A531" s="388">
        <v>45328</v>
      </c>
      <c r="B531" s="389" t="s">
        <v>12</v>
      </c>
      <c r="C531" s="539" t="s">
        <v>1883</v>
      </c>
      <c r="D531" s="551" t="s">
        <v>95</v>
      </c>
      <c r="E531" s="391" t="s">
        <v>1884</v>
      </c>
      <c r="F531" s="390" t="str">
        <f t="shared" si="30"/>
        <v>EUB09D700267</v>
      </c>
      <c r="G531" s="43">
        <v>3363</v>
      </c>
      <c r="H531" s="4"/>
      <c r="J531" s="19" t="str">
        <f t="shared" si="31"/>
        <v>Nem Heineken Költség</v>
      </c>
      <c r="K531" s="2" t="str">
        <f t="shared" si="29"/>
        <v/>
      </c>
    </row>
    <row r="532" spans="1:11" ht="30" x14ac:dyDescent="0.25">
      <c r="A532" s="355">
        <v>45327</v>
      </c>
      <c r="B532" s="2" t="s">
        <v>157</v>
      </c>
      <c r="C532" s="35" t="s">
        <v>1928</v>
      </c>
      <c r="D532" s="111" t="s">
        <v>95</v>
      </c>
      <c r="E532" s="18" t="s">
        <v>1929</v>
      </c>
      <c r="F532" s="4" t="str">
        <f t="shared" si="30"/>
        <v>F24537B00021</v>
      </c>
      <c r="G532" s="4">
        <v>5</v>
      </c>
      <c r="H532" s="4"/>
      <c r="J532" s="19" t="str">
        <f t="shared" si="31"/>
        <v>Nem Heineken Költség</v>
      </c>
      <c r="K532" s="2" t="str">
        <f t="shared" si="29"/>
        <v/>
      </c>
    </row>
    <row r="533" spans="1:11" x14ac:dyDescent="0.25">
      <c r="A533" s="388">
        <v>45327</v>
      </c>
      <c r="B533" s="389" t="s">
        <v>12</v>
      </c>
      <c r="C533" s="539" t="s">
        <v>1067</v>
      </c>
      <c r="D533" s="551" t="s">
        <v>95</v>
      </c>
      <c r="E533" s="391" t="s">
        <v>1882</v>
      </c>
      <c r="F533" s="390" t="str">
        <f t="shared" si="30"/>
        <v>EUB09D700267</v>
      </c>
      <c r="G533" s="43">
        <v>3363</v>
      </c>
      <c r="H533" s="4"/>
      <c r="J533" s="19" t="str">
        <f t="shared" si="31"/>
        <v>Nem Heineken Költség</v>
      </c>
      <c r="K533" s="2" t="str">
        <f t="shared" si="29"/>
        <v/>
      </c>
    </row>
    <row r="534" spans="1:11" x14ac:dyDescent="0.25">
      <c r="A534" s="388">
        <v>45327</v>
      </c>
      <c r="B534" s="389" t="s">
        <v>12</v>
      </c>
      <c r="C534" s="539" t="s">
        <v>1881</v>
      </c>
      <c r="D534" s="551" t="s">
        <v>95</v>
      </c>
      <c r="E534" s="391" t="s">
        <v>1880</v>
      </c>
      <c r="F534" s="390" t="str">
        <f t="shared" si="30"/>
        <v>EUB09D700267</v>
      </c>
      <c r="G534" s="43">
        <v>3363</v>
      </c>
      <c r="H534" s="4"/>
      <c r="J534" s="19" t="str">
        <f t="shared" si="31"/>
        <v>Nem Heineken Költség</v>
      </c>
      <c r="K534" s="2" t="str">
        <f t="shared" si="29"/>
        <v/>
      </c>
    </row>
    <row r="535" spans="1:11" x14ac:dyDescent="0.25">
      <c r="A535" s="355">
        <v>45324</v>
      </c>
      <c r="B535" s="2" t="s">
        <v>53</v>
      </c>
      <c r="C535" s="22" t="s">
        <v>130</v>
      </c>
      <c r="D535" s="548" t="s">
        <v>95</v>
      </c>
      <c r="E535" s="18" t="s">
        <v>1878</v>
      </c>
      <c r="F535" s="4" t="str">
        <f t="shared" si="30"/>
        <v>Nincs Adat</v>
      </c>
      <c r="G535" s="4"/>
      <c r="H535" s="4"/>
      <c r="J535" s="19" t="str">
        <f t="shared" si="31"/>
        <v>Nem Heineken Költség</v>
      </c>
      <c r="K535" s="2" t="str">
        <f t="shared" si="29"/>
        <v/>
      </c>
    </row>
    <row r="536" spans="1:11" x14ac:dyDescent="0.25">
      <c r="A536" s="355">
        <v>45324</v>
      </c>
      <c r="B536" s="2" t="s">
        <v>28</v>
      </c>
      <c r="C536" s="22" t="s">
        <v>130</v>
      </c>
      <c r="D536" s="548" t="s">
        <v>95</v>
      </c>
      <c r="E536" s="18" t="s">
        <v>1878</v>
      </c>
      <c r="F536" s="4" t="str">
        <f t="shared" si="30"/>
        <v>Nincs Adat</v>
      </c>
      <c r="G536" s="4"/>
      <c r="H536" s="4"/>
      <c r="J536" s="19" t="str">
        <f t="shared" si="31"/>
        <v>Nem Heineken Költség</v>
      </c>
      <c r="K536" s="2" t="str">
        <f t="shared" si="29"/>
        <v/>
      </c>
    </row>
    <row r="537" spans="1:11" x14ac:dyDescent="0.25">
      <c r="A537" s="355">
        <v>45324</v>
      </c>
      <c r="B537" s="2" t="s">
        <v>30</v>
      </c>
      <c r="C537" s="22" t="s">
        <v>130</v>
      </c>
      <c r="D537" s="548" t="s">
        <v>95</v>
      </c>
      <c r="E537" s="18" t="s">
        <v>1878</v>
      </c>
      <c r="F537" s="4" t="str">
        <f t="shared" si="30"/>
        <v>Nincs Adat</v>
      </c>
      <c r="G537" s="4"/>
      <c r="H537" s="4"/>
      <c r="J537" s="19" t="str">
        <f t="shared" si="31"/>
        <v>Nem Heineken Költség</v>
      </c>
      <c r="K537" s="2" t="str">
        <f t="shared" si="29"/>
        <v/>
      </c>
    </row>
    <row r="538" spans="1:11" x14ac:dyDescent="0.25">
      <c r="A538" s="355">
        <v>45324</v>
      </c>
      <c r="B538" s="2" t="s">
        <v>29</v>
      </c>
      <c r="C538" s="22" t="s">
        <v>130</v>
      </c>
      <c r="D538" s="548" t="s">
        <v>95</v>
      </c>
      <c r="E538" s="18" t="s">
        <v>1878</v>
      </c>
      <c r="F538" s="4" t="str">
        <f t="shared" si="30"/>
        <v>Nincs Adat</v>
      </c>
      <c r="G538" s="4"/>
      <c r="H538" s="4"/>
      <c r="J538" s="19" t="str">
        <f t="shared" si="31"/>
        <v>Nem Heineken Költség</v>
      </c>
      <c r="K538" s="2" t="str">
        <f t="shared" si="29"/>
        <v/>
      </c>
    </row>
    <row r="539" spans="1:11" x14ac:dyDescent="0.25">
      <c r="A539" s="355">
        <v>45324</v>
      </c>
      <c r="B539" s="2" t="s">
        <v>48</v>
      </c>
      <c r="C539" s="22" t="s">
        <v>130</v>
      </c>
      <c r="D539" s="548" t="s">
        <v>95</v>
      </c>
      <c r="E539" s="18" t="s">
        <v>1878</v>
      </c>
      <c r="F539" s="4" t="str">
        <f t="shared" si="30"/>
        <v>Nincs Adat</v>
      </c>
      <c r="G539" s="4"/>
      <c r="H539" s="4"/>
      <c r="J539" s="18" t="str">
        <f t="shared" si="31"/>
        <v>Nem Heineken Költség</v>
      </c>
      <c r="K539" s="2" t="str">
        <f t="shared" si="29"/>
        <v/>
      </c>
    </row>
    <row r="540" spans="1:11" x14ac:dyDescent="0.25">
      <c r="A540" s="355">
        <v>45324</v>
      </c>
      <c r="B540" s="2" t="s">
        <v>68</v>
      </c>
      <c r="C540" s="22" t="s">
        <v>130</v>
      </c>
      <c r="D540" s="548" t="s">
        <v>95</v>
      </c>
      <c r="E540" s="18" t="s">
        <v>1878</v>
      </c>
      <c r="F540" s="4" t="str">
        <f t="shared" si="30"/>
        <v>Nincs Adat</v>
      </c>
      <c r="G540" s="4"/>
      <c r="H540" s="4"/>
      <c r="J540" s="18" t="str">
        <f t="shared" si="31"/>
        <v>Nem Heineken Költség</v>
      </c>
      <c r="K540" s="2" t="str">
        <f t="shared" si="29"/>
        <v/>
      </c>
    </row>
    <row r="541" spans="1:11" x14ac:dyDescent="0.25">
      <c r="A541" s="214">
        <v>45324</v>
      </c>
      <c r="B541" s="215" t="s">
        <v>77</v>
      </c>
      <c r="C541" s="533" t="s">
        <v>1876</v>
      </c>
      <c r="D541" s="548" t="s">
        <v>95</v>
      </c>
      <c r="E541" s="346" t="s">
        <v>1877</v>
      </c>
      <c r="F541" s="216" t="str">
        <f t="shared" si="30"/>
        <v>PTP200R239151</v>
      </c>
      <c r="G541" s="216">
        <v>976</v>
      </c>
      <c r="H541" s="4"/>
      <c r="I541" s="2" t="s">
        <v>1728</v>
      </c>
      <c r="J541" s="18" t="str">
        <f t="shared" si="31"/>
        <v>SM-2024/1676</v>
      </c>
      <c r="K541" s="2">
        <f t="shared" si="29"/>
        <v>426.21</v>
      </c>
    </row>
    <row r="542" spans="1:11" ht="30.6" customHeight="1" x14ac:dyDescent="0.25">
      <c r="A542" s="436">
        <v>45323</v>
      </c>
      <c r="B542" s="437" t="s">
        <v>12</v>
      </c>
      <c r="C542" s="538" t="s">
        <v>2050</v>
      </c>
      <c r="D542" s="552" t="s">
        <v>95</v>
      </c>
      <c r="E542" s="439" t="s">
        <v>2049</v>
      </c>
      <c r="F542" s="438" t="str">
        <f t="shared" si="30"/>
        <v>EUB09D700267</v>
      </c>
      <c r="G542" s="434"/>
      <c r="H542" s="4"/>
      <c r="J542" s="18" t="str">
        <f t="shared" si="31"/>
        <v>Nem Heineken Költség</v>
      </c>
      <c r="K542" s="2" t="str">
        <f t="shared" si="29"/>
        <v/>
      </c>
    </row>
    <row r="543" spans="1:11" x14ac:dyDescent="0.25">
      <c r="A543" s="432">
        <v>45323</v>
      </c>
      <c r="B543" s="433" t="s">
        <v>12</v>
      </c>
      <c r="C543" s="537" t="s">
        <v>1883</v>
      </c>
      <c r="D543" s="553" t="s">
        <v>95</v>
      </c>
      <c r="E543" s="435" t="s">
        <v>2048</v>
      </c>
      <c r="F543" s="434" t="str">
        <f t="shared" si="30"/>
        <v>EUB09D700267</v>
      </c>
      <c r="G543" s="434"/>
      <c r="H543" s="4"/>
      <c r="J543" s="18" t="str">
        <f t="shared" si="31"/>
        <v>Nem Heineken Költség</v>
      </c>
      <c r="K543" s="2" t="str">
        <f t="shared" si="29"/>
        <v/>
      </c>
    </row>
    <row r="544" spans="1:11" x14ac:dyDescent="0.25">
      <c r="A544" s="14">
        <v>45323</v>
      </c>
      <c r="B544" s="2" t="s">
        <v>20</v>
      </c>
      <c r="C544" s="22" t="s">
        <v>1844</v>
      </c>
      <c r="D544" s="111" t="s">
        <v>95</v>
      </c>
      <c r="E544" s="18" t="s">
        <v>1879</v>
      </c>
      <c r="F544" s="4" t="str">
        <f t="shared" si="30"/>
        <v>EUB09D700832</v>
      </c>
      <c r="G544" s="4">
        <v>3603</v>
      </c>
      <c r="H544" s="4"/>
      <c r="J544" s="18" t="str">
        <f t="shared" si="31"/>
        <v>Nem Heineken Költség</v>
      </c>
      <c r="K544" s="2" t="str">
        <f t="shared" si="29"/>
        <v/>
      </c>
    </row>
    <row r="545" spans="1:11" x14ac:dyDescent="0.25">
      <c r="A545" s="214">
        <v>45322</v>
      </c>
      <c r="B545" s="215" t="s">
        <v>81</v>
      </c>
      <c r="C545" s="533" t="s">
        <v>1848</v>
      </c>
      <c r="D545" s="548" t="s">
        <v>95</v>
      </c>
      <c r="E545" s="346" t="s">
        <v>1849</v>
      </c>
      <c r="F545" s="216" t="str">
        <f t="shared" si="30"/>
        <v>PTP200R239155</v>
      </c>
      <c r="G545" s="216">
        <v>370</v>
      </c>
      <c r="H545" s="4"/>
      <c r="I545" s="4" t="s">
        <v>1728</v>
      </c>
      <c r="J545" s="18" t="str">
        <f t="shared" si="31"/>
        <v>SM-2024/1536</v>
      </c>
      <c r="K545" s="2">
        <f t="shared" si="29"/>
        <v>392.1</v>
      </c>
    </row>
    <row r="546" spans="1:11" x14ac:dyDescent="0.25">
      <c r="A546" s="214">
        <v>45322</v>
      </c>
      <c r="B546" s="216" t="s">
        <v>15</v>
      </c>
      <c r="C546" s="533" t="s">
        <v>1845</v>
      </c>
      <c r="D546" s="548" t="s">
        <v>95</v>
      </c>
      <c r="E546" s="346" t="s">
        <v>1847</v>
      </c>
      <c r="F546" s="216" t="str">
        <f t="shared" si="30"/>
        <v>EUB09D700705</v>
      </c>
      <c r="G546" s="216">
        <v>1543</v>
      </c>
      <c r="H546" s="4"/>
      <c r="I546" s="2" t="s">
        <v>1728</v>
      </c>
      <c r="J546" s="18" t="str">
        <f t="shared" si="31"/>
        <v>SM-2024/1529</v>
      </c>
      <c r="K546" s="2">
        <f t="shared" si="29"/>
        <v>145.80000000000001</v>
      </c>
    </row>
    <row r="547" spans="1:11" x14ac:dyDescent="0.25">
      <c r="A547" s="214">
        <v>45322</v>
      </c>
      <c r="B547" s="215" t="s">
        <v>15</v>
      </c>
      <c r="C547" s="533" t="s">
        <v>1845</v>
      </c>
      <c r="D547" s="548" t="s">
        <v>95</v>
      </c>
      <c r="E547" s="346" t="s">
        <v>1846</v>
      </c>
      <c r="F547" s="216" t="str">
        <f t="shared" si="30"/>
        <v>EUB09D700705</v>
      </c>
      <c r="G547" s="216">
        <v>1543</v>
      </c>
      <c r="H547" s="4"/>
      <c r="I547" s="2" t="s">
        <v>1728</v>
      </c>
      <c r="J547" s="18" t="str">
        <f t="shared" si="31"/>
        <v>SM-2024/1528</v>
      </c>
      <c r="K547" s="2">
        <f t="shared" ref="K547:K610" si="32">IFERROR(VLOOKUP(E547,poprice,4,0),"")</f>
        <v>59.69</v>
      </c>
    </row>
    <row r="548" spans="1:11" x14ac:dyDescent="0.25">
      <c r="A548" s="14">
        <v>45322</v>
      </c>
      <c r="B548" s="2" t="s">
        <v>12</v>
      </c>
      <c r="C548" s="22" t="s">
        <v>1841</v>
      </c>
      <c r="D548" s="548" t="s">
        <v>95</v>
      </c>
      <c r="E548" s="18" t="s">
        <v>1843</v>
      </c>
      <c r="F548" s="4" t="str">
        <f t="shared" si="30"/>
        <v>EUB09D700267</v>
      </c>
      <c r="G548" s="4">
        <v>3356</v>
      </c>
      <c r="H548" s="4"/>
      <c r="J548" s="18" t="str">
        <f t="shared" si="31"/>
        <v>Nem Heineken Költség</v>
      </c>
      <c r="K548" s="2" t="str">
        <f t="shared" si="32"/>
        <v/>
      </c>
    </row>
    <row r="549" spans="1:11" x14ac:dyDescent="0.25">
      <c r="A549" s="14">
        <v>45322</v>
      </c>
      <c r="B549" s="2" t="s">
        <v>12</v>
      </c>
      <c r="C549" s="22" t="s">
        <v>1841</v>
      </c>
      <c r="D549" s="548" t="s">
        <v>95</v>
      </c>
      <c r="E549" s="18" t="s">
        <v>1842</v>
      </c>
      <c r="F549" s="4" t="str">
        <f t="shared" si="30"/>
        <v>EUB09D700267</v>
      </c>
      <c r="G549" s="4">
        <v>3356</v>
      </c>
      <c r="H549" s="4"/>
      <c r="J549" s="18" t="str">
        <f t="shared" si="31"/>
        <v>Nem Heineken Költség</v>
      </c>
      <c r="K549" s="2" t="str">
        <f t="shared" si="32"/>
        <v/>
      </c>
    </row>
    <row r="550" spans="1:11" x14ac:dyDescent="0.25">
      <c r="A550" s="14">
        <v>45321</v>
      </c>
      <c r="B550" s="2" t="s">
        <v>20</v>
      </c>
      <c r="C550" s="22" t="s">
        <v>1839</v>
      </c>
      <c r="D550" s="548" t="s">
        <v>95</v>
      </c>
      <c r="E550" s="18" t="s">
        <v>1840</v>
      </c>
      <c r="F550" s="4" t="str">
        <f t="shared" si="30"/>
        <v>EUB09D700832</v>
      </c>
      <c r="G550" s="4">
        <v>3573</v>
      </c>
      <c r="H550" s="4"/>
      <c r="J550" s="18" t="str">
        <f t="shared" si="31"/>
        <v>Nem Heineken Költség</v>
      </c>
      <c r="K550" s="2" t="str">
        <f t="shared" si="32"/>
        <v/>
      </c>
    </row>
    <row r="551" spans="1:11" ht="15.75" thickBot="1" x14ac:dyDescent="0.3">
      <c r="A551" s="359">
        <v>45321</v>
      </c>
      <c r="B551" s="8" t="s">
        <v>157</v>
      </c>
      <c r="C551" s="45" t="s">
        <v>1836</v>
      </c>
      <c r="D551" s="554" t="s">
        <v>95</v>
      </c>
      <c r="E551" s="1" t="s">
        <v>1837</v>
      </c>
      <c r="F551" s="360" t="str">
        <f t="shared" si="30"/>
        <v>F24537B00021</v>
      </c>
      <c r="G551" s="360"/>
      <c r="H551" s="360"/>
      <c r="J551" s="18" t="str">
        <f t="shared" si="31"/>
        <v>Nem Heineken Költség</v>
      </c>
      <c r="K551" s="2" t="str">
        <f t="shared" si="32"/>
        <v/>
      </c>
    </row>
    <row r="552" spans="1:11" x14ac:dyDescent="0.25">
      <c r="A552" s="361">
        <v>45321</v>
      </c>
      <c r="B552" s="362" t="s">
        <v>50</v>
      </c>
      <c r="C552" s="541" t="s">
        <v>1834</v>
      </c>
      <c r="D552" s="555" t="s">
        <v>95</v>
      </c>
      <c r="E552" s="363" t="s">
        <v>1835</v>
      </c>
      <c r="F552" s="362" t="str">
        <f t="shared" si="30"/>
        <v>Nincs Adat</v>
      </c>
      <c r="G552" s="362"/>
      <c r="H552" s="362"/>
      <c r="J552" s="18" t="str">
        <f t="shared" si="31"/>
        <v>Nem Heineken Költség</v>
      </c>
      <c r="K552" s="2" t="str">
        <f t="shared" si="32"/>
        <v/>
      </c>
    </row>
    <row r="553" spans="1:11" x14ac:dyDescent="0.25">
      <c r="A553" s="364">
        <v>45321</v>
      </c>
      <c r="B553" s="2" t="s">
        <v>71</v>
      </c>
      <c r="C553" s="22" t="s">
        <v>1834</v>
      </c>
      <c r="D553" s="548" t="s">
        <v>95</v>
      </c>
      <c r="E553" s="18" t="s">
        <v>1835</v>
      </c>
      <c r="F553" s="4" t="str">
        <f t="shared" si="30"/>
        <v>Nincs Adat</v>
      </c>
      <c r="G553" s="4"/>
      <c r="H553" s="4"/>
      <c r="J553" s="18" t="str">
        <f t="shared" si="31"/>
        <v>Nem Heineken Költség</v>
      </c>
      <c r="K553" s="2" t="str">
        <f t="shared" si="32"/>
        <v/>
      </c>
    </row>
    <row r="554" spans="1:11" x14ac:dyDescent="0.25">
      <c r="A554" s="364">
        <v>45321</v>
      </c>
      <c r="B554" s="2" t="s">
        <v>67</v>
      </c>
      <c r="C554" s="22" t="s">
        <v>1834</v>
      </c>
      <c r="D554" s="548" t="s">
        <v>95</v>
      </c>
      <c r="E554" s="18" t="s">
        <v>1835</v>
      </c>
      <c r="F554" s="4" t="str">
        <f t="shared" si="30"/>
        <v>Nincs Adat</v>
      </c>
      <c r="G554" s="4"/>
      <c r="H554" s="4"/>
      <c r="J554" s="18" t="str">
        <f t="shared" si="31"/>
        <v>Nem Heineken Költség</v>
      </c>
      <c r="K554" s="2" t="str">
        <f t="shared" si="32"/>
        <v/>
      </c>
    </row>
    <row r="555" spans="1:11" x14ac:dyDescent="0.25">
      <c r="A555" s="364">
        <v>45321</v>
      </c>
      <c r="B555" s="2" t="s">
        <v>44</v>
      </c>
      <c r="C555" s="22" t="s">
        <v>1834</v>
      </c>
      <c r="D555" s="548" t="s">
        <v>95</v>
      </c>
      <c r="E555" s="18" t="s">
        <v>1835</v>
      </c>
      <c r="F555" s="4" t="str">
        <f t="shared" si="30"/>
        <v>Nincs Adat</v>
      </c>
      <c r="G555" s="4"/>
      <c r="H555" s="4"/>
      <c r="J555" s="18" t="str">
        <f t="shared" si="31"/>
        <v>Nem Heineken Költség</v>
      </c>
      <c r="K555" s="2" t="str">
        <f t="shared" si="32"/>
        <v/>
      </c>
    </row>
    <row r="556" spans="1:11" x14ac:dyDescent="0.25">
      <c r="A556" s="364">
        <v>45321</v>
      </c>
      <c r="B556" s="2" t="s">
        <v>43</v>
      </c>
      <c r="C556" s="22" t="s">
        <v>1834</v>
      </c>
      <c r="D556" s="548" t="s">
        <v>95</v>
      </c>
      <c r="E556" s="18" t="s">
        <v>1835</v>
      </c>
      <c r="F556" s="4" t="str">
        <f t="shared" si="30"/>
        <v>Nincs Adat</v>
      </c>
      <c r="G556" s="4"/>
      <c r="H556" s="4"/>
      <c r="J556" s="18" t="str">
        <f t="shared" si="31"/>
        <v>Nem Heineken Költség</v>
      </c>
      <c r="K556" s="2" t="str">
        <f t="shared" si="32"/>
        <v/>
      </c>
    </row>
    <row r="557" spans="1:11" x14ac:dyDescent="0.25">
      <c r="A557" s="364">
        <v>45321</v>
      </c>
      <c r="B557" s="2" t="s">
        <v>16</v>
      </c>
      <c r="C557" s="22" t="s">
        <v>1930</v>
      </c>
      <c r="D557" s="111" t="s">
        <v>95</v>
      </c>
      <c r="E557" s="18" t="s">
        <v>1838</v>
      </c>
      <c r="F557" s="4" t="str">
        <f t="shared" si="30"/>
        <v>EUB09D700851</v>
      </c>
      <c r="G557" s="4"/>
      <c r="H557" s="4"/>
      <c r="J557" s="18" t="str">
        <f t="shared" si="31"/>
        <v>Nem Heineken Költség</v>
      </c>
      <c r="K557" s="2" t="str">
        <f t="shared" si="32"/>
        <v/>
      </c>
    </row>
    <row r="558" spans="1:11" ht="45" x14ac:dyDescent="0.25">
      <c r="A558" s="365">
        <v>45320</v>
      </c>
      <c r="B558" s="215" t="s">
        <v>81</v>
      </c>
      <c r="C558" s="532" t="s">
        <v>1816</v>
      </c>
      <c r="D558" s="548" t="s">
        <v>95</v>
      </c>
      <c r="E558" s="346" t="s">
        <v>1817</v>
      </c>
      <c r="F558" s="216" t="str">
        <f t="shared" si="30"/>
        <v>PTP200R239155</v>
      </c>
      <c r="G558" s="216">
        <v>3882</v>
      </c>
      <c r="H558" s="4"/>
      <c r="I558" s="2" t="s">
        <v>1728</v>
      </c>
      <c r="J558" s="18" t="str">
        <f t="shared" si="31"/>
        <v>SM-2024/1431</v>
      </c>
      <c r="K558" s="2">
        <f t="shared" si="32"/>
        <v>287.27</v>
      </c>
    </row>
    <row r="559" spans="1:11" x14ac:dyDescent="0.25">
      <c r="A559" s="364">
        <v>45320</v>
      </c>
      <c r="B559" s="2" t="s">
        <v>157</v>
      </c>
      <c r="C559" s="22" t="s">
        <v>1814</v>
      </c>
      <c r="D559" s="548" t="s">
        <v>95</v>
      </c>
      <c r="E559" s="18" t="s">
        <v>1815</v>
      </c>
      <c r="F559" s="4" t="str">
        <f t="shared" si="30"/>
        <v>F24537B00021</v>
      </c>
      <c r="G559" s="4"/>
      <c r="H559" s="4"/>
      <c r="J559" s="18" t="str">
        <f t="shared" si="31"/>
        <v>Nem Heineken Költség</v>
      </c>
      <c r="K559" s="2" t="str">
        <f t="shared" si="32"/>
        <v/>
      </c>
    </row>
    <row r="560" spans="1:11" x14ac:dyDescent="0.25">
      <c r="A560" s="364">
        <v>45320</v>
      </c>
      <c r="B560" s="2" t="s">
        <v>891</v>
      </c>
      <c r="C560" s="22" t="s">
        <v>1813</v>
      </c>
      <c r="D560" s="548" t="s">
        <v>95</v>
      </c>
      <c r="E560" s="18" t="s">
        <v>1812</v>
      </c>
      <c r="F560" s="4">
        <f t="shared" si="30"/>
        <v>10817</v>
      </c>
      <c r="G560" s="4">
        <v>177</v>
      </c>
      <c r="H560" s="4"/>
      <c r="J560" s="18" t="str">
        <f t="shared" si="31"/>
        <v>Nem Heineken Költség</v>
      </c>
      <c r="K560" s="2" t="str">
        <f t="shared" si="32"/>
        <v/>
      </c>
    </row>
    <row r="561" spans="1:11" x14ac:dyDescent="0.25">
      <c r="A561" s="364">
        <v>45317</v>
      </c>
      <c r="B561" s="2" t="s">
        <v>20</v>
      </c>
      <c r="C561" s="22" t="s">
        <v>1807</v>
      </c>
      <c r="D561" s="548" t="s">
        <v>95</v>
      </c>
      <c r="E561" s="18" t="s">
        <v>1808</v>
      </c>
      <c r="F561" s="4" t="str">
        <f t="shared" si="30"/>
        <v>EUB09D700832</v>
      </c>
      <c r="G561" s="4">
        <v>3569</v>
      </c>
      <c r="H561" s="4" t="s">
        <v>1809</v>
      </c>
      <c r="J561" s="18" t="str">
        <f t="shared" si="31"/>
        <v>Nem Heineken Költség</v>
      </c>
      <c r="K561" s="2" t="str">
        <f t="shared" si="32"/>
        <v/>
      </c>
    </row>
    <row r="562" spans="1:11" x14ac:dyDescent="0.25">
      <c r="A562" s="364">
        <v>45317</v>
      </c>
      <c r="B562" s="2" t="s">
        <v>17</v>
      </c>
      <c r="C562" s="22" t="s">
        <v>1805</v>
      </c>
      <c r="D562" s="548" t="s">
        <v>95</v>
      </c>
      <c r="E562" s="18" t="s">
        <v>1806</v>
      </c>
      <c r="F562" s="4" t="str">
        <f t="shared" si="30"/>
        <v>EUB09D700852</v>
      </c>
      <c r="G562" s="4">
        <v>4213</v>
      </c>
      <c r="H562" s="4"/>
      <c r="J562" s="18" t="str">
        <f t="shared" si="31"/>
        <v>Nem Heineken Költség</v>
      </c>
      <c r="K562" s="2" t="str">
        <f t="shared" si="32"/>
        <v/>
      </c>
    </row>
    <row r="563" spans="1:11" x14ac:dyDescent="0.25">
      <c r="A563" s="365">
        <v>45317</v>
      </c>
      <c r="B563" s="215" t="s">
        <v>81</v>
      </c>
      <c r="C563" s="533" t="s">
        <v>1803</v>
      </c>
      <c r="D563" s="548" t="s">
        <v>95</v>
      </c>
      <c r="E563" s="346" t="s">
        <v>1804</v>
      </c>
      <c r="F563" s="216" t="str">
        <f t="shared" si="30"/>
        <v>PTP200R239155</v>
      </c>
      <c r="G563" s="216">
        <v>370</v>
      </c>
      <c r="H563" s="4"/>
      <c r="I563" s="2" t="s">
        <v>1728</v>
      </c>
      <c r="J563" s="18" t="str">
        <f t="shared" si="31"/>
        <v>SM-2024/1318</v>
      </c>
      <c r="K563" s="2">
        <f t="shared" si="32"/>
        <v>251.46</v>
      </c>
    </row>
    <row r="564" spans="1:11" x14ac:dyDescent="0.25">
      <c r="A564" s="364">
        <v>45317</v>
      </c>
      <c r="B564" s="2" t="s">
        <v>20</v>
      </c>
      <c r="C564" s="22" t="s">
        <v>1801</v>
      </c>
      <c r="D564" s="548" t="s">
        <v>95</v>
      </c>
      <c r="E564" s="18" t="s">
        <v>1802</v>
      </c>
      <c r="F564" s="4" t="str">
        <f t="shared" si="30"/>
        <v>EUB09D700832</v>
      </c>
      <c r="G564" s="4">
        <v>3569</v>
      </c>
      <c r="H564" s="4" t="s">
        <v>1810</v>
      </c>
      <c r="J564" s="18" t="str">
        <f t="shared" si="31"/>
        <v>Nem Heineken Költség</v>
      </c>
      <c r="K564" s="2" t="str">
        <f t="shared" si="32"/>
        <v/>
      </c>
    </row>
    <row r="565" spans="1:11" x14ac:dyDescent="0.25">
      <c r="A565" s="364">
        <v>45316</v>
      </c>
      <c r="B565" s="2" t="s">
        <v>20</v>
      </c>
      <c r="C565" s="22" t="s">
        <v>1797</v>
      </c>
      <c r="D565" s="548" t="s">
        <v>95</v>
      </c>
      <c r="E565" s="18" t="s">
        <v>1798</v>
      </c>
      <c r="F565" s="4" t="str">
        <f t="shared" si="30"/>
        <v>EUB09D700832</v>
      </c>
      <c r="G565" s="4">
        <v>3569</v>
      </c>
      <c r="H565" s="4" t="s">
        <v>1811</v>
      </c>
      <c r="J565" s="18" t="str">
        <f t="shared" si="31"/>
        <v>Nem Heineken Költség</v>
      </c>
      <c r="K565" s="2" t="str">
        <f t="shared" si="32"/>
        <v/>
      </c>
    </row>
    <row r="566" spans="1:11" x14ac:dyDescent="0.25">
      <c r="A566" s="364">
        <v>45316</v>
      </c>
      <c r="B566" s="2" t="s">
        <v>891</v>
      </c>
      <c r="C566" s="22" t="s">
        <v>1795</v>
      </c>
      <c r="D566" s="548" t="s">
        <v>95</v>
      </c>
      <c r="E566" s="18" t="s">
        <v>1796</v>
      </c>
      <c r="F566" s="4">
        <f t="shared" si="30"/>
        <v>10817</v>
      </c>
      <c r="G566" s="4">
        <v>173</v>
      </c>
      <c r="H566" s="4"/>
      <c r="J566" s="18" t="str">
        <f t="shared" si="31"/>
        <v>Nem Heineken Költség</v>
      </c>
      <c r="K566" s="2" t="str">
        <f t="shared" si="32"/>
        <v/>
      </c>
    </row>
    <row r="567" spans="1:11" x14ac:dyDescent="0.25">
      <c r="A567" s="364">
        <v>45316</v>
      </c>
      <c r="B567" s="2" t="s">
        <v>16</v>
      </c>
      <c r="C567" s="22" t="s">
        <v>1794</v>
      </c>
      <c r="D567" s="548" t="s">
        <v>95</v>
      </c>
      <c r="E567" s="18" t="s">
        <v>1793</v>
      </c>
      <c r="F567" s="4" t="str">
        <f t="shared" si="30"/>
        <v>EUB09D700851</v>
      </c>
      <c r="G567" s="4">
        <v>3859</v>
      </c>
      <c r="H567" s="4"/>
      <c r="J567" s="18" t="str">
        <f t="shared" si="31"/>
        <v>Nem Heineken Költség</v>
      </c>
      <c r="K567" s="2" t="str">
        <f t="shared" si="32"/>
        <v/>
      </c>
    </row>
    <row r="568" spans="1:11" ht="30" x14ac:dyDescent="0.25">
      <c r="A568" s="365">
        <v>45316</v>
      </c>
      <c r="B568" s="215" t="s">
        <v>80</v>
      </c>
      <c r="C568" s="532" t="s">
        <v>1791</v>
      </c>
      <c r="D568" s="548" t="s">
        <v>95</v>
      </c>
      <c r="E568" s="346" t="s">
        <v>1792</v>
      </c>
      <c r="F568" s="216" t="str">
        <f t="shared" si="30"/>
        <v>PTP200R239154</v>
      </c>
      <c r="G568" s="216">
        <v>49</v>
      </c>
      <c r="H568" s="4"/>
      <c r="I568" s="2" t="s">
        <v>1728</v>
      </c>
      <c r="J568" s="18" t="str">
        <f t="shared" si="31"/>
        <v>SM-2024/1269</v>
      </c>
      <c r="K568" s="2">
        <f t="shared" si="32"/>
        <v>50.29</v>
      </c>
    </row>
    <row r="569" spans="1:11" x14ac:dyDescent="0.25">
      <c r="A569" s="364">
        <v>45316</v>
      </c>
      <c r="B569" s="2" t="s">
        <v>14</v>
      </c>
      <c r="C569" s="22" t="s">
        <v>1789</v>
      </c>
      <c r="D569" s="111" t="s">
        <v>95</v>
      </c>
      <c r="E569" s="18" t="s">
        <v>1790</v>
      </c>
      <c r="F569" s="4" t="str">
        <f t="shared" si="30"/>
        <v>EUB09D700269</v>
      </c>
      <c r="G569" s="4">
        <v>3337</v>
      </c>
      <c r="H569" s="4"/>
      <c r="J569" s="18" t="str">
        <f t="shared" si="31"/>
        <v>Nem Heineken Költség</v>
      </c>
      <c r="K569" s="2" t="str">
        <f t="shared" si="32"/>
        <v/>
      </c>
    </row>
    <row r="570" spans="1:11" ht="60" x14ac:dyDescent="0.25">
      <c r="A570" s="364">
        <v>45316</v>
      </c>
      <c r="B570" s="2" t="s">
        <v>20</v>
      </c>
      <c r="C570" s="35" t="s">
        <v>1787</v>
      </c>
      <c r="D570" s="111" t="s">
        <v>95</v>
      </c>
      <c r="E570" s="18" t="s">
        <v>1788</v>
      </c>
      <c r="F570" s="4" t="str">
        <f t="shared" si="30"/>
        <v>EUB09D700832</v>
      </c>
      <c r="G570" s="4">
        <v>3569</v>
      </c>
      <c r="H570" s="4" t="s">
        <v>1810</v>
      </c>
      <c r="J570" s="18" t="str">
        <f t="shared" si="31"/>
        <v>Nem Heineken Költség</v>
      </c>
      <c r="K570" s="2" t="str">
        <f t="shared" si="32"/>
        <v/>
      </c>
    </row>
    <row r="571" spans="1:11" x14ac:dyDescent="0.25">
      <c r="A571" s="365">
        <v>45316</v>
      </c>
      <c r="B571" s="215" t="s">
        <v>1785</v>
      </c>
      <c r="C571" s="533" t="s">
        <v>1784</v>
      </c>
      <c r="D571" s="548" t="s">
        <v>95</v>
      </c>
      <c r="E571" s="346" t="s">
        <v>1786</v>
      </c>
      <c r="F571" s="216" t="str">
        <f t="shared" si="30"/>
        <v>Nincs Adat</v>
      </c>
      <c r="G571" s="216">
        <v>0</v>
      </c>
      <c r="H571" s="4"/>
      <c r="I571" s="2" t="s">
        <v>1728</v>
      </c>
      <c r="J571" s="18" t="str">
        <f t="shared" si="31"/>
        <v>SM-2024/1272</v>
      </c>
      <c r="K571" s="2">
        <f t="shared" si="32"/>
        <v>50.29</v>
      </c>
    </row>
    <row r="572" spans="1:11" ht="49.9" customHeight="1" x14ac:dyDescent="0.25">
      <c r="A572" s="364">
        <v>45315</v>
      </c>
      <c r="B572" s="2" t="s">
        <v>7</v>
      </c>
      <c r="C572" s="22" t="s">
        <v>1757</v>
      </c>
      <c r="D572" s="111" t="s">
        <v>95</v>
      </c>
      <c r="E572" s="18" t="s">
        <v>1756</v>
      </c>
      <c r="F572" s="4" t="str">
        <f t="shared" si="30"/>
        <v>EUB09D700743</v>
      </c>
      <c r="G572" s="4">
        <v>4313</v>
      </c>
      <c r="H572" s="4"/>
      <c r="J572" s="18" t="str">
        <f t="shared" si="31"/>
        <v>Nem Heineken Költség</v>
      </c>
      <c r="K572" s="2" t="str">
        <f t="shared" si="32"/>
        <v/>
      </c>
    </row>
    <row r="573" spans="1:11" x14ac:dyDescent="0.25">
      <c r="A573" s="364">
        <v>45315</v>
      </c>
      <c r="B573" s="2" t="s">
        <v>87</v>
      </c>
      <c r="C573" s="22" t="s">
        <v>2114</v>
      </c>
      <c r="D573" s="111" t="s">
        <v>96</v>
      </c>
      <c r="E573" s="18"/>
      <c r="F573" s="4" t="str">
        <f t="shared" si="30"/>
        <v>Nincs Adat</v>
      </c>
      <c r="G573" s="4"/>
      <c r="H573" s="4"/>
      <c r="J573" s="18" t="str">
        <f t="shared" si="31"/>
        <v>Nem Heineken Költség</v>
      </c>
      <c r="K573" s="2" t="str">
        <f t="shared" si="32"/>
        <v/>
      </c>
    </row>
    <row r="574" spans="1:11" x14ac:dyDescent="0.25">
      <c r="A574" s="364">
        <v>45315</v>
      </c>
      <c r="B574" s="2" t="s">
        <v>13</v>
      </c>
      <c r="C574" s="22" t="s">
        <v>1782</v>
      </c>
      <c r="D574" s="111" t="s">
        <v>95</v>
      </c>
      <c r="E574" s="18" t="s">
        <v>1783</v>
      </c>
      <c r="F574" s="4" t="str">
        <f t="shared" si="30"/>
        <v>EUB09D700268</v>
      </c>
      <c r="G574" s="4">
        <v>3422</v>
      </c>
      <c r="H574" s="4"/>
      <c r="J574" s="18" t="str">
        <f t="shared" si="31"/>
        <v>Nem Heineken Költség</v>
      </c>
      <c r="K574" s="2" t="str">
        <f t="shared" si="32"/>
        <v/>
      </c>
    </row>
    <row r="575" spans="1:11" x14ac:dyDescent="0.25">
      <c r="A575" s="364">
        <v>45315</v>
      </c>
      <c r="B575" s="2" t="s">
        <v>17</v>
      </c>
      <c r="C575" s="22" t="s">
        <v>1780</v>
      </c>
      <c r="D575" s="111" t="s">
        <v>95</v>
      </c>
      <c r="E575" s="18" t="s">
        <v>1781</v>
      </c>
      <c r="F575" s="4" t="str">
        <f t="shared" si="30"/>
        <v>EUB09D700852</v>
      </c>
      <c r="G575" s="4">
        <v>4188</v>
      </c>
      <c r="H575" s="4"/>
      <c r="J575" s="18" t="str">
        <f t="shared" si="31"/>
        <v>Nem Heineken Költség</v>
      </c>
      <c r="K575" s="2" t="str">
        <f t="shared" si="32"/>
        <v/>
      </c>
    </row>
    <row r="576" spans="1:11" x14ac:dyDescent="0.25">
      <c r="A576" s="364">
        <v>45315</v>
      </c>
      <c r="B576" s="2" t="s">
        <v>20</v>
      </c>
      <c r="C576" s="22" t="s">
        <v>1775</v>
      </c>
      <c r="D576" s="111" t="s">
        <v>95</v>
      </c>
      <c r="E576" s="18" t="s">
        <v>1774</v>
      </c>
      <c r="F576" s="4" t="str">
        <f t="shared" si="30"/>
        <v>EUB09D700832</v>
      </c>
      <c r="G576" s="4">
        <v>3569</v>
      </c>
      <c r="H576" s="4"/>
      <c r="J576" s="18" t="str">
        <f t="shared" si="31"/>
        <v>Nem Heineken Költség</v>
      </c>
      <c r="K576" s="2" t="str">
        <f t="shared" si="32"/>
        <v/>
      </c>
    </row>
    <row r="577" spans="1:11" x14ac:dyDescent="0.25">
      <c r="A577" s="364">
        <v>45315</v>
      </c>
      <c r="B577" s="2" t="s">
        <v>22</v>
      </c>
      <c r="C577" s="22" t="s">
        <v>1772</v>
      </c>
      <c r="D577" s="111" t="s">
        <v>95</v>
      </c>
      <c r="E577" s="18" t="s">
        <v>1773</v>
      </c>
      <c r="F577" s="4" t="str">
        <f t="shared" si="30"/>
        <v>EUB09D700838</v>
      </c>
      <c r="G577" s="4">
        <v>2233</v>
      </c>
      <c r="H577" s="4"/>
      <c r="J577" s="18" t="str">
        <f t="shared" si="31"/>
        <v>Nem Heineken Költség</v>
      </c>
      <c r="K577" s="2" t="str">
        <f t="shared" si="32"/>
        <v/>
      </c>
    </row>
    <row r="578" spans="1:11" x14ac:dyDescent="0.25">
      <c r="A578" s="364">
        <v>45315</v>
      </c>
      <c r="B578" s="2" t="s">
        <v>13</v>
      </c>
      <c r="C578" s="22" t="s">
        <v>1770</v>
      </c>
      <c r="D578" s="111" t="s">
        <v>95</v>
      </c>
      <c r="E578" s="18" t="s">
        <v>1771</v>
      </c>
      <c r="F578" s="4" t="str">
        <f t="shared" si="30"/>
        <v>EUB09D700268</v>
      </c>
      <c r="G578" s="4">
        <v>3422</v>
      </c>
      <c r="H578" s="4"/>
      <c r="J578" s="18" t="str">
        <f t="shared" si="31"/>
        <v>Nem Heineken Költség</v>
      </c>
      <c r="K578" s="2" t="str">
        <f t="shared" si="32"/>
        <v/>
      </c>
    </row>
    <row r="579" spans="1:11" x14ac:dyDescent="0.25">
      <c r="A579" s="364">
        <v>45315</v>
      </c>
      <c r="B579" s="2" t="s">
        <v>18</v>
      </c>
      <c r="C579" s="22" t="s">
        <v>1768</v>
      </c>
      <c r="D579" s="111" t="s">
        <v>95</v>
      </c>
      <c r="E579" s="18" t="s">
        <v>1769</v>
      </c>
      <c r="F579" s="4" t="str">
        <f t="shared" ref="F579:F642" si="33">IFERROR(VLOOKUP(B579,targlist02,3,0),"Nincs Adat")</f>
        <v>EUB09D700992</v>
      </c>
      <c r="G579" s="4">
        <v>5395</v>
      </c>
      <c r="H579" s="4"/>
      <c r="J579" s="18" t="str">
        <f t="shared" ref="J579:J642" si="34">IF(I579="H",IFERROR(VLOOKUP(E579,podone,1,0),"Nincs Po"),"Nem Heineken Költség")</f>
        <v>Nem Heineken Költség</v>
      </c>
      <c r="K579" s="2" t="str">
        <f t="shared" si="32"/>
        <v/>
      </c>
    </row>
    <row r="580" spans="1:11" x14ac:dyDescent="0.25">
      <c r="A580" s="364">
        <v>45315</v>
      </c>
      <c r="B580" s="2" t="s">
        <v>22</v>
      </c>
      <c r="C580" s="22" t="s">
        <v>1766</v>
      </c>
      <c r="D580" s="111" t="s">
        <v>95</v>
      </c>
      <c r="E580" s="18" t="s">
        <v>1767</v>
      </c>
      <c r="F580" s="4" t="str">
        <f t="shared" si="33"/>
        <v>EUB09D700838</v>
      </c>
      <c r="G580" s="4">
        <v>2233</v>
      </c>
      <c r="H580" s="4"/>
      <c r="J580" s="18" t="str">
        <f t="shared" si="34"/>
        <v>Nem Heineken Költség</v>
      </c>
      <c r="K580" s="2" t="str">
        <f t="shared" si="32"/>
        <v/>
      </c>
    </row>
    <row r="581" spans="1:11" x14ac:dyDescent="0.25">
      <c r="A581" s="364">
        <v>45315</v>
      </c>
      <c r="B581" s="2" t="s">
        <v>26</v>
      </c>
      <c r="C581" s="22" t="s">
        <v>1764</v>
      </c>
      <c r="D581" s="111" t="s">
        <v>95</v>
      </c>
      <c r="E581" s="18" t="s">
        <v>1765</v>
      </c>
      <c r="F581" s="4" t="str">
        <f t="shared" si="33"/>
        <v>EFC09D60002</v>
      </c>
      <c r="G581" s="43">
        <v>6084</v>
      </c>
      <c r="H581" s="4"/>
      <c r="J581" s="18" t="str">
        <f t="shared" si="34"/>
        <v>Nem Heineken Költség</v>
      </c>
      <c r="K581" s="2" t="str">
        <f t="shared" si="32"/>
        <v/>
      </c>
    </row>
    <row r="582" spans="1:11" x14ac:dyDescent="0.25">
      <c r="A582" s="364">
        <v>45315</v>
      </c>
      <c r="B582" s="2" t="s">
        <v>26</v>
      </c>
      <c r="C582" s="22" t="s">
        <v>1762</v>
      </c>
      <c r="D582" s="111" t="s">
        <v>95</v>
      </c>
      <c r="E582" s="18" t="s">
        <v>1763</v>
      </c>
      <c r="F582" s="4" t="str">
        <f t="shared" si="33"/>
        <v>EFC09D60002</v>
      </c>
      <c r="G582" s="4">
        <v>6084</v>
      </c>
      <c r="H582" s="4"/>
      <c r="J582" s="18" t="str">
        <f t="shared" si="34"/>
        <v>Nem Heineken Költség</v>
      </c>
      <c r="K582" s="2" t="str">
        <f t="shared" si="32"/>
        <v/>
      </c>
    </row>
    <row r="583" spans="1:11" ht="49.9" customHeight="1" x14ac:dyDescent="0.25">
      <c r="A583" s="364">
        <v>45315</v>
      </c>
      <c r="B583" s="2" t="s">
        <v>5</v>
      </c>
      <c r="C583" s="22" t="s">
        <v>1761</v>
      </c>
      <c r="D583" s="111" t="s">
        <v>95</v>
      </c>
      <c r="E583" s="18" t="s">
        <v>1760</v>
      </c>
      <c r="F583" s="4" t="str">
        <f t="shared" si="33"/>
        <v>JAG2N1E701603</v>
      </c>
      <c r="G583" s="4">
        <v>929</v>
      </c>
      <c r="H583" s="4"/>
      <c r="J583" s="18" t="str">
        <f t="shared" si="34"/>
        <v>Nem Heineken Költség</v>
      </c>
      <c r="K583" s="2" t="str">
        <f t="shared" si="32"/>
        <v/>
      </c>
    </row>
    <row r="584" spans="1:11" x14ac:dyDescent="0.25">
      <c r="A584" s="364">
        <v>45315</v>
      </c>
      <c r="B584" s="2" t="s">
        <v>4</v>
      </c>
      <c r="C584" s="22" t="s">
        <v>1755</v>
      </c>
      <c r="D584" s="111" t="s">
        <v>95</v>
      </c>
      <c r="E584" s="18" t="s">
        <v>1754</v>
      </c>
      <c r="F584" s="4" t="str">
        <f t="shared" si="33"/>
        <v>JAG2N1E701604</v>
      </c>
      <c r="G584" s="4">
        <v>1519</v>
      </c>
      <c r="H584" s="4"/>
      <c r="J584" s="18" t="str">
        <f t="shared" si="34"/>
        <v>Nem Heineken Költség</v>
      </c>
      <c r="K584" s="2" t="str">
        <f t="shared" si="32"/>
        <v/>
      </c>
    </row>
    <row r="585" spans="1:11" ht="49.9" customHeight="1" x14ac:dyDescent="0.25">
      <c r="A585" s="364">
        <v>45315</v>
      </c>
      <c r="B585" s="2" t="s">
        <v>12</v>
      </c>
      <c r="C585" s="22" t="s">
        <v>1753</v>
      </c>
      <c r="D585" s="111" t="s">
        <v>95</v>
      </c>
      <c r="E585" s="18" t="s">
        <v>1752</v>
      </c>
      <c r="F585" s="4" t="str">
        <f t="shared" si="33"/>
        <v>EUB09D700267</v>
      </c>
      <c r="G585" s="4">
        <v>3266</v>
      </c>
      <c r="H585" s="4"/>
      <c r="J585" s="18" t="str">
        <f t="shared" si="34"/>
        <v>Nem Heineken Költség</v>
      </c>
      <c r="K585" s="2" t="str">
        <f t="shared" si="32"/>
        <v/>
      </c>
    </row>
    <row r="586" spans="1:11" x14ac:dyDescent="0.25">
      <c r="A586" s="364">
        <v>45315</v>
      </c>
      <c r="B586" s="2" t="s">
        <v>8</v>
      </c>
      <c r="C586" s="22" t="s">
        <v>1751</v>
      </c>
      <c r="D586" s="111" t="s">
        <v>95</v>
      </c>
      <c r="E586" s="18" t="s">
        <v>1750</v>
      </c>
      <c r="F586" s="4" t="str">
        <f t="shared" si="33"/>
        <v>EUB09D700744</v>
      </c>
      <c r="G586" s="4">
        <v>4177</v>
      </c>
      <c r="H586" s="4"/>
      <c r="J586" s="18" t="str">
        <f t="shared" si="34"/>
        <v>Nem Heineken Költség</v>
      </c>
      <c r="K586" s="2" t="str">
        <f t="shared" si="32"/>
        <v/>
      </c>
    </row>
    <row r="587" spans="1:11" x14ac:dyDescent="0.25">
      <c r="A587" s="364">
        <v>45315</v>
      </c>
      <c r="B587" s="2" t="s">
        <v>14</v>
      </c>
      <c r="C587" s="22" t="s">
        <v>1748</v>
      </c>
      <c r="D587" s="111" t="s">
        <v>95</v>
      </c>
      <c r="E587" s="18" t="s">
        <v>1749</v>
      </c>
      <c r="F587" s="4" t="str">
        <f t="shared" si="33"/>
        <v>EUB09D700269</v>
      </c>
      <c r="G587" s="43">
        <v>3324</v>
      </c>
      <c r="H587" s="4"/>
      <c r="J587" s="18" t="str">
        <f t="shared" si="34"/>
        <v>Nem Heineken Költség</v>
      </c>
      <c r="K587" s="2" t="str">
        <f t="shared" si="32"/>
        <v/>
      </c>
    </row>
    <row r="588" spans="1:11" x14ac:dyDescent="0.25">
      <c r="A588" s="364">
        <v>45315</v>
      </c>
      <c r="B588" s="2" t="s">
        <v>17</v>
      </c>
      <c r="C588" s="22" t="s">
        <v>1746</v>
      </c>
      <c r="D588" s="111" t="s">
        <v>95</v>
      </c>
      <c r="E588" s="18" t="s">
        <v>1747</v>
      </c>
      <c r="F588" s="4" t="str">
        <f t="shared" si="33"/>
        <v>EUB09D700852</v>
      </c>
      <c r="G588" s="43">
        <v>4187</v>
      </c>
      <c r="H588" s="4"/>
      <c r="J588" s="18" t="str">
        <f t="shared" si="34"/>
        <v>Nem Heineken Költség</v>
      </c>
      <c r="K588" s="2" t="str">
        <f t="shared" si="32"/>
        <v/>
      </c>
    </row>
    <row r="589" spans="1:11" x14ac:dyDescent="0.25">
      <c r="A589" s="364">
        <v>45315</v>
      </c>
      <c r="B589" s="2" t="s">
        <v>20</v>
      </c>
      <c r="C589" s="22" t="s">
        <v>1744</v>
      </c>
      <c r="D589" s="111" t="s">
        <v>95</v>
      </c>
      <c r="E589" s="18" t="s">
        <v>1745</v>
      </c>
      <c r="F589" s="4" t="str">
        <f t="shared" si="33"/>
        <v>EUB09D700832</v>
      </c>
      <c r="G589" s="43">
        <v>3569</v>
      </c>
      <c r="H589" s="4"/>
      <c r="J589" s="18" t="str">
        <f t="shared" si="34"/>
        <v>Nem Heineken Költség</v>
      </c>
      <c r="K589" s="2" t="str">
        <f t="shared" si="32"/>
        <v/>
      </c>
    </row>
    <row r="590" spans="1:11" x14ac:dyDescent="0.25">
      <c r="A590" s="364">
        <v>45315</v>
      </c>
      <c r="B590" s="2" t="s">
        <v>18</v>
      </c>
      <c r="C590" s="22" t="s">
        <v>1742</v>
      </c>
      <c r="D590" s="111" t="s">
        <v>95</v>
      </c>
      <c r="E590" s="18" t="s">
        <v>1743</v>
      </c>
      <c r="F590" s="4" t="str">
        <f t="shared" si="33"/>
        <v>EUB09D700992</v>
      </c>
      <c r="G590" s="43">
        <v>5395</v>
      </c>
      <c r="H590" s="4"/>
      <c r="J590" s="18" t="str">
        <f t="shared" si="34"/>
        <v>Nem Heineken Költség</v>
      </c>
      <c r="K590" s="2" t="str">
        <f t="shared" si="32"/>
        <v/>
      </c>
    </row>
    <row r="591" spans="1:11" x14ac:dyDescent="0.25">
      <c r="A591" s="364">
        <v>45315</v>
      </c>
      <c r="B591" s="2" t="s">
        <v>6</v>
      </c>
      <c r="C591" s="22" t="s">
        <v>1740</v>
      </c>
      <c r="D591" s="111" t="s">
        <v>95</v>
      </c>
      <c r="E591" s="18" t="s">
        <v>1741</v>
      </c>
      <c r="F591" s="4" t="str">
        <f t="shared" si="33"/>
        <v>EUB09D700742</v>
      </c>
      <c r="G591" s="43">
        <v>4652</v>
      </c>
      <c r="H591" s="4"/>
      <c r="J591" s="18" t="str">
        <f t="shared" si="34"/>
        <v>Nem Heineken Költség</v>
      </c>
      <c r="K591" s="2" t="str">
        <f t="shared" si="32"/>
        <v/>
      </c>
    </row>
    <row r="592" spans="1:11" ht="30" x14ac:dyDescent="0.25">
      <c r="A592" s="364">
        <v>45315</v>
      </c>
      <c r="B592" s="2" t="s">
        <v>12</v>
      </c>
      <c r="C592" s="35" t="s">
        <v>1738</v>
      </c>
      <c r="D592" s="111" t="s">
        <v>95</v>
      </c>
      <c r="E592" s="18" t="s">
        <v>1739</v>
      </c>
      <c r="F592" s="4" t="str">
        <f t="shared" si="33"/>
        <v>EUB09D700267</v>
      </c>
      <c r="G592" s="4">
        <v>3266</v>
      </c>
      <c r="H592" s="4"/>
      <c r="J592" s="18" t="str">
        <f t="shared" si="34"/>
        <v>Nem Heineken Költség</v>
      </c>
      <c r="K592" s="2" t="str">
        <f t="shared" si="32"/>
        <v/>
      </c>
    </row>
    <row r="593" spans="1:11" ht="30" x14ac:dyDescent="0.25">
      <c r="A593" s="364">
        <v>45315</v>
      </c>
      <c r="B593" s="2" t="s">
        <v>14</v>
      </c>
      <c r="C593" s="35" t="s">
        <v>1736</v>
      </c>
      <c r="D593" s="111" t="s">
        <v>95</v>
      </c>
      <c r="E593" s="18" t="s">
        <v>1737</v>
      </c>
      <c r="F593" s="4" t="str">
        <f t="shared" si="33"/>
        <v>EUB09D700269</v>
      </c>
      <c r="G593" s="4">
        <v>3324</v>
      </c>
      <c r="H593" s="4"/>
      <c r="J593" s="18" t="str">
        <f t="shared" si="34"/>
        <v>Nem Heineken Költség</v>
      </c>
      <c r="K593" s="2" t="str">
        <f t="shared" si="32"/>
        <v/>
      </c>
    </row>
    <row r="594" spans="1:11" x14ac:dyDescent="0.25">
      <c r="A594" s="364">
        <v>45315</v>
      </c>
      <c r="B594" s="2" t="s">
        <v>20</v>
      </c>
      <c r="C594" s="22" t="s">
        <v>1734</v>
      </c>
      <c r="D594" s="111" t="s">
        <v>95</v>
      </c>
      <c r="E594" s="18" t="s">
        <v>1735</v>
      </c>
      <c r="F594" s="4" t="str">
        <f t="shared" si="33"/>
        <v>EUB09D700832</v>
      </c>
      <c r="G594" s="4">
        <v>3569</v>
      </c>
      <c r="H594" s="4"/>
      <c r="J594" s="18" t="str">
        <f t="shared" si="34"/>
        <v>Nem Heineken Költség</v>
      </c>
      <c r="K594" s="2" t="str">
        <f t="shared" si="32"/>
        <v/>
      </c>
    </row>
    <row r="595" spans="1:11" x14ac:dyDescent="0.25">
      <c r="A595" s="364">
        <v>45315</v>
      </c>
      <c r="B595" s="2" t="s">
        <v>18</v>
      </c>
      <c r="C595" s="22" t="s">
        <v>1732</v>
      </c>
      <c r="D595" s="111" t="s">
        <v>95</v>
      </c>
      <c r="E595" s="18" t="s">
        <v>1733</v>
      </c>
      <c r="F595" s="4" t="str">
        <f t="shared" si="33"/>
        <v>EUB09D700992</v>
      </c>
      <c r="G595" s="4">
        <v>5395</v>
      </c>
      <c r="H595" s="4"/>
      <c r="J595" s="18" t="str">
        <f t="shared" si="34"/>
        <v>Nem Heineken Költség</v>
      </c>
      <c r="K595" s="2" t="str">
        <f t="shared" si="32"/>
        <v/>
      </c>
    </row>
    <row r="596" spans="1:11" x14ac:dyDescent="0.25">
      <c r="A596" s="364">
        <v>45315</v>
      </c>
      <c r="B596" s="2" t="s">
        <v>10</v>
      </c>
      <c r="C596" s="22" t="s">
        <v>1779</v>
      </c>
      <c r="D596" s="111" t="s">
        <v>95</v>
      </c>
      <c r="E596" s="18" t="s">
        <v>1778</v>
      </c>
      <c r="F596" s="4" t="str">
        <f t="shared" si="33"/>
        <v>EUB09D700794</v>
      </c>
      <c r="G596" s="4">
        <v>3600</v>
      </c>
      <c r="H596" s="4"/>
      <c r="J596" s="18" t="str">
        <f t="shared" si="34"/>
        <v>Nem Heineken Költség</v>
      </c>
      <c r="K596" s="2" t="str">
        <f t="shared" si="32"/>
        <v/>
      </c>
    </row>
    <row r="597" spans="1:11" x14ac:dyDescent="0.25">
      <c r="A597" s="364">
        <v>45315</v>
      </c>
      <c r="B597" s="2" t="s">
        <v>10</v>
      </c>
      <c r="C597" s="22" t="s">
        <v>1776</v>
      </c>
      <c r="D597" s="111" t="s">
        <v>95</v>
      </c>
      <c r="E597" s="18" t="s">
        <v>1777</v>
      </c>
      <c r="F597" s="4" t="str">
        <f t="shared" si="33"/>
        <v>EUB09D700794</v>
      </c>
      <c r="G597" s="4">
        <v>3600</v>
      </c>
      <c r="H597" s="4"/>
      <c r="J597" s="18" t="str">
        <f t="shared" si="34"/>
        <v>Nem Heineken Költség</v>
      </c>
      <c r="K597" s="2" t="str">
        <f t="shared" si="32"/>
        <v/>
      </c>
    </row>
    <row r="598" spans="1:11" ht="30" x14ac:dyDescent="0.25">
      <c r="A598" s="364">
        <v>45315</v>
      </c>
      <c r="B598" s="2" t="s">
        <v>10</v>
      </c>
      <c r="C598" s="35" t="s">
        <v>1758</v>
      </c>
      <c r="D598" s="111" t="s">
        <v>95</v>
      </c>
      <c r="E598" s="18" t="s">
        <v>1759</v>
      </c>
      <c r="F598" s="4" t="str">
        <f t="shared" si="33"/>
        <v>EUB09D700794</v>
      </c>
      <c r="G598" s="4">
        <v>3600</v>
      </c>
      <c r="H598" s="4"/>
      <c r="J598" s="18" t="str">
        <f t="shared" si="34"/>
        <v>Nem Heineken Költség</v>
      </c>
      <c r="K598" s="2" t="str">
        <f t="shared" si="32"/>
        <v/>
      </c>
    </row>
    <row r="599" spans="1:11" x14ac:dyDescent="0.25">
      <c r="A599" s="364">
        <v>45314</v>
      </c>
      <c r="B599" s="2" t="s">
        <v>7</v>
      </c>
      <c r="C599" s="22" t="s">
        <v>1462</v>
      </c>
      <c r="D599" s="111" t="s">
        <v>95</v>
      </c>
      <c r="E599" s="18" t="s">
        <v>1463</v>
      </c>
      <c r="F599" s="4" t="str">
        <f t="shared" si="33"/>
        <v>EUB09D700743</v>
      </c>
      <c r="G599" s="4">
        <v>4302</v>
      </c>
      <c r="H599" s="4"/>
      <c r="J599" s="18" t="str">
        <f t="shared" si="34"/>
        <v>Nem Heineken Költség</v>
      </c>
      <c r="K599" s="2" t="str">
        <f t="shared" si="32"/>
        <v/>
      </c>
    </row>
    <row r="600" spans="1:11" ht="30" x14ac:dyDescent="0.25">
      <c r="A600" s="364">
        <v>45314</v>
      </c>
      <c r="B600" s="2" t="s">
        <v>1470</v>
      </c>
      <c r="C600" s="532" t="s">
        <v>1469</v>
      </c>
      <c r="D600" s="111" t="s">
        <v>95</v>
      </c>
      <c r="E600" s="346" t="s">
        <v>1468</v>
      </c>
      <c r="F600" s="216" t="str">
        <f t="shared" si="33"/>
        <v>Nincs Adat</v>
      </c>
      <c r="G600" s="216"/>
      <c r="H600" s="4"/>
      <c r="I600" s="2" t="s">
        <v>1728</v>
      </c>
      <c r="J600" s="18" t="str">
        <f t="shared" si="34"/>
        <v>SM-2024/1102</v>
      </c>
      <c r="K600" s="2">
        <f t="shared" si="32"/>
        <v>170.69</v>
      </c>
    </row>
    <row r="601" spans="1:11" x14ac:dyDescent="0.25">
      <c r="A601" s="364">
        <v>45314</v>
      </c>
      <c r="B601" s="2" t="s">
        <v>157</v>
      </c>
      <c r="C601" s="22" t="s">
        <v>1466</v>
      </c>
      <c r="D601" s="111" t="s">
        <v>95</v>
      </c>
      <c r="E601" s="18" t="s">
        <v>1467</v>
      </c>
      <c r="F601" s="4" t="str">
        <f t="shared" si="33"/>
        <v>F24537B00021</v>
      </c>
      <c r="G601" s="43">
        <v>5597</v>
      </c>
      <c r="H601" s="4"/>
      <c r="J601" s="18" t="str">
        <f t="shared" si="34"/>
        <v>Nem Heineken Költség</v>
      </c>
      <c r="K601" s="2" t="str">
        <f t="shared" si="32"/>
        <v/>
      </c>
    </row>
    <row r="602" spans="1:11" x14ac:dyDescent="0.25">
      <c r="A602" s="364">
        <v>45314</v>
      </c>
      <c r="B602" s="2" t="s">
        <v>10</v>
      </c>
      <c r="C602" s="22" t="s">
        <v>1464</v>
      </c>
      <c r="D602" s="111" t="s">
        <v>95</v>
      </c>
      <c r="E602" s="18" t="s">
        <v>1465</v>
      </c>
      <c r="F602" s="4" t="str">
        <f t="shared" si="33"/>
        <v>EUB09D700794</v>
      </c>
      <c r="G602" s="4">
        <v>3600</v>
      </c>
      <c r="H602" s="4"/>
      <c r="J602" s="18" t="str">
        <f t="shared" si="34"/>
        <v>Nem Heineken Költség</v>
      </c>
      <c r="K602" s="2" t="str">
        <f t="shared" si="32"/>
        <v/>
      </c>
    </row>
    <row r="603" spans="1:11" x14ac:dyDescent="0.25">
      <c r="A603" s="364">
        <v>45313</v>
      </c>
      <c r="B603" s="2" t="s">
        <v>19</v>
      </c>
      <c r="C603" s="22" t="s">
        <v>1460</v>
      </c>
      <c r="D603" s="111" t="s">
        <v>95</v>
      </c>
      <c r="E603" s="18" t="s">
        <v>1461</v>
      </c>
      <c r="F603" s="4" t="str">
        <f t="shared" si="33"/>
        <v>EUB09D700836</v>
      </c>
      <c r="G603" s="4">
        <v>4989</v>
      </c>
      <c r="H603" s="4"/>
      <c r="J603" s="18" t="str">
        <f t="shared" si="34"/>
        <v>Nem Heineken Költség</v>
      </c>
      <c r="K603" s="2" t="str">
        <f t="shared" si="32"/>
        <v/>
      </c>
    </row>
    <row r="604" spans="1:11" x14ac:dyDescent="0.25">
      <c r="A604" s="364">
        <v>45313</v>
      </c>
      <c r="B604" s="2" t="s">
        <v>81</v>
      </c>
      <c r="C604" s="22" t="s">
        <v>1458</v>
      </c>
      <c r="D604" s="111" t="s">
        <v>95</v>
      </c>
      <c r="E604" s="18" t="s">
        <v>1459</v>
      </c>
      <c r="F604" s="4" t="str">
        <f t="shared" si="33"/>
        <v>PTP200R239155</v>
      </c>
      <c r="G604" s="4">
        <v>370</v>
      </c>
      <c r="H604" s="4"/>
      <c r="J604" s="18" t="str">
        <f t="shared" si="34"/>
        <v>Nem Heineken Költség</v>
      </c>
      <c r="K604" s="2" t="str">
        <f t="shared" si="32"/>
        <v/>
      </c>
    </row>
    <row r="605" spans="1:11" x14ac:dyDescent="0.25">
      <c r="A605" s="364">
        <v>45310</v>
      </c>
      <c r="B605" s="2" t="s">
        <v>8</v>
      </c>
      <c r="C605" s="22" t="s">
        <v>1441</v>
      </c>
      <c r="D605" s="111" t="s">
        <v>95</v>
      </c>
      <c r="E605" s="18" t="s">
        <v>1443</v>
      </c>
      <c r="F605" s="4" t="str">
        <f t="shared" si="33"/>
        <v>EUB09D700744</v>
      </c>
      <c r="G605" s="4">
        <v>4140</v>
      </c>
      <c r="H605" s="4"/>
      <c r="J605" s="18" t="str">
        <f t="shared" si="34"/>
        <v>Nem Heineken Költség</v>
      </c>
      <c r="K605" s="2" t="str">
        <f t="shared" si="32"/>
        <v/>
      </c>
    </row>
    <row r="606" spans="1:11" x14ac:dyDescent="0.25">
      <c r="A606" s="364">
        <v>45310</v>
      </c>
      <c r="B606" s="2" t="s">
        <v>18</v>
      </c>
      <c r="C606" s="22" t="s">
        <v>1440</v>
      </c>
      <c r="D606" s="111" t="s">
        <v>95</v>
      </c>
      <c r="E606" s="18" t="s">
        <v>1442</v>
      </c>
      <c r="F606" s="4" t="str">
        <f t="shared" si="33"/>
        <v>EUB09D700992</v>
      </c>
      <c r="G606" s="4">
        <v>5370</v>
      </c>
      <c r="H606" s="4"/>
      <c r="J606" s="18" t="str">
        <f t="shared" si="34"/>
        <v>Nem Heineken Költség</v>
      </c>
      <c r="K606" s="2" t="str">
        <f t="shared" si="32"/>
        <v/>
      </c>
    </row>
    <row r="607" spans="1:11" ht="30" x14ac:dyDescent="0.25">
      <c r="A607" s="364">
        <v>45309</v>
      </c>
      <c r="B607" s="2" t="s">
        <v>80</v>
      </c>
      <c r="C607" s="542" t="s">
        <v>1438</v>
      </c>
      <c r="D607" s="111" t="s">
        <v>95</v>
      </c>
      <c r="E607" s="346" t="s">
        <v>1439</v>
      </c>
      <c r="F607" s="216" t="str">
        <f t="shared" si="33"/>
        <v>PTP200R239154</v>
      </c>
      <c r="G607" s="216">
        <v>26</v>
      </c>
      <c r="H607" s="4"/>
      <c r="I607" s="2" t="s">
        <v>1728</v>
      </c>
      <c r="J607" s="18" t="str">
        <f t="shared" si="34"/>
        <v>SM-2024/885</v>
      </c>
      <c r="K607" s="2">
        <f t="shared" si="32"/>
        <v>299.12</v>
      </c>
    </row>
    <row r="608" spans="1:11" x14ac:dyDescent="0.25">
      <c r="A608" s="364">
        <v>45309</v>
      </c>
      <c r="B608" s="2" t="s">
        <v>79</v>
      </c>
      <c r="C608" s="543" t="s">
        <v>1436</v>
      </c>
      <c r="D608" s="111" t="s">
        <v>95</v>
      </c>
      <c r="E608" s="346" t="s">
        <v>1437</v>
      </c>
      <c r="F608" s="216" t="str">
        <f t="shared" si="33"/>
        <v>PTP200R239153</v>
      </c>
      <c r="G608" s="216">
        <v>1593</v>
      </c>
      <c r="H608" s="4"/>
      <c r="I608" s="2" t="s">
        <v>1728</v>
      </c>
      <c r="J608" s="18" t="str">
        <f t="shared" si="34"/>
        <v>SM-2024/888</v>
      </c>
      <c r="K608" s="2">
        <f t="shared" si="32"/>
        <v>649.88</v>
      </c>
    </row>
    <row r="609" spans="1:11" x14ac:dyDescent="0.25">
      <c r="A609" s="364">
        <v>45309</v>
      </c>
      <c r="B609" s="2" t="s">
        <v>6</v>
      </c>
      <c r="C609" s="22" t="s">
        <v>1435</v>
      </c>
      <c r="D609" s="111" t="s">
        <v>95</v>
      </c>
      <c r="E609" s="18" t="s">
        <v>1434</v>
      </c>
      <c r="F609" s="4" t="str">
        <f t="shared" si="33"/>
        <v>EUB09D700742</v>
      </c>
      <c r="G609" s="4">
        <v>4595</v>
      </c>
      <c r="H609" s="4"/>
      <c r="J609" s="18" t="str">
        <f t="shared" si="34"/>
        <v>Nem Heineken Költség</v>
      </c>
      <c r="K609" s="2" t="str">
        <f t="shared" si="32"/>
        <v/>
      </c>
    </row>
    <row r="610" spans="1:11" x14ac:dyDescent="0.25">
      <c r="A610" s="364">
        <v>45309</v>
      </c>
      <c r="B610" s="2" t="s">
        <v>6</v>
      </c>
      <c r="C610" s="22" t="s">
        <v>1432</v>
      </c>
      <c r="D610" s="111" t="s">
        <v>95</v>
      </c>
      <c r="E610" s="18" t="s">
        <v>1433</v>
      </c>
      <c r="F610" s="4" t="str">
        <f t="shared" si="33"/>
        <v>EUB09D700742</v>
      </c>
      <c r="G610" s="4">
        <v>4595</v>
      </c>
      <c r="H610" s="4"/>
      <c r="J610" s="18" t="str">
        <f t="shared" si="34"/>
        <v>Nem Heineken Költség</v>
      </c>
      <c r="K610" s="2" t="str">
        <f t="shared" si="32"/>
        <v/>
      </c>
    </row>
    <row r="611" spans="1:11" ht="30" x14ac:dyDescent="0.25">
      <c r="A611" s="364">
        <v>45308</v>
      </c>
      <c r="B611" s="2" t="s">
        <v>157</v>
      </c>
      <c r="C611" s="35" t="s">
        <v>1430</v>
      </c>
      <c r="D611" s="111" t="s">
        <v>95</v>
      </c>
      <c r="E611" s="18" t="s">
        <v>1431</v>
      </c>
      <c r="F611" s="4" t="str">
        <f t="shared" si="33"/>
        <v>F24537B00021</v>
      </c>
      <c r="G611" s="4">
        <v>5595</v>
      </c>
      <c r="H611" s="4"/>
      <c r="J611" s="18" t="str">
        <f t="shared" si="34"/>
        <v>Nem Heineken Költség</v>
      </c>
      <c r="K611" s="2" t="str">
        <f t="shared" ref="K611:K674" si="35">IFERROR(VLOOKUP(E611,poprice,4,0),"")</f>
        <v/>
      </c>
    </row>
    <row r="612" spans="1:11" x14ac:dyDescent="0.25">
      <c r="A612" s="364">
        <v>45308</v>
      </c>
      <c r="B612" s="2" t="s">
        <v>19</v>
      </c>
      <c r="C612" s="22" t="s">
        <v>1428</v>
      </c>
      <c r="D612" s="111" t="s">
        <v>95</v>
      </c>
      <c r="E612" s="18" t="s">
        <v>1429</v>
      </c>
      <c r="F612" s="4" t="str">
        <f t="shared" si="33"/>
        <v>EUB09D700836</v>
      </c>
      <c r="G612" s="4">
        <v>4965</v>
      </c>
      <c r="H612" s="4"/>
      <c r="J612" s="18" t="str">
        <f t="shared" si="34"/>
        <v>Nem Heineken Költség</v>
      </c>
      <c r="K612" s="2" t="str">
        <f t="shared" si="35"/>
        <v/>
      </c>
    </row>
    <row r="613" spans="1:11" x14ac:dyDescent="0.25">
      <c r="A613" s="364">
        <v>45308</v>
      </c>
      <c r="B613" s="2" t="s">
        <v>18</v>
      </c>
      <c r="C613" s="22" t="s">
        <v>1428</v>
      </c>
      <c r="D613" s="111" t="s">
        <v>95</v>
      </c>
      <c r="E613" s="18" t="s">
        <v>1427</v>
      </c>
      <c r="F613" s="4" t="str">
        <f t="shared" si="33"/>
        <v>EUB09D700992</v>
      </c>
      <c r="G613" s="4">
        <v>5344</v>
      </c>
      <c r="H613" s="4"/>
      <c r="J613" s="18" t="str">
        <f t="shared" si="34"/>
        <v>Nem Heineken Költség</v>
      </c>
      <c r="K613" s="2" t="str">
        <f t="shared" si="35"/>
        <v/>
      </c>
    </row>
    <row r="614" spans="1:11" x14ac:dyDescent="0.25">
      <c r="A614" s="364">
        <v>45308</v>
      </c>
      <c r="B614" s="2" t="s">
        <v>17</v>
      </c>
      <c r="C614" s="22" t="s">
        <v>1425</v>
      </c>
      <c r="D614" s="111" t="s">
        <v>95</v>
      </c>
      <c r="E614" s="18" t="s">
        <v>1426</v>
      </c>
      <c r="F614" s="4" t="str">
        <f t="shared" si="33"/>
        <v>EUB09D700852</v>
      </c>
      <c r="G614" s="4">
        <v>4152</v>
      </c>
      <c r="H614" s="4"/>
      <c r="J614" s="18" t="str">
        <f t="shared" si="34"/>
        <v>Nem Heineken Költség</v>
      </c>
      <c r="K614" s="2" t="str">
        <f t="shared" si="35"/>
        <v/>
      </c>
    </row>
    <row r="615" spans="1:11" x14ac:dyDescent="0.25">
      <c r="A615" s="364">
        <v>45308</v>
      </c>
      <c r="B615" s="2" t="s">
        <v>8</v>
      </c>
      <c r="C615" s="22" t="s">
        <v>1423</v>
      </c>
      <c r="D615" s="111" t="s">
        <v>95</v>
      </c>
      <c r="E615" s="18" t="s">
        <v>1424</v>
      </c>
      <c r="F615" s="4" t="str">
        <f t="shared" si="33"/>
        <v>EUB09D700744</v>
      </c>
      <c r="G615" s="4">
        <v>4123</v>
      </c>
      <c r="H615" s="4"/>
      <c r="J615" s="18" t="str">
        <f t="shared" si="34"/>
        <v>Nem Heineken Költség</v>
      </c>
      <c r="K615" s="2" t="str">
        <f t="shared" si="35"/>
        <v/>
      </c>
    </row>
    <row r="616" spans="1:11" x14ac:dyDescent="0.25">
      <c r="A616" s="364">
        <v>45308</v>
      </c>
      <c r="B616" s="2" t="s">
        <v>77</v>
      </c>
      <c r="C616" s="22" t="s">
        <v>1420</v>
      </c>
      <c r="D616" s="111" t="s">
        <v>95</v>
      </c>
      <c r="E616" s="18" t="s">
        <v>1419</v>
      </c>
      <c r="F616" s="4" t="str">
        <f t="shared" si="33"/>
        <v>PTP200R239151</v>
      </c>
      <c r="G616" s="4">
        <v>959</v>
      </c>
      <c r="H616" s="4"/>
      <c r="J616" s="18" t="str">
        <f t="shared" si="34"/>
        <v>Nem Heineken Költség</v>
      </c>
      <c r="K616" s="2" t="str">
        <f t="shared" si="35"/>
        <v/>
      </c>
    </row>
    <row r="617" spans="1:11" x14ac:dyDescent="0.25">
      <c r="A617" s="364">
        <v>45308</v>
      </c>
      <c r="B617" s="2" t="s">
        <v>8</v>
      </c>
      <c r="C617" s="22" t="s">
        <v>1417</v>
      </c>
      <c r="D617" s="111" t="s">
        <v>95</v>
      </c>
      <c r="E617" s="18" t="s">
        <v>1416</v>
      </c>
      <c r="F617" s="4" t="str">
        <f t="shared" si="33"/>
        <v>EUB09D700744</v>
      </c>
      <c r="G617" s="4">
        <v>4123</v>
      </c>
      <c r="H617" s="4"/>
      <c r="J617" s="18" t="str">
        <f t="shared" si="34"/>
        <v>Nem Heineken Költség</v>
      </c>
      <c r="K617" s="2" t="str">
        <f t="shared" si="35"/>
        <v/>
      </c>
    </row>
    <row r="618" spans="1:11" x14ac:dyDescent="0.25">
      <c r="A618" s="364">
        <v>45308</v>
      </c>
      <c r="B618" s="2" t="s">
        <v>10</v>
      </c>
      <c r="C618" s="22" t="s">
        <v>1421</v>
      </c>
      <c r="D618" s="111" t="s">
        <v>95</v>
      </c>
      <c r="E618" s="18" t="s">
        <v>1422</v>
      </c>
      <c r="F618" s="4" t="str">
        <f t="shared" si="33"/>
        <v>EUB09D700794</v>
      </c>
      <c r="G618" s="4">
        <v>3590</v>
      </c>
      <c r="H618" s="4"/>
      <c r="J618" s="18" t="str">
        <f t="shared" si="34"/>
        <v>Nem Heineken Költség</v>
      </c>
      <c r="K618" s="2" t="str">
        <f t="shared" si="35"/>
        <v/>
      </c>
    </row>
    <row r="619" spans="1:11" x14ac:dyDescent="0.25">
      <c r="A619" s="364">
        <v>45308</v>
      </c>
      <c r="B619" s="2" t="s">
        <v>10</v>
      </c>
      <c r="C619" s="22" t="s">
        <v>1417</v>
      </c>
      <c r="D619" s="111" t="s">
        <v>95</v>
      </c>
      <c r="E619" s="18" t="s">
        <v>1418</v>
      </c>
      <c r="F619" s="4" t="str">
        <f t="shared" si="33"/>
        <v>EUB09D700794</v>
      </c>
      <c r="G619" s="4">
        <v>3590</v>
      </c>
      <c r="H619" s="4"/>
      <c r="J619" s="18" t="str">
        <f t="shared" si="34"/>
        <v>Nem Heineken Költség</v>
      </c>
      <c r="K619" s="2" t="str">
        <f t="shared" si="35"/>
        <v/>
      </c>
    </row>
    <row r="620" spans="1:11" x14ac:dyDescent="0.25">
      <c r="A620" s="364">
        <v>45307</v>
      </c>
      <c r="B620" s="2" t="s">
        <v>77</v>
      </c>
      <c r="C620" s="533" t="s">
        <v>1729</v>
      </c>
      <c r="D620" s="111" t="s">
        <v>95</v>
      </c>
      <c r="E620" s="346" t="s">
        <v>1415</v>
      </c>
      <c r="F620" s="216" t="str">
        <f t="shared" si="33"/>
        <v>PTP200R239151</v>
      </c>
      <c r="G620" s="216">
        <v>951</v>
      </c>
      <c r="H620" s="4"/>
      <c r="I620" s="2" t="s">
        <v>1728</v>
      </c>
      <c r="J620" s="18" t="str">
        <f t="shared" si="34"/>
        <v>SM-2024/717</v>
      </c>
      <c r="K620" s="2">
        <f t="shared" si="35"/>
        <v>184.29</v>
      </c>
    </row>
    <row r="621" spans="1:11" x14ac:dyDescent="0.25">
      <c r="A621" s="364">
        <v>45307</v>
      </c>
      <c r="B621" s="2" t="s">
        <v>1217</v>
      </c>
      <c r="C621" s="22" t="s">
        <v>1412</v>
      </c>
      <c r="D621" s="111" t="s">
        <v>95</v>
      </c>
      <c r="E621" s="18" t="s">
        <v>1413</v>
      </c>
      <c r="F621" s="4" t="str">
        <f t="shared" si="33"/>
        <v>Nincs Adat</v>
      </c>
      <c r="G621" s="4"/>
      <c r="H621" s="4"/>
      <c r="J621" s="18" t="str">
        <f t="shared" si="34"/>
        <v>Nem Heineken Költség</v>
      </c>
      <c r="K621" s="2" t="str">
        <f t="shared" si="35"/>
        <v/>
      </c>
    </row>
    <row r="622" spans="1:11" x14ac:dyDescent="0.25">
      <c r="A622" s="364">
        <v>45307</v>
      </c>
      <c r="B622" s="2" t="s">
        <v>1220</v>
      </c>
      <c r="C622" s="22" t="s">
        <v>1410</v>
      </c>
      <c r="D622" s="111" t="s">
        <v>95</v>
      </c>
      <c r="E622" s="18" t="s">
        <v>1411</v>
      </c>
      <c r="F622" s="4" t="str">
        <f t="shared" si="33"/>
        <v>Nincs Adat</v>
      </c>
      <c r="G622" s="4"/>
      <c r="H622" s="4"/>
      <c r="J622" s="18" t="str">
        <f t="shared" si="34"/>
        <v>Nem Heineken Költség</v>
      </c>
      <c r="K622" s="2" t="str">
        <f t="shared" si="35"/>
        <v/>
      </c>
    </row>
    <row r="623" spans="1:11" x14ac:dyDescent="0.25">
      <c r="A623" s="364">
        <v>45307</v>
      </c>
      <c r="B623" s="2" t="s">
        <v>32</v>
      </c>
      <c r="C623" s="22" t="s">
        <v>1408</v>
      </c>
      <c r="D623" s="111" t="s">
        <v>95</v>
      </c>
      <c r="E623" s="18" t="s">
        <v>1409</v>
      </c>
      <c r="F623" s="4" t="str">
        <f t="shared" si="33"/>
        <v>Nincs Adat</v>
      </c>
      <c r="G623" s="4"/>
      <c r="H623" s="4"/>
      <c r="J623" s="18" t="str">
        <f t="shared" si="34"/>
        <v>Nem Heineken Költség</v>
      </c>
      <c r="K623" s="2" t="str">
        <f t="shared" si="35"/>
        <v/>
      </c>
    </row>
    <row r="624" spans="1:11" x14ac:dyDescent="0.25">
      <c r="A624" s="364">
        <v>45307</v>
      </c>
      <c r="B624" s="2" t="s">
        <v>1004</v>
      </c>
      <c r="C624" s="22" t="s">
        <v>1406</v>
      </c>
      <c r="D624" s="111" t="s">
        <v>95</v>
      </c>
      <c r="E624" s="18" t="s">
        <v>1407</v>
      </c>
      <c r="F624" s="4" t="str">
        <f t="shared" si="33"/>
        <v>Nincs Adat</v>
      </c>
      <c r="G624" s="4"/>
      <c r="H624" s="4"/>
      <c r="J624" s="18" t="str">
        <f t="shared" si="34"/>
        <v>Nem Heineken Költség</v>
      </c>
      <c r="K624" s="2" t="str">
        <f t="shared" si="35"/>
        <v/>
      </c>
    </row>
    <row r="625" spans="1:11" ht="28.9" customHeight="1" x14ac:dyDescent="0.25">
      <c r="A625" s="364">
        <v>45306</v>
      </c>
      <c r="B625" s="2" t="s">
        <v>20</v>
      </c>
      <c r="C625" s="22" t="s">
        <v>1405</v>
      </c>
      <c r="D625" s="111" t="s">
        <v>95</v>
      </c>
      <c r="E625" s="18" t="s">
        <v>1404</v>
      </c>
      <c r="F625" s="4" t="str">
        <f t="shared" si="33"/>
        <v>EUB09D700832</v>
      </c>
      <c r="G625" s="4">
        <v>3540</v>
      </c>
      <c r="H625" s="4"/>
      <c r="J625" s="18" t="str">
        <f t="shared" si="34"/>
        <v>Nem Heineken Költség</v>
      </c>
      <c r="K625" s="2" t="str">
        <f t="shared" si="35"/>
        <v/>
      </c>
    </row>
    <row r="626" spans="1:11" x14ac:dyDescent="0.25">
      <c r="A626" s="364">
        <v>45306</v>
      </c>
      <c r="B626" s="2" t="s">
        <v>16</v>
      </c>
      <c r="C626" s="22" t="s">
        <v>1355</v>
      </c>
      <c r="D626" s="111" t="s">
        <v>95</v>
      </c>
      <c r="E626" s="18" t="s">
        <v>1403</v>
      </c>
      <c r="F626" s="4" t="str">
        <f t="shared" si="33"/>
        <v>EUB09D700851</v>
      </c>
      <c r="G626" s="4">
        <v>3849</v>
      </c>
      <c r="H626" s="4"/>
      <c r="J626" s="18" t="str">
        <f t="shared" si="34"/>
        <v>Nem Heineken Költség</v>
      </c>
      <c r="K626" s="2" t="str">
        <f t="shared" si="35"/>
        <v/>
      </c>
    </row>
    <row r="627" spans="1:11" x14ac:dyDescent="0.25">
      <c r="A627" s="364">
        <v>45306</v>
      </c>
      <c r="B627" s="2" t="s">
        <v>157</v>
      </c>
      <c r="C627" s="22" t="s">
        <v>1401</v>
      </c>
      <c r="D627" s="111" t="s">
        <v>95</v>
      </c>
      <c r="E627" s="18" t="s">
        <v>1402</v>
      </c>
      <c r="F627" s="4" t="str">
        <f t="shared" si="33"/>
        <v>F24537B00021</v>
      </c>
      <c r="G627" s="4">
        <v>5595</v>
      </c>
      <c r="H627" s="4"/>
      <c r="J627" s="18" t="str">
        <f t="shared" si="34"/>
        <v>Nem Heineken Költség</v>
      </c>
      <c r="K627" s="2" t="str">
        <f t="shared" si="35"/>
        <v/>
      </c>
    </row>
    <row r="628" spans="1:11" x14ac:dyDescent="0.25">
      <c r="A628" s="364">
        <v>45303.494004050925</v>
      </c>
      <c r="B628" s="2" t="s">
        <v>81</v>
      </c>
      <c r="C628" s="543" t="s">
        <v>1389</v>
      </c>
      <c r="D628" s="111" t="s">
        <v>95</v>
      </c>
      <c r="E628" s="346" t="s">
        <v>1390</v>
      </c>
      <c r="F628" s="216" t="str">
        <f t="shared" si="33"/>
        <v>PTP200R239155</v>
      </c>
      <c r="G628" s="216">
        <v>358</v>
      </c>
      <c r="H628" s="4"/>
      <c r="I628" s="2" t="s">
        <v>1728</v>
      </c>
      <c r="J628" s="18" t="str">
        <f t="shared" si="34"/>
        <v>SM-2024/533</v>
      </c>
      <c r="K628" s="2">
        <f t="shared" si="35"/>
        <v>211.07</v>
      </c>
    </row>
    <row r="629" spans="1:11" x14ac:dyDescent="0.25">
      <c r="A629" s="364">
        <v>45303.493185648149</v>
      </c>
      <c r="B629" s="2" t="s">
        <v>79</v>
      </c>
      <c r="C629" s="543" t="s">
        <v>1386</v>
      </c>
      <c r="D629" s="111" t="s">
        <v>95</v>
      </c>
      <c r="E629" s="346" t="s">
        <v>1387</v>
      </c>
      <c r="F629" s="216" t="str">
        <f t="shared" si="33"/>
        <v>PTP200R239153</v>
      </c>
      <c r="G629" s="216">
        <v>1443</v>
      </c>
      <c r="H629" s="4"/>
      <c r="I629" s="2" t="s">
        <v>1728</v>
      </c>
      <c r="J629" s="18" t="str">
        <f t="shared" si="34"/>
        <v>SM-2024/537</v>
      </c>
      <c r="K629" s="2">
        <f t="shared" si="35"/>
        <v>512.41999999999996</v>
      </c>
    </row>
    <row r="630" spans="1:11" ht="30" x14ac:dyDescent="0.25">
      <c r="A630" s="364">
        <v>45303.492771064812</v>
      </c>
      <c r="B630" s="2" t="s">
        <v>78</v>
      </c>
      <c r="C630" s="544" t="s">
        <v>1388</v>
      </c>
      <c r="D630" s="111" t="s">
        <v>95</v>
      </c>
      <c r="E630" s="18" t="s">
        <v>1385</v>
      </c>
      <c r="F630" s="4" t="str">
        <f t="shared" si="33"/>
        <v>PTP200R239152</v>
      </c>
      <c r="G630" s="4">
        <v>1593</v>
      </c>
      <c r="H630" s="4"/>
      <c r="J630" s="18" t="str">
        <f t="shared" si="34"/>
        <v>Nem Heineken Költség</v>
      </c>
      <c r="K630" s="2" t="str">
        <f t="shared" si="35"/>
        <v/>
      </c>
    </row>
    <row r="631" spans="1:11" x14ac:dyDescent="0.25">
      <c r="A631" s="364">
        <v>45303.492309606481</v>
      </c>
      <c r="B631" s="2" t="s">
        <v>25</v>
      </c>
      <c r="C631" s="22" t="s">
        <v>1383</v>
      </c>
      <c r="D631" s="111" t="s">
        <v>95</v>
      </c>
      <c r="E631" s="18" t="s">
        <v>1384</v>
      </c>
      <c r="F631" s="4" t="str">
        <f t="shared" si="33"/>
        <v>EUB09D700741</v>
      </c>
      <c r="G631" s="4">
        <v>2332</v>
      </c>
      <c r="H631" s="4"/>
      <c r="J631" s="18" t="str">
        <f t="shared" si="34"/>
        <v>Nem Heineken Költség</v>
      </c>
      <c r="K631" s="2" t="str">
        <f t="shared" si="35"/>
        <v/>
      </c>
    </row>
    <row r="632" spans="1:11" x14ac:dyDescent="0.25">
      <c r="A632" s="364">
        <v>45303.491926620372</v>
      </c>
      <c r="B632" s="2" t="s">
        <v>25</v>
      </c>
      <c r="C632" s="22" t="s">
        <v>1382</v>
      </c>
      <c r="D632" s="111" t="s">
        <v>95</v>
      </c>
      <c r="E632" s="18" t="s">
        <v>1398</v>
      </c>
      <c r="F632" s="4" t="str">
        <f t="shared" si="33"/>
        <v>EUB09D700741</v>
      </c>
      <c r="G632" s="4">
        <v>2332</v>
      </c>
      <c r="H632" s="4"/>
      <c r="J632" s="18" t="str">
        <f t="shared" si="34"/>
        <v>Nem Heineken Költség</v>
      </c>
      <c r="K632" s="2" t="str">
        <f t="shared" si="35"/>
        <v/>
      </c>
    </row>
    <row r="633" spans="1:11" x14ac:dyDescent="0.25">
      <c r="A633" s="364">
        <v>45303.491349884258</v>
      </c>
      <c r="B633" s="2" t="s">
        <v>78</v>
      </c>
      <c r="C633" s="543" t="s">
        <v>1379</v>
      </c>
      <c r="D633" s="111" t="s">
        <v>95</v>
      </c>
      <c r="E633" s="346" t="s">
        <v>1381</v>
      </c>
      <c r="F633" s="216" t="str">
        <f t="shared" si="33"/>
        <v>PTP200R239152</v>
      </c>
      <c r="G633" s="216">
        <v>1593</v>
      </c>
      <c r="H633" s="4"/>
      <c r="I633" s="2" t="s">
        <v>1728</v>
      </c>
      <c r="J633" s="18" t="str">
        <f t="shared" si="34"/>
        <v>SM-2024/448</v>
      </c>
      <c r="K633" s="2">
        <f t="shared" si="35"/>
        <v>111.76</v>
      </c>
    </row>
    <row r="634" spans="1:11" x14ac:dyDescent="0.25">
      <c r="A634" s="364">
        <v>45303.490994907406</v>
      </c>
      <c r="B634" s="2" t="s">
        <v>79</v>
      </c>
      <c r="C634" s="543" t="s">
        <v>1379</v>
      </c>
      <c r="D634" s="111" t="s">
        <v>95</v>
      </c>
      <c r="E634" s="346" t="s">
        <v>1380</v>
      </c>
      <c r="F634" s="216" t="str">
        <f t="shared" si="33"/>
        <v>PTP200R239153</v>
      </c>
      <c r="G634" s="216">
        <v>1441</v>
      </c>
      <c r="H634" s="4"/>
      <c r="I634" s="2" t="s">
        <v>1728</v>
      </c>
      <c r="J634" s="18" t="str">
        <f t="shared" si="34"/>
        <v>SM-2024/447</v>
      </c>
      <c r="K634" s="2">
        <f t="shared" si="35"/>
        <v>233.43</v>
      </c>
    </row>
    <row r="635" spans="1:11" ht="49.9" customHeight="1" x14ac:dyDescent="0.25">
      <c r="A635" s="364">
        <v>45303.490339814816</v>
      </c>
      <c r="B635" s="2" t="s">
        <v>16</v>
      </c>
      <c r="C635" s="22" t="s">
        <v>1377</v>
      </c>
      <c r="D635" s="111" t="s">
        <v>95</v>
      </c>
      <c r="E635" s="18" t="s">
        <v>1378</v>
      </c>
      <c r="F635" s="4" t="str">
        <f t="shared" si="33"/>
        <v>EUB09D700851</v>
      </c>
      <c r="G635" s="4">
        <v>3848</v>
      </c>
      <c r="H635" s="4"/>
      <c r="J635" s="18" t="str">
        <f t="shared" si="34"/>
        <v>Nem Heineken Költség</v>
      </c>
      <c r="K635" s="2" t="str">
        <f t="shared" si="35"/>
        <v/>
      </c>
    </row>
    <row r="636" spans="1:11" x14ac:dyDescent="0.25">
      <c r="A636" s="364">
        <v>45303.489957986108</v>
      </c>
      <c r="B636" s="2" t="s">
        <v>1203</v>
      </c>
      <c r="C636" s="22" t="s">
        <v>1375</v>
      </c>
      <c r="D636" s="111" t="s">
        <v>95</v>
      </c>
      <c r="E636" s="18" t="s">
        <v>1376</v>
      </c>
      <c r="F636" s="4" t="str">
        <f t="shared" si="33"/>
        <v>Nincs Adat</v>
      </c>
      <c r="G636" s="4">
        <v>1229</v>
      </c>
      <c r="H636" s="4"/>
      <c r="J636" s="18" t="str">
        <f t="shared" si="34"/>
        <v>Nem Heineken Költség</v>
      </c>
      <c r="K636" s="2" t="str">
        <f t="shared" si="35"/>
        <v/>
      </c>
    </row>
    <row r="637" spans="1:11" ht="49.9" customHeight="1" x14ac:dyDescent="0.25">
      <c r="A637" s="364">
        <v>45303.489571874998</v>
      </c>
      <c r="B637" s="2" t="s">
        <v>1243</v>
      </c>
      <c r="C637" s="22" t="s">
        <v>1373</v>
      </c>
      <c r="D637" s="111" t="s">
        <v>95</v>
      </c>
      <c r="E637" s="18" t="s">
        <v>1374</v>
      </c>
      <c r="F637" s="4" t="str">
        <f t="shared" si="33"/>
        <v>Nincs Adat</v>
      </c>
      <c r="G637" s="4"/>
      <c r="H637" s="4"/>
      <c r="J637" s="18" t="str">
        <f t="shared" si="34"/>
        <v>Nem Heineken Költség</v>
      </c>
      <c r="K637" s="2" t="str">
        <f t="shared" si="35"/>
        <v/>
      </c>
    </row>
    <row r="638" spans="1:11" x14ac:dyDescent="0.25">
      <c r="A638" s="364">
        <v>45303.488893981485</v>
      </c>
      <c r="B638" s="2" t="s">
        <v>89</v>
      </c>
      <c r="C638" s="22" t="s">
        <v>1371</v>
      </c>
      <c r="D638" s="111" t="s">
        <v>95</v>
      </c>
      <c r="E638" s="18" t="s">
        <v>1372</v>
      </c>
      <c r="F638" s="4" t="str">
        <f t="shared" si="33"/>
        <v>Nincs Adat</v>
      </c>
      <c r="G638" s="4">
        <v>1450</v>
      </c>
      <c r="H638" s="4"/>
      <c r="J638" s="18" t="str">
        <f t="shared" si="34"/>
        <v>Nem Heineken Költség</v>
      </c>
      <c r="K638" s="2" t="str">
        <f t="shared" si="35"/>
        <v/>
      </c>
    </row>
    <row r="639" spans="1:11" x14ac:dyDescent="0.25">
      <c r="A639" s="364">
        <v>45303.488444097224</v>
      </c>
      <c r="B639" s="2" t="s">
        <v>3</v>
      </c>
      <c r="C639" s="533" t="s">
        <v>1369</v>
      </c>
      <c r="D639" s="111" t="s">
        <v>95</v>
      </c>
      <c r="E639" s="346" t="s">
        <v>1370</v>
      </c>
      <c r="F639" s="216" t="str">
        <f t="shared" si="33"/>
        <v>JA2N1E700428</v>
      </c>
      <c r="G639" s="216">
        <v>1673</v>
      </c>
      <c r="H639" s="4"/>
      <c r="I639" s="2" t="s">
        <v>1728</v>
      </c>
      <c r="J639" s="18" t="str">
        <f t="shared" si="34"/>
        <v>SM-2024/235</v>
      </c>
      <c r="K639" s="2">
        <f t="shared" si="35"/>
        <v>234.75</v>
      </c>
    </row>
    <row r="640" spans="1:11" x14ac:dyDescent="0.25">
      <c r="A640" s="364">
        <v>45303.488126157405</v>
      </c>
      <c r="B640" s="2" t="s">
        <v>6</v>
      </c>
      <c r="C640" s="22" t="s">
        <v>1355</v>
      </c>
      <c r="D640" s="111" t="s">
        <v>95</v>
      </c>
      <c r="E640" s="18" t="s">
        <v>1368</v>
      </c>
      <c r="F640" s="4" t="str">
        <f t="shared" si="33"/>
        <v>EUB09D700742</v>
      </c>
      <c r="G640" s="4">
        <v>4490</v>
      </c>
      <c r="H640" s="4"/>
      <c r="J640" s="18" t="str">
        <f t="shared" si="34"/>
        <v>Nem Heineken Költség</v>
      </c>
      <c r="K640" s="2" t="str">
        <f t="shared" si="35"/>
        <v/>
      </c>
    </row>
    <row r="641" spans="1:11" x14ac:dyDescent="0.25">
      <c r="A641" s="364">
        <v>45303.487835879627</v>
      </c>
      <c r="B641" s="2" t="s">
        <v>7</v>
      </c>
      <c r="C641" s="22" t="s">
        <v>1355</v>
      </c>
      <c r="D641" s="111" t="s">
        <v>95</v>
      </c>
      <c r="E641" s="18" t="s">
        <v>1367</v>
      </c>
      <c r="F641" s="4" t="str">
        <f t="shared" si="33"/>
        <v>EUB09D700743</v>
      </c>
      <c r="G641" s="4">
        <v>4190</v>
      </c>
      <c r="H641" s="4"/>
      <c r="J641" s="18" t="str">
        <f t="shared" si="34"/>
        <v>Nem Heineken Költség</v>
      </c>
      <c r="K641" s="2" t="str">
        <f t="shared" si="35"/>
        <v/>
      </c>
    </row>
    <row r="642" spans="1:11" x14ac:dyDescent="0.25">
      <c r="A642" s="364">
        <v>45303.487554398147</v>
      </c>
      <c r="B642" s="2" t="s">
        <v>14</v>
      </c>
      <c r="C642" s="22" t="s">
        <v>1355</v>
      </c>
      <c r="D642" s="111" t="s">
        <v>95</v>
      </c>
      <c r="E642" s="18" t="s">
        <v>1366</v>
      </c>
      <c r="F642" s="4" t="str">
        <f t="shared" si="33"/>
        <v>EUB09D700269</v>
      </c>
      <c r="G642" s="4">
        <v>3217</v>
      </c>
      <c r="H642" s="4"/>
      <c r="J642" s="18" t="str">
        <f t="shared" si="34"/>
        <v>Nem Heineken Költség</v>
      </c>
      <c r="K642" s="2" t="str">
        <f t="shared" si="35"/>
        <v/>
      </c>
    </row>
    <row r="643" spans="1:11" x14ac:dyDescent="0.25">
      <c r="A643" s="364">
        <v>45303</v>
      </c>
      <c r="B643" s="2" t="s">
        <v>80</v>
      </c>
      <c r="C643" s="543" t="s">
        <v>1399</v>
      </c>
      <c r="D643" s="111" t="s">
        <v>95</v>
      </c>
      <c r="E643" s="346" t="s">
        <v>1400</v>
      </c>
      <c r="F643" s="216" t="str">
        <f t="shared" ref="F643:F706" si="36">IFERROR(VLOOKUP(B643,targlist02,3,0),"Nincs Adat")</f>
        <v>PTP200R239154</v>
      </c>
      <c r="G643" s="216">
        <v>15</v>
      </c>
      <c r="H643" s="4"/>
      <c r="I643" s="2" t="s">
        <v>1728</v>
      </c>
      <c r="J643" s="18" t="str">
        <f t="shared" ref="J643:J706" si="37">IF(I643="H",IFERROR(VLOOKUP(E643,podone,1,0),"Nincs Po"),"Nem Heineken Költség")</f>
        <v>SM-2024/593</v>
      </c>
      <c r="K643" s="2">
        <f t="shared" si="35"/>
        <v>170.69</v>
      </c>
    </row>
    <row r="644" spans="1:11" x14ac:dyDescent="0.25">
      <c r="A644" s="364">
        <v>45303</v>
      </c>
      <c r="B644" s="2" t="s">
        <v>13</v>
      </c>
      <c r="C644" s="22" t="s">
        <v>1394</v>
      </c>
      <c r="D644" s="111" t="s">
        <v>95</v>
      </c>
      <c r="E644" s="18" t="s">
        <v>1395</v>
      </c>
      <c r="F644" s="4" t="str">
        <f t="shared" si="36"/>
        <v>EUB09D700268</v>
      </c>
      <c r="G644" s="4">
        <v>3345</v>
      </c>
      <c r="H644" s="4"/>
      <c r="J644" s="18" t="str">
        <f t="shared" si="37"/>
        <v>Nem Heineken Költség</v>
      </c>
      <c r="K644" s="2" t="str">
        <f t="shared" si="35"/>
        <v/>
      </c>
    </row>
    <row r="645" spans="1:11" x14ac:dyDescent="0.25">
      <c r="A645" s="364">
        <v>45303</v>
      </c>
      <c r="B645" s="2" t="s">
        <v>21</v>
      </c>
      <c r="C645" s="22" t="s">
        <v>1392</v>
      </c>
      <c r="D645" s="111" t="s">
        <v>95</v>
      </c>
      <c r="E645" s="18" t="s">
        <v>1393</v>
      </c>
      <c r="F645" s="4" t="str">
        <f t="shared" si="36"/>
        <v>EUB09D700842</v>
      </c>
      <c r="G645" s="4">
        <v>3775</v>
      </c>
      <c r="H645" s="4"/>
      <c r="J645" s="18" t="str">
        <f t="shared" si="37"/>
        <v>Nem Heineken Költség</v>
      </c>
      <c r="K645" s="2" t="str">
        <f t="shared" si="35"/>
        <v/>
      </c>
    </row>
    <row r="646" spans="1:11" x14ac:dyDescent="0.25">
      <c r="A646" s="364">
        <v>45303</v>
      </c>
      <c r="B646" s="2" t="s">
        <v>10</v>
      </c>
      <c r="C646" s="22" t="s">
        <v>1396</v>
      </c>
      <c r="D646" s="111" t="s">
        <v>95</v>
      </c>
      <c r="E646" s="18" t="s">
        <v>1397</v>
      </c>
      <c r="F646" s="4" t="str">
        <f t="shared" si="36"/>
        <v>EUB09D700794</v>
      </c>
      <c r="G646" s="4">
        <v>3585</v>
      </c>
      <c r="H646" s="4"/>
      <c r="J646" s="18" t="str">
        <f t="shared" si="37"/>
        <v>Nem Heineken Költség</v>
      </c>
      <c r="K646" s="2" t="str">
        <f t="shared" si="35"/>
        <v/>
      </c>
    </row>
    <row r="647" spans="1:11" x14ac:dyDescent="0.25">
      <c r="A647" s="364">
        <v>45296</v>
      </c>
      <c r="B647" s="2" t="s">
        <v>8</v>
      </c>
      <c r="C647" s="22" t="s">
        <v>1355</v>
      </c>
      <c r="D647" s="111" t="s">
        <v>95</v>
      </c>
      <c r="E647" s="18" t="s">
        <v>1364</v>
      </c>
      <c r="F647" s="4" t="str">
        <f t="shared" si="36"/>
        <v>EUB09D700744</v>
      </c>
      <c r="G647" s="4">
        <v>4040</v>
      </c>
      <c r="H647" s="4"/>
      <c r="J647" s="18" t="str">
        <f t="shared" si="37"/>
        <v>Nem Heineken Költség</v>
      </c>
      <c r="K647" s="2" t="str">
        <f t="shared" si="35"/>
        <v/>
      </c>
    </row>
    <row r="648" spans="1:11" x14ac:dyDescent="0.25">
      <c r="A648" s="364">
        <v>45296</v>
      </c>
      <c r="B648" s="2" t="s">
        <v>26</v>
      </c>
      <c r="C648" s="22" t="s">
        <v>1355</v>
      </c>
      <c r="D648" s="111" t="s">
        <v>95</v>
      </c>
      <c r="E648" s="18" t="s">
        <v>1363</v>
      </c>
      <c r="F648" s="4" t="str">
        <f t="shared" si="36"/>
        <v>EFC09D60002</v>
      </c>
      <c r="G648" s="4">
        <v>6042</v>
      </c>
      <c r="H648" s="4"/>
      <c r="J648" s="18" t="str">
        <f t="shared" si="37"/>
        <v>Nem Heineken Költség</v>
      </c>
      <c r="K648" s="2" t="str">
        <f t="shared" si="35"/>
        <v/>
      </c>
    </row>
    <row r="649" spans="1:11" x14ac:dyDescent="0.25">
      <c r="A649" s="364">
        <v>45296</v>
      </c>
      <c r="B649" s="2" t="s">
        <v>11</v>
      </c>
      <c r="C649" s="22" t="s">
        <v>1355</v>
      </c>
      <c r="D649" s="111" t="s">
        <v>95</v>
      </c>
      <c r="E649" s="18" t="s">
        <v>1362</v>
      </c>
      <c r="F649" s="4" t="str">
        <f t="shared" si="36"/>
        <v>EUB09D700850</v>
      </c>
      <c r="G649" s="4">
        <v>5014</v>
      </c>
      <c r="H649" s="4"/>
      <c r="J649" s="18" t="str">
        <f t="shared" si="37"/>
        <v>Nem Heineken Költség</v>
      </c>
      <c r="K649" s="2" t="str">
        <f t="shared" si="35"/>
        <v/>
      </c>
    </row>
    <row r="650" spans="1:11" x14ac:dyDescent="0.25">
      <c r="A650" s="364">
        <v>45296</v>
      </c>
      <c r="B650" s="2" t="s">
        <v>10</v>
      </c>
      <c r="C650" s="22" t="s">
        <v>1355</v>
      </c>
      <c r="D650" s="111" t="s">
        <v>95</v>
      </c>
      <c r="E650" s="18" t="s">
        <v>1365</v>
      </c>
      <c r="F650" s="4" t="str">
        <f t="shared" si="36"/>
        <v>EUB09D700794</v>
      </c>
      <c r="G650" s="4">
        <v>3565</v>
      </c>
      <c r="H650" s="4"/>
      <c r="J650" s="18" t="str">
        <f t="shared" si="37"/>
        <v>Nem Heineken Költség</v>
      </c>
      <c r="K650" s="2" t="str">
        <f t="shared" si="35"/>
        <v/>
      </c>
    </row>
    <row r="651" spans="1:11" ht="49.9" customHeight="1" x14ac:dyDescent="0.25">
      <c r="A651" s="364">
        <v>45294.623420601849</v>
      </c>
      <c r="B651" s="2" t="s">
        <v>141</v>
      </c>
      <c r="C651" s="533" t="s">
        <v>1357</v>
      </c>
      <c r="D651" s="111" t="s">
        <v>95</v>
      </c>
      <c r="E651" s="346" t="s">
        <v>1358</v>
      </c>
      <c r="F651" s="216" t="str">
        <f t="shared" si="36"/>
        <v>LO20N2RCB13B00110</v>
      </c>
      <c r="G651" s="216">
        <v>1120</v>
      </c>
      <c r="H651" s="4"/>
      <c r="I651" s="2" t="s">
        <v>1728</v>
      </c>
      <c r="J651" s="18" t="str">
        <f t="shared" si="37"/>
        <v>SM-2024/102</v>
      </c>
      <c r="K651" s="2">
        <f t="shared" si="35"/>
        <v>374.4</v>
      </c>
    </row>
    <row r="652" spans="1:11" x14ac:dyDescent="0.25">
      <c r="A652" s="364">
        <v>45294.62308020833</v>
      </c>
      <c r="B652" s="2" t="s">
        <v>4</v>
      </c>
      <c r="C652" s="22" t="s">
        <v>1355</v>
      </c>
      <c r="D652" s="111" t="s">
        <v>95</v>
      </c>
      <c r="E652" s="18" t="s">
        <v>1356</v>
      </c>
      <c r="F652" s="4" t="str">
        <f t="shared" si="36"/>
        <v>JAG2N1E701604</v>
      </c>
      <c r="G652" s="4">
        <v>1334</v>
      </c>
      <c r="H652" s="4"/>
      <c r="J652" s="18" t="str">
        <f t="shared" si="37"/>
        <v>Nem Heineken Költség</v>
      </c>
      <c r="K652" s="2" t="str">
        <f t="shared" si="35"/>
        <v/>
      </c>
    </row>
    <row r="653" spans="1:11" ht="49.9" customHeight="1" x14ac:dyDescent="0.25">
      <c r="A653" s="364">
        <v>45294.622517245371</v>
      </c>
      <c r="B653" s="2" t="s">
        <v>4</v>
      </c>
      <c r="C653" s="22" t="s">
        <v>1352</v>
      </c>
      <c r="D653" s="111" t="s">
        <v>95</v>
      </c>
      <c r="E653" s="18" t="s">
        <v>1353</v>
      </c>
      <c r="F653" s="4" t="str">
        <f t="shared" si="36"/>
        <v>JAG2N1E701604</v>
      </c>
      <c r="G653" s="4">
        <v>1333</v>
      </c>
      <c r="H653" s="4"/>
      <c r="J653" s="18" t="str">
        <f t="shared" si="37"/>
        <v>Nem Heineken Költség</v>
      </c>
      <c r="K653" s="2" t="str">
        <f t="shared" si="35"/>
        <v/>
      </c>
    </row>
    <row r="654" spans="1:11" x14ac:dyDescent="0.25">
      <c r="A654" s="364">
        <v>45294.622145023146</v>
      </c>
      <c r="B654" s="2" t="s">
        <v>25</v>
      </c>
      <c r="C654" s="22" t="s">
        <v>1350</v>
      </c>
      <c r="D654" s="111" t="s">
        <v>95</v>
      </c>
      <c r="E654" s="18" t="s">
        <v>1351</v>
      </c>
      <c r="F654" s="4" t="str">
        <f t="shared" si="36"/>
        <v>EUB09D700741</v>
      </c>
      <c r="G654" s="4">
        <v>2179</v>
      </c>
      <c r="H654" s="4"/>
      <c r="J654" s="18" t="str">
        <f t="shared" si="37"/>
        <v>Nem Heineken Költség</v>
      </c>
      <c r="K654" s="2" t="str">
        <f t="shared" si="35"/>
        <v/>
      </c>
    </row>
    <row r="655" spans="1:11" ht="30" x14ac:dyDescent="0.25">
      <c r="A655" s="364">
        <v>45294.621350578702</v>
      </c>
      <c r="B655" s="2" t="s">
        <v>20</v>
      </c>
      <c r="C655" s="35" t="s">
        <v>1348</v>
      </c>
      <c r="D655" s="111" t="s">
        <v>95</v>
      </c>
      <c r="E655" s="18" t="s">
        <v>1349</v>
      </c>
      <c r="F655" s="4" t="str">
        <f t="shared" si="36"/>
        <v>EUB09D700832</v>
      </c>
      <c r="G655" s="4"/>
      <c r="H655" s="4"/>
      <c r="J655" s="18" t="str">
        <f t="shared" si="37"/>
        <v>Nem Heineken Költség</v>
      </c>
      <c r="K655" s="2" t="str">
        <f t="shared" si="35"/>
        <v/>
      </c>
    </row>
    <row r="656" spans="1:11" ht="30" x14ac:dyDescent="0.25">
      <c r="A656" s="364">
        <v>45294.620985995367</v>
      </c>
      <c r="B656" s="2" t="s">
        <v>8</v>
      </c>
      <c r="C656" s="35" t="s">
        <v>1346</v>
      </c>
      <c r="D656" s="111" t="s">
        <v>95</v>
      </c>
      <c r="E656" s="18" t="s">
        <v>1347</v>
      </c>
      <c r="F656" s="4" t="str">
        <f t="shared" si="36"/>
        <v>EUB09D700744</v>
      </c>
      <c r="G656" s="4">
        <v>4027</v>
      </c>
      <c r="H656" s="4"/>
      <c r="J656" s="18" t="str">
        <f t="shared" si="37"/>
        <v>Nem Heineken Költség</v>
      </c>
      <c r="K656" s="2" t="str">
        <f t="shared" si="35"/>
        <v/>
      </c>
    </row>
    <row r="657" spans="1:11" x14ac:dyDescent="0.25">
      <c r="A657" s="364">
        <v>45294.620437500002</v>
      </c>
      <c r="B657" s="2" t="s">
        <v>19</v>
      </c>
      <c r="C657" s="22" t="s">
        <v>1344</v>
      </c>
      <c r="D657" s="111" t="s">
        <v>95</v>
      </c>
      <c r="E657" s="18" t="s">
        <v>1345</v>
      </c>
      <c r="F657" s="4" t="str">
        <f t="shared" si="36"/>
        <v>EUB09D700836</v>
      </c>
      <c r="G657" s="4">
        <v>4878</v>
      </c>
      <c r="H657" s="4"/>
      <c r="J657" s="18" t="str">
        <f t="shared" si="37"/>
        <v>Nem Heineken Költség</v>
      </c>
      <c r="K657" s="2" t="str">
        <f t="shared" si="35"/>
        <v/>
      </c>
    </row>
    <row r="658" spans="1:11" x14ac:dyDescent="0.25">
      <c r="A658" s="364">
        <v>45294.619692708337</v>
      </c>
      <c r="B658" s="2" t="s">
        <v>28</v>
      </c>
      <c r="C658" s="22" t="s">
        <v>1343</v>
      </c>
      <c r="D658" s="111" t="s">
        <v>95</v>
      </c>
      <c r="E658" s="18"/>
      <c r="F658" s="4" t="str">
        <f t="shared" si="36"/>
        <v>Nincs Adat</v>
      </c>
      <c r="G658" s="4"/>
      <c r="H658" s="4"/>
      <c r="J658" s="18" t="str">
        <f t="shared" si="37"/>
        <v>Nem Heineken Költség</v>
      </c>
      <c r="K658" s="2" t="str">
        <f t="shared" si="35"/>
        <v/>
      </c>
    </row>
    <row r="659" spans="1:11" ht="49.9" customHeight="1" x14ac:dyDescent="0.25">
      <c r="A659" s="364">
        <v>45294.619085648148</v>
      </c>
      <c r="B659" s="2" t="s">
        <v>81</v>
      </c>
      <c r="C659" s="532" t="s">
        <v>734</v>
      </c>
      <c r="D659" s="111" t="s">
        <v>95</v>
      </c>
      <c r="E659" s="346" t="s">
        <v>1342</v>
      </c>
      <c r="F659" s="216" t="str">
        <f t="shared" si="36"/>
        <v>PTP200R239155</v>
      </c>
      <c r="G659" s="216">
        <v>349</v>
      </c>
      <c r="H659" s="4"/>
      <c r="I659" s="2" t="s">
        <v>1728</v>
      </c>
      <c r="J659" s="18" t="str">
        <f t="shared" si="37"/>
        <v>SM-2024/31</v>
      </c>
      <c r="K659" s="2">
        <f t="shared" si="35"/>
        <v>114.19</v>
      </c>
    </row>
    <row r="660" spans="1:11" x14ac:dyDescent="0.25">
      <c r="A660" s="364">
        <v>45293.431976388893</v>
      </c>
      <c r="B660" s="2" t="s">
        <v>857</v>
      </c>
      <c r="C660" s="22" t="s">
        <v>1340</v>
      </c>
      <c r="D660" s="111" t="s">
        <v>95</v>
      </c>
      <c r="E660" s="18" t="s">
        <v>1354</v>
      </c>
      <c r="F660" s="4" t="str">
        <f t="shared" si="36"/>
        <v>Nincs Adat</v>
      </c>
      <c r="G660" s="4">
        <v>16</v>
      </c>
      <c r="H660" s="4"/>
      <c r="J660" s="18" t="str">
        <f t="shared" si="37"/>
        <v>Nem Heineken Költség</v>
      </c>
      <c r="K660" s="2" t="str">
        <f t="shared" si="35"/>
        <v/>
      </c>
    </row>
    <row r="661" spans="1:11" x14ac:dyDescent="0.25">
      <c r="A661" s="364">
        <v>45293.410443981484</v>
      </c>
      <c r="B661" s="2" t="s">
        <v>19</v>
      </c>
      <c r="C661" s="22" t="s">
        <v>2012</v>
      </c>
      <c r="D661" s="111" t="s">
        <v>95</v>
      </c>
      <c r="E661" s="18" t="s">
        <v>2042</v>
      </c>
      <c r="F661" s="4" t="str">
        <f t="shared" si="36"/>
        <v>EUB09D700836</v>
      </c>
      <c r="G661" s="4"/>
      <c r="H661" s="4"/>
      <c r="J661" s="18" t="str">
        <f t="shared" si="37"/>
        <v>Nem Heineken Költség</v>
      </c>
      <c r="K661" s="2" t="str">
        <f t="shared" si="35"/>
        <v/>
      </c>
    </row>
    <row r="662" spans="1:11" x14ac:dyDescent="0.25">
      <c r="A662" s="364">
        <v>45293.381983101855</v>
      </c>
      <c r="B662" s="2" t="s">
        <v>157</v>
      </c>
      <c r="C662" s="22" t="s">
        <v>1339</v>
      </c>
      <c r="D662" s="111" t="s">
        <v>95</v>
      </c>
      <c r="E662" s="18" t="s">
        <v>1338</v>
      </c>
      <c r="F662" s="4" t="str">
        <f t="shared" si="36"/>
        <v>F24537B00021</v>
      </c>
      <c r="G662" s="4">
        <v>5589</v>
      </c>
      <c r="H662" s="4">
        <v>2</v>
      </c>
      <c r="J662" s="18" t="str">
        <f t="shared" si="37"/>
        <v>Nem Heineken Költség</v>
      </c>
      <c r="K662" s="2" t="str">
        <f t="shared" si="35"/>
        <v/>
      </c>
    </row>
    <row r="663" spans="1:11" x14ac:dyDescent="0.25">
      <c r="A663" s="364">
        <v>45293.381782523145</v>
      </c>
      <c r="B663" s="2" t="s">
        <v>16</v>
      </c>
      <c r="C663" s="22" t="s">
        <v>1337</v>
      </c>
      <c r="D663" s="111" t="s">
        <v>95</v>
      </c>
      <c r="E663" s="18" t="s">
        <v>1359</v>
      </c>
      <c r="F663" s="4" t="str">
        <f t="shared" si="36"/>
        <v>EUB09D700851</v>
      </c>
      <c r="G663" s="4">
        <v>3844</v>
      </c>
      <c r="H663" s="4"/>
      <c r="J663" s="18" t="str">
        <f t="shared" si="37"/>
        <v>Nem Heineken Költség</v>
      </c>
      <c r="K663" s="2" t="str">
        <f t="shared" si="35"/>
        <v/>
      </c>
    </row>
    <row r="664" spans="1:11" x14ac:dyDescent="0.25">
      <c r="A664" s="364">
        <v>45293.381544791664</v>
      </c>
      <c r="B664" s="2" t="s">
        <v>9</v>
      </c>
      <c r="C664" s="22" t="s">
        <v>1336</v>
      </c>
      <c r="D664" s="111" t="s">
        <v>95</v>
      </c>
      <c r="E664" s="18" t="s">
        <v>1360</v>
      </c>
      <c r="F664" s="4" t="str">
        <f t="shared" si="36"/>
        <v>EUB09D700745</v>
      </c>
      <c r="G664" s="4"/>
      <c r="H664" s="4" t="s">
        <v>1361</v>
      </c>
      <c r="J664" s="18" t="str">
        <f t="shared" si="37"/>
        <v>Nem Heineken Költség</v>
      </c>
      <c r="K664" s="2" t="str">
        <f t="shared" si="35"/>
        <v/>
      </c>
    </row>
    <row r="665" spans="1:11" x14ac:dyDescent="0.25">
      <c r="A665" s="364">
        <v>45293.381372453703</v>
      </c>
      <c r="B665" s="2" t="s">
        <v>79</v>
      </c>
      <c r="C665" s="533" t="s">
        <v>420</v>
      </c>
      <c r="D665" s="111" t="s">
        <v>95</v>
      </c>
      <c r="E665" s="346" t="s">
        <v>1341</v>
      </c>
      <c r="F665" s="216" t="str">
        <f t="shared" si="36"/>
        <v>PTP200R239153</v>
      </c>
      <c r="G665" s="216">
        <v>1417</v>
      </c>
      <c r="H665" s="4"/>
      <c r="I665" s="2" t="s">
        <v>1728</v>
      </c>
      <c r="J665" s="18" t="str">
        <f t="shared" si="37"/>
        <v>SM-2024/30</v>
      </c>
      <c r="K665" s="2">
        <f t="shared" si="35"/>
        <v>451.56</v>
      </c>
    </row>
    <row r="666" spans="1:11" x14ac:dyDescent="0.25">
      <c r="A666" s="364">
        <v>45293.380744097223</v>
      </c>
      <c r="B666" s="2" t="s">
        <v>79</v>
      </c>
      <c r="C666" s="533" t="s">
        <v>722</v>
      </c>
      <c r="D666" s="111" t="s">
        <v>95</v>
      </c>
      <c r="E666" s="346" t="s">
        <v>1335</v>
      </c>
      <c r="F666" s="216" t="str">
        <f t="shared" si="36"/>
        <v>PTP200R239153</v>
      </c>
      <c r="G666" s="216">
        <v>1414</v>
      </c>
      <c r="H666" s="4"/>
      <c r="I666" s="2" t="s">
        <v>1728</v>
      </c>
      <c r="J666" s="18" t="str">
        <f t="shared" si="37"/>
        <v>SM-2023/15200</v>
      </c>
      <c r="K666" s="2">
        <f t="shared" si="35"/>
        <v>114.19</v>
      </c>
    </row>
    <row r="667" spans="1:11" x14ac:dyDescent="0.25">
      <c r="A667" s="364">
        <v>45293.379512962965</v>
      </c>
      <c r="B667" s="2" t="s">
        <v>77</v>
      </c>
      <c r="C667" s="545" t="s">
        <v>1334</v>
      </c>
      <c r="D667" s="111" t="s">
        <v>95</v>
      </c>
      <c r="E667" s="107" t="s">
        <v>1719</v>
      </c>
      <c r="F667" s="4" t="str">
        <f t="shared" si="36"/>
        <v>PTP200R239151</v>
      </c>
      <c r="G667" s="4">
        <v>925</v>
      </c>
      <c r="H667" s="4"/>
      <c r="J667" s="18" t="str">
        <f t="shared" si="37"/>
        <v>Nem Heineken Költség</v>
      </c>
      <c r="K667" s="2" t="str">
        <f t="shared" si="35"/>
        <v/>
      </c>
    </row>
    <row r="668" spans="1:11" x14ac:dyDescent="0.25">
      <c r="A668" s="364">
        <v>45293</v>
      </c>
      <c r="B668" s="2" t="s">
        <v>77</v>
      </c>
      <c r="C668" s="22" t="s">
        <v>1724</v>
      </c>
      <c r="D668" s="111" t="s">
        <v>95</v>
      </c>
      <c r="E668" s="18" t="s">
        <v>1720</v>
      </c>
      <c r="F668" s="4" t="str">
        <f t="shared" si="36"/>
        <v>PTP200R239151</v>
      </c>
      <c r="G668" s="4">
        <v>927</v>
      </c>
      <c r="H668" s="4"/>
      <c r="J668" s="18" t="str">
        <f t="shared" si="37"/>
        <v>Nem Heineken Költség</v>
      </c>
      <c r="K668" s="2" t="str">
        <f t="shared" si="35"/>
        <v/>
      </c>
    </row>
    <row r="669" spans="1:11" x14ac:dyDescent="0.25">
      <c r="A669" s="364">
        <v>45293</v>
      </c>
      <c r="B669" s="2" t="s">
        <v>28</v>
      </c>
      <c r="C669" s="22" t="s">
        <v>1723</v>
      </c>
      <c r="D669" s="111" t="s">
        <v>95</v>
      </c>
      <c r="E669" s="18" t="s">
        <v>1721</v>
      </c>
      <c r="F669" s="4" t="str">
        <f t="shared" si="36"/>
        <v>Nincs Adat</v>
      </c>
      <c r="G669" s="4"/>
      <c r="H669" s="4"/>
      <c r="J669" s="18" t="str">
        <f t="shared" si="37"/>
        <v>Nem Heineken Költség</v>
      </c>
      <c r="K669" s="2" t="str">
        <f t="shared" si="35"/>
        <v/>
      </c>
    </row>
    <row r="670" spans="1:11" ht="15.75" thickBot="1" x14ac:dyDescent="0.3">
      <c r="A670" s="366">
        <v>45287</v>
      </c>
      <c r="B670" s="367" t="s">
        <v>77</v>
      </c>
      <c r="C670" s="546" t="s">
        <v>1725</v>
      </c>
      <c r="D670" s="556" t="s">
        <v>95</v>
      </c>
      <c r="E670" s="369" t="s">
        <v>1719</v>
      </c>
      <c r="F670" s="368" t="str">
        <f t="shared" si="36"/>
        <v>PTP200R239151</v>
      </c>
      <c r="G670" s="368">
        <v>925</v>
      </c>
      <c r="H670" s="368"/>
      <c r="J670" s="18" t="str">
        <f t="shared" si="37"/>
        <v>Nem Heineken Költség</v>
      </c>
      <c r="K670" s="2" t="str">
        <f t="shared" si="35"/>
        <v/>
      </c>
    </row>
    <row r="671" spans="1:11" x14ac:dyDescent="0.25">
      <c r="A671" s="14">
        <v>45280.430054166667</v>
      </c>
      <c r="B671" s="4" t="s">
        <v>1244</v>
      </c>
      <c r="C671" s="22" t="s">
        <v>1332</v>
      </c>
      <c r="D671" s="111" t="s">
        <v>95</v>
      </c>
      <c r="E671" s="18"/>
      <c r="F671" s="4" t="str">
        <f t="shared" si="36"/>
        <v>Nincs Adat</v>
      </c>
      <c r="G671" s="4"/>
      <c r="H671" s="4"/>
      <c r="J671" s="18" t="str">
        <f t="shared" si="37"/>
        <v>Nem Heineken Költség</v>
      </c>
      <c r="K671" s="2" t="str">
        <f t="shared" si="35"/>
        <v/>
      </c>
    </row>
    <row r="672" spans="1:11" x14ac:dyDescent="0.25">
      <c r="A672" s="14">
        <v>45280.429933912033</v>
      </c>
      <c r="B672" s="2" t="s">
        <v>1243</v>
      </c>
      <c r="C672" s="22" t="s">
        <v>1332</v>
      </c>
      <c r="D672" s="111" t="s">
        <v>95</v>
      </c>
      <c r="E672" s="18"/>
      <c r="F672" s="4" t="str">
        <f t="shared" si="36"/>
        <v>Nincs Adat</v>
      </c>
      <c r="G672" s="4"/>
      <c r="H672" s="4"/>
      <c r="J672" s="18" t="str">
        <f t="shared" si="37"/>
        <v>Nem Heineken Költség</v>
      </c>
      <c r="K672" s="2" t="str">
        <f t="shared" si="35"/>
        <v/>
      </c>
    </row>
    <row r="673" spans="1:11" x14ac:dyDescent="0.25">
      <c r="A673" s="14">
        <v>45280.429832638889</v>
      </c>
      <c r="B673" s="2" t="s">
        <v>1242</v>
      </c>
      <c r="C673" s="22" t="s">
        <v>1332</v>
      </c>
      <c r="D673" s="111" t="s">
        <v>95</v>
      </c>
      <c r="E673" s="18"/>
      <c r="F673" s="4" t="str">
        <f t="shared" si="36"/>
        <v>Nincs Adat</v>
      </c>
      <c r="G673" s="4"/>
      <c r="H673" s="4"/>
      <c r="J673" s="18" t="str">
        <f t="shared" si="37"/>
        <v>Nem Heineken Költség</v>
      </c>
      <c r="K673" s="2" t="str">
        <f t="shared" si="35"/>
        <v/>
      </c>
    </row>
    <row r="674" spans="1:11" x14ac:dyDescent="0.25">
      <c r="A674" s="14">
        <v>45280.428838541666</v>
      </c>
      <c r="B674" s="2" t="s">
        <v>1241</v>
      </c>
      <c r="C674" s="22" t="s">
        <v>1332</v>
      </c>
      <c r="D674" s="111" t="s">
        <v>95</v>
      </c>
      <c r="E674" s="18"/>
      <c r="F674" s="4" t="str">
        <f t="shared" si="36"/>
        <v>Nincs Adat</v>
      </c>
      <c r="G674" s="4"/>
      <c r="H674" s="4"/>
      <c r="J674" s="18" t="str">
        <f t="shared" si="37"/>
        <v>Nem Heineken Költség</v>
      </c>
      <c r="K674" s="2" t="str">
        <f t="shared" si="35"/>
        <v/>
      </c>
    </row>
    <row r="675" spans="1:11" x14ac:dyDescent="0.25">
      <c r="A675" s="14">
        <v>45280.428704166668</v>
      </c>
      <c r="B675" s="2" t="s">
        <v>41</v>
      </c>
      <c r="C675" s="22" t="s">
        <v>1329</v>
      </c>
      <c r="D675" s="111" t="s">
        <v>95</v>
      </c>
      <c r="E675" s="18"/>
      <c r="F675" s="4" t="str">
        <f t="shared" si="36"/>
        <v>Nincs Adat</v>
      </c>
      <c r="G675" s="4"/>
      <c r="H675" s="4"/>
      <c r="J675" s="18" t="str">
        <f t="shared" si="37"/>
        <v>Nem Heineken Költség</v>
      </c>
      <c r="K675" s="2" t="str">
        <f t="shared" ref="K675:K738" si="38">IFERROR(VLOOKUP(E675,poprice,4,0),"")</f>
        <v/>
      </c>
    </row>
    <row r="676" spans="1:11" x14ac:dyDescent="0.25">
      <c r="A676" s="14">
        <v>45280.428514699073</v>
      </c>
      <c r="B676" s="2" t="s">
        <v>75</v>
      </c>
      <c r="C676" s="22" t="s">
        <v>1329</v>
      </c>
      <c r="D676" s="111" t="s">
        <v>95</v>
      </c>
      <c r="E676" s="18"/>
      <c r="F676" s="4" t="str">
        <f t="shared" si="36"/>
        <v>Nincs Adat</v>
      </c>
      <c r="G676" s="4"/>
      <c r="H676" s="4"/>
      <c r="J676" s="18" t="str">
        <f t="shared" si="37"/>
        <v>Nem Heineken Költség</v>
      </c>
      <c r="K676" s="2" t="str">
        <f t="shared" si="38"/>
        <v/>
      </c>
    </row>
    <row r="677" spans="1:11" x14ac:dyDescent="0.25">
      <c r="A677" s="14">
        <v>45280.428220833332</v>
      </c>
      <c r="B677" s="2" t="s">
        <v>48</v>
      </c>
      <c r="C677" s="22" t="s">
        <v>1329</v>
      </c>
      <c r="D677" s="111" t="s">
        <v>95</v>
      </c>
      <c r="E677" s="18"/>
      <c r="F677" s="4" t="str">
        <f t="shared" si="36"/>
        <v>Nincs Adat</v>
      </c>
      <c r="G677" s="4"/>
      <c r="H677" s="4"/>
      <c r="J677" s="18" t="str">
        <f t="shared" si="37"/>
        <v>Nem Heineken Költség</v>
      </c>
      <c r="K677" s="2" t="str">
        <f t="shared" si="38"/>
        <v/>
      </c>
    </row>
    <row r="678" spans="1:11" x14ac:dyDescent="0.25">
      <c r="A678" s="14">
        <v>45280.427725810187</v>
      </c>
      <c r="B678" s="2" t="s">
        <v>45</v>
      </c>
      <c r="C678" s="22" t="s">
        <v>1329</v>
      </c>
      <c r="D678" s="111" t="s">
        <v>95</v>
      </c>
      <c r="E678" s="18"/>
      <c r="F678" s="4" t="str">
        <f t="shared" si="36"/>
        <v>Nincs Adat</v>
      </c>
      <c r="G678" s="4"/>
      <c r="H678" s="4"/>
      <c r="J678" s="18" t="str">
        <f t="shared" si="37"/>
        <v>Nem Heineken Költség</v>
      </c>
      <c r="K678" s="2" t="str">
        <f t="shared" si="38"/>
        <v/>
      </c>
    </row>
    <row r="679" spans="1:11" x14ac:dyDescent="0.25">
      <c r="A679" s="14">
        <v>45280.426610995368</v>
      </c>
      <c r="B679" s="2" t="s">
        <v>87</v>
      </c>
      <c r="C679" s="22" t="s">
        <v>1327</v>
      </c>
      <c r="D679" s="111" t="s">
        <v>95</v>
      </c>
      <c r="E679" s="18" t="s">
        <v>1328</v>
      </c>
      <c r="F679" s="4" t="str">
        <f t="shared" si="36"/>
        <v>Nincs Adat</v>
      </c>
      <c r="G679" s="4"/>
      <c r="H679" s="4"/>
      <c r="J679" s="18" t="str">
        <f t="shared" si="37"/>
        <v>Nem Heineken Költség</v>
      </c>
      <c r="K679" s="2" t="str">
        <f t="shared" si="38"/>
        <v/>
      </c>
    </row>
    <row r="680" spans="1:11" x14ac:dyDescent="0.25">
      <c r="A680" s="14">
        <v>45280.425818055555</v>
      </c>
      <c r="B680" s="2" t="s">
        <v>83</v>
      </c>
      <c r="C680" s="22" t="s">
        <v>1324</v>
      </c>
      <c r="D680" s="111" t="s">
        <v>95</v>
      </c>
      <c r="E680" s="18" t="s">
        <v>1326</v>
      </c>
      <c r="F680" s="4" t="str">
        <f t="shared" si="36"/>
        <v>Nincs Adat</v>
      </c>
      <c r="G680" s="4"/>
      <c r="H680" s="4"/>
      <c r="J680" s="18" t="str">
        <f t="shared" si="37"/>
        <v>Nem Heineken Költség</v>
      </c>
      <c r="K680" s="2" t="str">
        <f t="shared" si="38"/>
        <v/>
      </c>
    </row>
    <row r="681" spans="1:11" x14ac:dyDescent="0.25">
      <c r="A681" s="14">
        <v>45280.425588078702</v>
      </c>
      <c r="B681" s="2" t="s">
        <v>88</v>
      </c>
      <c r="C681" s="22" t="s">
        <v>1323</v>
      </c>
      <c r="D681" s="111" t="s">
        <v>95</v>
      </c>
      <c r="E681" s="18" t="s">
        <v>1326</v>
      </c>
      <c r="F681" s="4" t="str">
        <f t="shared" si="36"/>
        <v>Nincs Adat</v>
      </c>
      <c r="G681" s="4"/>
      <c r="H681" s="4"/>
      <c r="J681" s="18" t="str">
        <f t="shared" si="37"/>
        <v>Nem Heineken Költség</v>
      </c>
      <c r="K681" s="2" t="str">
        <f t="shared" si="38"/>
        <v/>
      </c>
    </row>
    <row r="682" spans="1:11" x14ac:dyDescent="0.25">
      <c r="A682" s="14">
        <v>45280.425306828707</v>
      </c>
      <c r="B682" s="2" t="s">
        <v>78</v>
      </c>
      <c r="C682" s="22" t="s">
        <v>1325</v>
      </c>
      <c r="D682" s="111" t="s">
        <v>95</v>
      </c>
      <c r="E682" s="18" t="s">
        <v>1326</v>
      </c>
      <c r="F682" s="4" t="str">
        <f t="shared" si="36"/>
        <v>PTP200R239152</v>
      </c>
      <c r="G682" s="4"/>
      <c r="H682" s="4"/>
      <c r="J682" s="18" t="str">
        <f t="shared" si="37"/>
        <v>Nem Heineken Költség</v>
      </c>
      <c r="K682" s="2" t="str">
        <f t="shared" si="38"/>
        <v/>
      </c>
    </row>
    <row r="683" spans="1:11" x14ac:dyDescent="0.25">
      <c r="A683" s="14">
        <v>45280.347025000003</v>
      </c>
      <c r="B683" s="2" t="s">
        <v>79</v>
      </c>
      <c r="C683" s="22" t="s">
        <v>1322</v>
      </c>
      <c r="D683" s="111" t="s">
        <v>95</v>
      </c>
      <c r="E683" s="18"/>
      <c r="F683" s="4" t="str">
        <f t="shared" si="36"/>
        <v>PTP200R239153</v>
      </c>
      <c r="G683" s="4"/>
      <c r="H683" s="4"/>
      <c r="I683" s="2">
        <v>3</v>
      </c>
      <c r="J683" s="18" t="str">
        <f t="shared" si="37"/>
        <v>Nem Heineken Költség</v>
      </c>
      <c r="K683" s="2" t="str">
        <f t="shared" si="38"/>
        <v/>
      </c>
    </row>
    <row r="684" spans="1:11" ht="49.9" customHeight="1" x14ac:dyDescent="0.25">
      <c r="A684" s="14">
        <v>45280</v>
      </c>
      <c r="B684" s="2" t="s">
        <v>21</v>
      </c>
      <c r="C684" s="22" t="s">
        <v>1727</v>
      </c>
      <c r="D684" s="111" t="s">
        <v>95</v>
      </c>
      <c r="E684" s="18" t="s">
        <v>1722</v>
      </c>
      <c r="F684" s="4" t="str">
        <f t="shared" si="36"/>
        <v>EUB09D700842</v>
      </c>
      <c r="G684" s="43">
        <v>2395</v>
      </c>
      <c r="H684" s="4"/>
      <c r="J684" s="18" t="str">
        <f t="shared" si="37"/>
        <v>Nem Heineken Költség</v>
      </c>
      <c r="K684" s="2" t="str">
        <f t="shared" si="38"/>
        <v/>
      </c>
    </row>
    <row r="685" spans="1:11" x14ac:dyDescent="0.25">
      <c r="A685" s="14">
        <v>45280</v>
      </c>
      <c r="B685" s="2" t="s">
        <v>19</v>
      </c>
      <c r="C685" s="22" t="s">
        <v>1726</v>
      </c>
      <c r="D685" s="111" t="s">
        <v>95</v>
      </c>
      <c r="E685" s="18" t="s">
        <v>1718</v>
      </c>
      <c r="F685" s="4" t="str">
        <f t="shared" si="36"/>
        <v>EUB09D700836</v>
      </c>
      <c r="G685" s="4"/>
      <c r="H685" s="4"/>
      <c r="J685" s="18" t="str">
        <f t="shared" si="37"/>
        <v>Nem Heineken Költség</v>
      </c>
      <c r="K685" s="2" t="str">
        <f t="shared" si="38"/>
        <v/>
      </c>
    </row>
    <row r="686" spans="1:11" ht="30" x14ac:dyDescent="0.25">
      <c r="A686" s="14">
        <v>45279.350035763891</v>
      </c>
      <c r="B686" s="2" t="s">
        <v>80</v>
      </c>
      <c r="C686" s="35" t="s">
        <v>1320</v>
      </c>
      <c r="D686" s="111" t="s">
        <v>95</v>
      </c>
      <c r="E686" s="18" t="s">
        <v>1321</v>
      </c>
      <c r="F686" s="4" t="str">
        <f t="shared" si="36"/>
        <v>PTP200R239154</v>
      </c>
      <c r="G686" s="4">
        <v>145</v>
      </c>
      <c r="H686" s="4">
        <v>1</v>
      </c>
      <c r="J686" s="18" t="str">
        <f t="shared" si="37"/>
        <v>Nem Heineken Költség</v>
      </c>
      <c r="K686" s="2" t="str">
        <f t="shared" si="38"/>
        <v/>
      </c>
    </row>
    <row r="687" spans="1:11" x14ac:dyDescent="0.25">
      <c r="A687" s="14">
        <v>45279.349543634256</v>
      </c>
      <c r="B687" s="2" t="s">
        <v>80</v>
      </c>
      <c r="C687" s="22" t="s">
        <v>1318</v>
      </c>
      <c r="D687" s="111" t="s">
        <v>95</v>
      </c>
      <c r="E687" s="18" t="s">
        <v>1319</v>
      </c>
      <c r="F687" s="4" t="str">
        <f t="shared" si="36"/>
        <v>PTP200R239154</v>
      </c>
      <c r="G687" s="4">
        <v>145</v>
      </c>
      <c r="H687" s="4">
        <v>2</v>
      </c>
      <c r="I687" s="2">
        <v>3</v>
      </c>
      <c r="J687" s="18" t="str">
        <f t="shared" si="37"/>
        <v>Nem Heineken Költség</v>
      </c>
      <c r="K687" s="2" t="str">
        <f t="shared" si="38"/>
        <v/>
      </c>
    </row>
    <row r="688" spans="1:11" x14ac:dyDescent="0.25">
      <c r="A688" s="14">
        <v>45278.347233796296</v>
      </c>
      <c r="B688" s="2" t="s">
        <v>1315</v>
      </c>
      <c r="C688" s="22" t="s">
        <v>1316</v>
      </c>
      <c r="D688" s="111" t="s">
        <v>95</v>
      </c>
      <c r="E688" s="18" t="s">
        <v>1317</v>
      </c>
      <c r="F688" s="4" t="str">
        <f t="shared" si="36"/>
        <v>Nincs Adat</v>
      </c>
      <c r="G688" s="4"/>
      <c r="H688" s="4">
        <v>2</v>
      </c>
      <c r="I688" s="228">
        <v>3</v>
      </c>
      <c r="J688" s="18" t="str">
        <f t="shared" si="37"/>
        <v>Nem Heineken Költség</v>
      </c>
      <c r="K688" s="2" t="str">
        <f t="shared" si="38"/>
        <v/>
      </c>
    </row>
    <row r="689" spans="1:11" x14ac:dyDescent="0.25">
      <c r="A689" s="14">
        <v>45278.347233796296</v>
      </c>
      <c r="B689" s="2" t="s">
        <v>17</v>
      </c>
      <c r="C689" s="22" t="s">
        <v>1313</v>
      </c>
      <c r="D689" s="111" t="s">
        <v>95</v>
      </c>
      <c r="E689" s="18" t="s">
        <v>1314</v>
      </c>
      <c r="F689" s="4" t="str">
        <f t="shared" si="36"/>
        <v>EUB09D700852</v>
      </c>
      <c r="G689" s="4">
        <v>3995</v>
      </c>
      <c r="H689" s="4">
        <v>2</v>
      </c>
      <c r="I689" s="2">
        <v>2</v>
      </c>
      <c r="J689" s="18" t="str">
        <f t="shared" si="37"/>
        <v>Nem Heineken Költség</v>
      </c>
      <c r="K689" s="2" t="str">
        <f t="shared" si="38"/>
        <v/>
      </c>
    </row>
    <row r="690" spans="1:11" x14ac:dyDescent="0.25">
      <c r="A690" s="14">
        <v>45278.347233796296</v>
      </c>
      <c r="B690" s="2" t="s">
        <v>38</v>
      </c>
      <c r="C690" s="22" t="s">
        <v>1311</v>
      </c>
      <c r="D690" s="111" t="s">
        <v>95</v>
      </c>
      <c r="E690" s="18" t="s">
        <v>1312</v>
      </c>
      <c r="F690" s="4" t="str">
        <f t="shared" si="36"/>
        <v>Nincs Adat</v>
      </c>
      <c r="G690" s="4">
        <v>3200</v>
      </c>
      <c r="H690" s="4">
        <v>2</v>
      </c>
      <c r="I690" s="2">
        <v>1</v>
      </c>
      <c r="J690" s="18" t="str">
        <f t="shared" si="37"/>
        <v>Nem Heineken Költség</v>
      </c>
      <c r="K690" s="2" t="str">
        <f t="shared" si="38"/>
        <v/>
      </c>
    </row>
    <row r="691" spans="1:11" x14ac:dyDescent="0.25">
      <c r="A691" s="14">
        <v>45278.347233796296</v>
      </c>
      <c r="B691" s="2" t="s">
        <v>77</v>
      </c>
      <c r="C691" s="22" t="s">
        <v>1309</v>
      </c>
      <c r="D691" s="111" t="s">
        <v>95</v>
      </c>
      <c r="E691" s="18" t="s">
        <v>1310</v>
      </c>
      <c r="F691" s="4" t="str">
        <f t="shared" si="36"/>
        <v>PTP200R239151</v>
      </c>
      <c r="G691" s="4">
        <v>912</v>
      </c>
      <c r="H691" s="22">
        <v>1</v>
      </c>
      <c r="J691" s="18" t="str">
        <f t="shared" si="37"/>
        <v>Nem Heineken Költség</v>
      </c>
      <c r="K691" s="2" t="str">
        <f t="shared" si="38"/>
        <v/>
      </c>
    </row>
    <row r="692" spans="1:11" x14ac:dyDescent="0.25">
      <c r="A692" s="14">
        <v>45274.426892476855</v>
      </c>
      <c r="B692" s="2" t="s">
        <v>3</v>
      </c>
      <c r="C692" s="22" t="s">
        <v>1307</v>
      </c>
      <c r="D692" s="111" t="s">
        <v>95</v>
      </c>
      <c r="E692" s="18"/>
      <c r="F692" s="4" t="str">
        <f t="shared" si="36"/>
        <v>JA2N1E700428</v>
      </c>
      <c r="G692" s="4"/>
      <c r="H692" s="22"/>
      <c r="J692" s="18" t="str">
        <f t="shared" si="37"/>
        <v>Nem Heineken Költség</v>
      </c>
      <c r="K692" s="2" t="str">
        <f t="shared" si="38"/>
        <v/>
      </c>
    </row>
    <row r="693" spans="1:11" x14ac:dyDescent="0.25">
      <c r="A693" s="14">
        <v>45274.34057615741</v>
      </c>
      <c r="B693" s="2" t="s">
        <v>78</v>
      </c>
      <c r="C693" s="22" t="s">
        <v>1306</v>
      </c>
      <c r="D693" s="111" t="s">
        <v>95</v>
      </c>
      <c r="E693" s="18" t="s">
        <v>1333</v>
      </c>
      <c r="F693" s="4" t="str">
        <f t="shared" si="36"/>
        <v>PTP200R239152</v>
      </c>
      <c r="G693" s="4">
        <v>1566</v>
      </c>
      <c r="H693" s="22"/>
      <c r="J693" s="18" t="str">
        <f t="shared" si="37"/>
        <v>Nem Heineken Költség</v>
      </c>
      <c r="K693" s="2" t="str">
        <f t="shared" si="38"/>
        <v/>
      </c>
    </row>
    <row r="694" spans="1:11" x14ac:dyDescent="0.25">
      <c r="A694" s="14">
        <v>45274.338668634256</v>
      </c>
      <c r="B694" s="2" t="s">
        <v>91</v>
      </c>
      <c r="C694" s="22" t="s">
        <v>1305</v>
      </c>
      <c r="D694" s="111" t="s">
        <v>96</v>
      </c>
      <c r="E694" s="18"/>
      <c r="F694" s="4" t="str">
        <f t="shared" si="36"/>
        <v>Nincs Adat</v>
      </c>
      <c r="G694" s="4"/>
      <c r="H694" s="22"/>
      <c r="J694" s="18" t="str">
        <f t="shared" si="37"/>
        <v>Nem Heineken Költség</v>
      </c>
      <c r="K694" s="2" t="str">
        <f t="shared" si="38"/>
        <v/>
      </c>
    </row>
    <row r="695" spans="1:11" x14ac:dyDescent="0.25">
      <c r="A695" s="14">
        <v>45274.337788541663</v>
      </c>
      <c r="B695" s="2" t="s">
        <v>1245</v>
      </c>
      <c r="C695" s="22" t="s">
        <v>1304</v>
      </c>
      <c r="D695" s="111" t="s">
        <v>95</v>
      </c>
      <c r="E695" s="18" t="s">
        <v>1303</v>
      </c>
      <c r="F695" s="4" t="str">
        <f t="shared" si="36"/>
        <v>Nincs Adat</v>
      </c>
      <c r="G695" s="4"/>
      <c r="H695" s="22"/>
      <c r="J695" s="18" t="str">
        <f t="shared" si="37"/>
        <v>Nem Heineken Költség</v>
      </c>
      <c r="K695" s="2" t="str">
        <f t="shared" si="38"/>
        <v/>
      </c>
    </row>
    <row r="696" spans="1:11" x14ac:dyDescent="0.25">
      <c r="A696" s="14">
        <v>45274.332875810185</v>
      </c>
      <c r="B696" s="2" t="s">
        <v>80</v>
      </c>
      <c r="C696" s="22" t="s">
        <v>1298</v>
      </c>
      <c r="D696" s="111" t="s">
        <v>95</v>
      </c>
      <c r="E696" s="18" t="s">
        <v>1299</v>
      </c>
      <c r="F696" s="4" t="str">
        <f t="shared" si="36"/>
        <v>PTP200R239154</v>
      </c>
      <c r="G696" s="4">
        <v>131</v>
      </c>
      <c r="H696" s="22"/>
      <c r="J696" s="18" t="str">
        <f t="shared" si="37"/>
        <v>Nem Heineken Költség</v>
      </c>
      <c r="K696" s="2" t="str">
        <f t="shared" si="38"/>
        <v/>
      </c>
    </row>
    <row r="697" spans="1:11" x14ac:dyDescent="0.25">
      <c r="A697" s="14">
        <v>45273.525935879632</v>
      </c>
      <c r="B697" s="2" t="s">
        <v>25</v>
      </c>
      <c r="C697" s="22" t="s">
        <v>1294</v>
      </c>
      <c r="D697" s="111" t="s">
        <v>95</v>
      </c>
      <c r="E697" s="18" t="s">
        <v>1302</v>
      </c>
      <c r="F697" s="4" t="str">
        <f t="shared" si="36"/>
        <v>EUB09D700741</v>
      </c>
      <c r="G697" s="4">
        <v>2099</v>
      </c>
      <c r="H697" s="22">
        <v>1</v>
      </c>
      <c r="I697" s="2">
        <v>3</v>
      </c>
      <c r="J697" s="18" t="str">
        <f t="shared" si="37"/>
        <v>Nem Heineken Költség</v>
      </c>
      <c r="K697" s="2" t="str">
        <f t="shared" si="38"/>
        <v/>
      </c>
    </row>
    <row r="698" spans="1:11" x14ac:dyDescent="0.25">
      <c r="A698" s="14">
        <v>45273.52577083333</v>
      </c>
      <c r="B698" s="2" t="s">
        <v>23</v>
      </c>
      <c r="C698" s="22" t="s">
        <v>1294</v>
      </c>
      <c r="D698" s="111" t="s">
        <v>95</v>
      </c>
      <c r="E698" s="18" t="s">
        <v>1302</v>
      </c>
      <c r="F698" s="4" t="str">
        <f t="shared" si="36"/>
        <v>EUB09D700740</v>
      </c>
      <c r="G698" s="4">
        <v>1863</v>
      </c>
      <c r="H698" s="22">
        <v>1</v>
      </c>
      <c r="J698" s="18" t="str">
        <f t="shared" si="37"/>
        <v>Nem Heineken Költség</v>
      </c>
      <c r="K698" s="2" t="str">
        <f t="shared" si="38"/>
        <v/>
      </c>
    </row>
    <row r="699" spans="1:11" x14ac:dyDescent="0.25">
      <c r="A699" s="14">
        <v>45272.591300231485</v>
      </c>
      <c r="B699" s="2" t="s">
        <v>80</v>
      </c>
      <c r="C699" s="22" t="s">
        <v>722</v>
      </c>
      <c r="D699" s="111" t="s">
        <v>95</v>
      </c>
      <c r="E699" s="18" t="s">
        <v>1297</v>
      </c>
      <c r="F699" s="4" t="str">
        <f t="shared" si="36"/>
        <v>PTP200R239154</v>
      </c>
      <c r="G699" s="4">
        <v>131</v>
      </c>
      <c r="H699" s="22">
        <v>1</v>
      </c>
      <c r="J699" s="18" t="str">
        <f t="shared" si="37"/>
        <v>Nem Heineken Költség</v>
      </c>
      <c r="K699" s="2" t="str">
        <f t="shared" si="38"/>
        <v/>
      </c>
    </row>
    <row r="700" spans="1:11" x14ac:dyDescent="0.25">
      <c r="A700" s="14">
        <v>45272.33699074074</v>
      </c>
      <c r="B700" s="2" t="s">
        <v>1239</v>
      </c>
      <c r="C700" s="22" t="s">
        <v>1304</v>
      </c>
      <c r="D700" s="111" t="s">
        <v>95</v>
      </c>
      <c r="E700" s="18" t="s">
        <v>1303</v>
      </c>
      <c r="F700" s="4" t="str">
        <f t="shared" si="36"/>
        <v>Nincs Adat</v>
      </c>
      <c r="G700" s="4"/>
      <c r="H700" s="22"/>
      <c r="J700" s="18" t="str">
        <f t="shared" si="37"/>
        <v>Nem Heineken Költség</v>
      </c>
      <c r="K700" s="2" t="str">
        <f t="shared" si="38"/>
        <v/>
      </c>
    </row>
    <row r="701" spans="1:11" x14ac:dyDescent="0.25">
      <c r="A701" s="14">
        <v>45272.33699074074</v>
      </c>
      <c r="B701" s="2" t="s">
        <v>1238</v>
      </c>
      <c r="C701" s="22" t="s">
        <v>1304</v>
      </c>
      <c r="D701" s="111" t="s">
        <v>95</v>
      </c>
      <c r="E701" s="18" t="s">
        <v>1303</v>
      </c>
      <c r="F701" s="4" t="str">
        <f t="shared" si="36"/>
        <v>Nincs Adat</v>
      </c>
      <c r="G701" s="4"/>
      <c r="H701" s="22"/>
      <c r="J701" s="18" t="str">
        <f t="shared" si="37"/>
        <v>Nem Heineken Költség</v>
      </c>
      <c r="K701" s="2" t="str">
        <f t="shared" si="38"/>
        <v/>
      </c>
    </row>
    <row r="702" spans="1:11" x14ac:dyDescent="0.25">
      <c r="A702" s="14">
        <v>45272.33699074074</v>
      </c>
      <c r="B702" s="2" t="s">
        <v>1237</v>
      </c>
      <c r="C702" s="22" t="s">
        <v>1304</v>
      </c>
      <c r="D702" s="111" t="s">
        <v>95</v>
      </c>
      <c r="E702" s="18" t="s">
        <v>1303</v>
      </c>
      <c r="F702" s="4" t="str">
        <f t="shared" si="36"/>
        <v>Nincs Adat</v>
      </c>
      <c r="G702" s="4"/>
      <c r="H702" s="22"/>
      <c r="I702" s="2">
        <v>2</v>
      </c>
      <c r="J702" s="18" t="str">
        <f t="shared" si="37"/>
        <v>Nem Heineken Költség</v>
      </c>
      <c r="K702" s="2" t="str">
        <f t="shared" si="38"/>
        <v/>
      </c>
    </row>
    <row r="703" spans="1:11" x14ac:dyDescent="0.25">
      <c r="A703" s="14">
        <v>45272.33699074074</v>
      </c>
      <c r="B703" s="2" t="s">
        <v>1236</v>
      </c>
      <c r="C703" s="22" t="s">
        <v>1304</v>
      </c>
      <c r="D703" s="111" t="s">
        <v>95</v>
      </c>
      <c r="E703" s="18" t="s">
        <v>1303</v>
      </c>
      <c r="F703" s="4" t="str">
        <f t="shared" si="36"/>
        <v>Nincs Adat</v>
      </c>
      <c r="G703" s="4"/>
      <c r="H703" s="22"/>
      <c r="J703" s="18" t="str">
        <f t="shared" si="37"/>
        <v>Nem Heineken Költség</v>
      </c>
      <c r="K703" s="2" t="str">
        <f t="shared" si="38"/>
        <v/>
      </c>
    </row>
    <row r="704" spans="1:11" x14ac:dyDescent="0.25">
      <c r="A704" s="14">
        <v>45272.33699074074</v>
      </c>
      <c r="B704" s="2" t="s">
        <v>1235</v>
      </c>
      <c r="C704" s="22" t="s">
        <v>1304</v>
      </c>
      <c r="D704" s="111" t="s">
        <v>95</v>
      </c>
      <c r="E704" s="18" t="s">
        <v>1303</v>
      </c>
      <c r="F704" s="4" t="str">
        <f t="shared" si="36"/>
        <v>Nincs Adat</v>
      </c>
      <c r="G704" s="4"/>
      <c r="H704" s="22"/>
      <c r="J704" s="18" t="str">
        <f t="shared" si="37"/>
        <v>Nem Heineken Költség</v>
      </c>
      <c r="K704" s="2" t="str">
        <f t="shared" si="38"/>
        <v/>
      </c>
    </row>
    <row r="705" spans="1:11" x14ac:dyDescent="0.25">
      <c r="A705" s="14">
        <v>45272</v>
      </c>
      <c r="B705" s="2" t="s">
        <v>78</v>
      </c>
      <c r="C705" s="22" t="s">
        <v>1292</v>
      </c>
      <c r="D705" s="111" t="s">
        <v>95</v>
      </c>
      <c r="E705" s="18" t="s">
        <v>1293</v>
      </c>
      <c r="F705" s="4" t="str">
        <f t="shared" si="36"/>
        <v>PTP200R239152</v>
      </c>
      <c r="G705" s="4">
        <v>1558</v>
      </c>
      <c r="H705" s="22"/>
      <c r="J705" s="18" t="str">
        <f t="shared" si="37"/>
        <v>Nem Heineken Költség</v>
      </c>
      <c r="K705" s="2">
        <f t="shared" si="38"/>
        <v>375.69</v>
      </c>
    </row>
    <row r="706" spans="1:11" x14ac:dyDescent="0.25">
      <c r="A706" s="14">
        <v>45271.563264351855</v>
      </c>
      <c r="B706" s="2" t="s">
        <v>1227</v>
      </c>
      <c r="C706" s="22" t="s">
        <v>1296</v>
      </c>
      <c r="D706" s="111" t="s">
        <v>95</v>
      </c>
      <c r="E706" s="18"/>
      <c r="F706" s="4" t="str">
        <f t="shared" si="36"/>
        <v>Nincs Adat</v>
      </c>
      <c r="G706" s="4"/>
      <c r="H706" s="22"/>
      <c r="J706" s="18" t="str">
        <f t="shared" si="37"/>
        <v>Nem Heineken Költség</v>
      </c>
      <c r="K706" s="2" t="str">
        <f t="shared" si="38"/>
        <v/>
      </c>
    </row>
    <row r="707" spans="1:11" x14ac:dyDescent="0.25">
      <c r="A707" s="14">
        <v>45271.447070717593</v>
      </c>
      <c r="B707" s="2" t="s">
        <v>22</v>
      </c>
      <c r="C707" s="22" t="s">
        <v>1211</v>
      </c>
      <c r="D707" s="111" t="s">
        <v>95</v>
      </c>
      <c r="E707" s="18" t="s">
        <v>1301</v>
      </c>
      <c r="F707" s="4" t="str">
        <f t="shared" ref="F707:F770" si="39">IFERROR(VLOOKUP(B707,targlist02,3,0),"Nincs Adat")</f>
        <v>EUB09D700838</v>
      </c>
      <c r="G707" s="4">
        <v>2081</v>
      </c>
      <c r="H707" s="22">
        <v>1</v>
      </c>
      <c r="J707" s="18" t="str">
        <f t="shared" ref="J707:J730" si="40">IF(I707="H",IFERROR(VLOOKUP(E707,podone,1,0),"Nincs Po"),"Nem Heineken Költség")</f>
        <v>Nem Heineken Költség</v>
      </c>
      <c r="K707" s="2" t="str">
        <f t="shared" si="38"/>
        <v/>
      </c>
    </row>
    <row r="708" spans="1:11" x14ac:dyDescent="0.25">
      <c r="A708" s="14">
        <v>45271.446835995368</v>
      </c>
      <c r="B708" s="2" t="s">
        <v>23</v>
      </c>
      <c r="C708" s="22" t="s">
        <v>1211</v>
      </c>
      <c r="D708" s="111" t="s">
        <v>95</v>
      </c>
      <c r="E708" s="18" t="s">
        <v>1300</v>
      </c>
      <c r="F708" s="4" t="str">
        <f t="shared" si="39"/>
        <v>EUB09D700740</v>
      </c>
      <c r="G708" s="4">
        <v>1863</v>
      </c>
      <c r="H708" s="22">
        <v>1</v>
      </c>
      <c r="J708" s="18" t="str">
        <f t="shared" si="40"/>
        <v>Nem Heineken Költség</v>
      </c>
      <c r="K708" s="2" t="str">
        <f t="shared" si="38"/>
        <v/>
      </c>
    </row>
    <row r="709" spans="1:11" ht="30" x14ac:dyDescent="0.25">
      <c r="A709" s="14">
        <v>45271.395936689813</v>
      </c>
      <c r="B709" s="2" t="s">
        <v>21</v>
      </c>
      <c r="C709" s="22" t="s">
        <v>1295</v>
      </c>
      <c r="D709" s="111" t="s">
        <v>95</v>
      </c>
      <c r="E709" s="107" t="s">
        <v>1330</v>
      </c>
      <c r="F709" s="4" t="str">
        <f t="shared" si="39"/>
        <v>EUB09D700842</v>
      </c>
      <c r="G709" s="4"/>
      <c r="H709" s="22" t="s">
        <v>1331</v>
      </c>
      <c r="J709" s="18" t="str">
        <f t="shared" si="40"/>
        <v>Nem Heineken Költség</v>
      </c>
      <c r="K709" s="2" t="str">
        <f t="shared" si="38"/>
        <v/>
      </c>
    </row>
    <row r="710" spans="1:11" x14ac:dyDescent="0.25">
      <c r="A710" s="14">
        <v>45271.366291550927</v>
      </c>
      <c r="B710" s="2" t="s">
        <v>141</v>
      </c>
      <c r="C710" s="22" t="s">
        <v>1208</v>
      </c>
      <c r="D710" s="111" t="s">
        <v>95</v>
      </c>
      <c r="E710" s="18" t="s">
        <v>1209</v>
      </c>
      <c r="F710" s="4" t="str">
        <f t="shared" si="39"/>
        <v>LO20N2RCB13B00110</v>
      </c>
      <c r="G710" s="4">
        <v>1083</v>
      </c>
      <c r="H710" s="22"/>
      <c r="J710" s="18" t="str">
        <f t="shared" si="40"/>
        <v>Nem Heineken Költség</v>
      </c>
      <c r="K710" s="2" t="str">
        <f t="shared" si="38"/>
        <v/>
      </c>
    </row>
    <row r="711" spans="1:11" x14ac:dyDescent="0.25">
      <c r="A711" s="14">
        <v>45271.365597685188</v>
      </c>
      <c r="B711" s="2" t="s">
        <v>14</v>
      </c>
      <c r="C711" s="22" t="s">
        <v>1207</v>
      </c>
      <c r="D711" s="111" t="s">
        <v>95</v>
      </c>
      <c r="E711" s="18" t="s">
        <v>1206</v>
      </c>
      <c r="F711" s="4" t="str">
        <f t="shared" si="39"/>
        <v>EUB09D700269</v>
      </c>
      <c r="G711" s="4">
        <v>3096</v>
      </c>
      <c r="H711" s="22">
        <v>1</v>
      </c>
      <c r="J711" s="18" t="str">
        <f t="shared" si="40"/>
        <v>Nem Heineken Költség</v>
      </c>
      <c r="K711" s="2" t="str">
        <f t="shared" si="38"/>
        <v/>
      </c>
    </row>
    <row r="712" spans="1:11" x14ac:dyDescent="0.25">
      <c r="A712" s="14">
        <v>45271.362920023152</v>
      </c>
      <c r="B712" s="2" t="s">
        <v>1203</v>
      </c>
      <c r="C712" s="22" t="s">
        <v>1204</v>
      </c>
      <c r="D712" s="111" t="s">
        <v>95</v>
      </c>
      <c r="E712" s="18" t="s">
        <v>1205</v>
      </c>
      <c r="F712" s="4" t="str">
        <f t="shared" si="39"/>
        <v>Nincs Adat</v>
      </c>
      <c r="G712" s="4">
        <v>1206</v>
      </c>
      <c r="H712" s="22">
        <v>0.5</v>
      </c>
      <c r="J712" s="18" t="str">
        <f t="shared" si="40"/>
        <v>Nem Heineken Költség</v>
      </c>
      <c r="K712" s="2" t="str">
        <f t="shared" si="38"/>
        <v/>
      </c>
    </row>
    <row r="713" spans="1:11" ht="49.9" customHeight="1" x14ac:dyDescent="0.25">
      <c r="A713" s="14">
        <v>45271.351768287037</v>
      </c>
      <c r="B713" s="2" t="s">
        <v>17</v>
      </c>
      <c r="C713" s="22" t="s">
        <v>1194</v>
      </c>
      <c r="D713" s="111" t="s">
        <v>95</v>
      </c>
      <c r="E713" s="18" t="s">
        <v>1195</v>
      </c>
      <c r="F713" s="4" t="str">
        <f t="shared" si="39"/>
        <v>EUB09D700852</v>
      </c>
      <c r="G713" s="4">
        <v>3819</v>
      </c>
      <c r="H713" s="22">
        <v>2</v>
      </c>
      <c r="J713" s="18" t="str">
        <f t="shared" si="40"/>
        <v>Nem Heineken Költség</v>
      </c>
      <c r="K713" s="2" t="str">
        <f t="shared" si="38"/>
        <v/>
      </c>
    </row>
    <row r="714" spans="1:11" x14ac:dyDescent="0.25">
      <c r="A714" s="14">
        <v>45271.35111851852</v>
      </c>
      <c r="B714" s="2" t="s">
        <v>157</v>
      </c>
      <c r="C714" s="22" t="s">
        <v>1192</v>
      </c>
      <c r="D714" s="111" t="s">
        <v>95</v>
      </c>
      <c r="E714" s="18" t="s">
        <v>1193</v>
      </c>
      <c r="F714" s="4" t="str">
        <f t="shared" si="39"/>
        <v>F24537B00021</v>
      </c>
      <c r="G714" s="4">
        <v>5583</v>
      </c>
      <c r="H714" s="22">
        <v>2</v>
      </c>
      <c r="J714" s="18" t="str">
        <f t="shared" si="40"/>
        <v>Nem Heineken Költség</v>
      </c>
      <c r="K714" s="2" t="str">
        <f t="shared" si="38"/>
        <v/>
      </c>
    </row>
    <row r="715" spans="1:11" ht="49.9" customHeight="1" x14ac:dyDescent="0.25">
      <c r="A715" s="14">
        <v>45271.345450578701</v>
      </c>
      <c r="B715" s="2" t="s">
        <v>20</v>
      </c>
      <c r="C715" s="22" t="s">
        <v>1181</v>
      </c>
      <c r="D715" s="111" t="s">
        <v>95</v>
      </c>
      <c r="E715" s="18" t="s">
        <v>1182</v>
      </c>
      <c r="F715" s="4" t="str">
        <f t="shared" si="39"/>
        <v>EUB09D700832</v>
      </c>
      <c r="G715" s="4"/>
      <c r="H715" s="22">
        <v>1</v>
      </c>
      <c r="J715" s="18" t="str">
        <f t="shared" si="40"/>
        <v>Nem Heineken Költség</v>
      </c>
      <c r="K715" s="2" t="str">
        <f t="shared" si="38"/>
        <v/>
      </c>
    </row>
    <row r="716" spans="1:11" x14ac:dyDescent="0.25">
      <c r="A716" s="14">
        <v>45268</v>
      </c>
      <c r="B716" s="2" t="s">
        <v>77</v>
      </c>
      <c r="C716" s="22" t="s">
        <v>1210</v>
      </c>
      <c r="D716" s="111" t="s">
        <v>95</v>
      </c>
      <c r="E716" s="18" t="s">
        <v>1201</v>
      </c>
      <c r="F716" s="4" t="str">
        <f t="shared" si="39"/>
        <v>PTP200R239151</v>
      </c>
      <c r="G716" s="223" t="s">
        <v>1202</v>
      </c>
      <c r="H716" s="22">
        <v>0.5</v>
      </c>
      <c r="J716" s="18" t="str">
        <f t="shared" si="40"/>
        <v>Nem Heineken Költség</v>
      </c>
      <c r="K716" s="2" t="str">
        <f t="shared" si="38"/>
        <v/>
      </c>
    </row>
    <row r="717" spans="1:11" x14ac:dyDescent="0.25">
      <c r="A717" s="14">
        <v>45268</v>
      </c>
      <c r="B717" s="2" t="s">
        <v>80</v>
      </c>
      <c r="C717" s="22" t="s">
        <v>1212</v>
      </c>
      <c r="D717" s="111" t="s">
        <v>95</v>
      </c>
      <c r="E717" s="18" t="s">
        <v>1200</v>
      </c>
      <c r="F717" s="4" t="str">
        <f t="shared" si="39"/>
        <v>PTP200R239154</v>
      </c>
      <c r="G717" s="4">
        <v>120</v>
      </c>
      <c r="H717" s="22">
        <v>1</v>
      </c>
      <c r="J717" s="18" t="str">
        <f t="shared" si="40"/>
        <v>Nem Heineken Költség</v>
      </c>
      <c r="K717" s="2">
        <f t="shared" si="38"/>
        <v>178.1</v>
      </c>
    </row>
    <row r="718" spans="1:11" x14ac:dyDescent="0.25">
      <c r="A718" s="14">
        <v>45266</v>
      </c>
      <c r="B718" s="2" t="s">
        <v>77</v>
      </c>
      <c r="C718" s="22" t="s">
        <v>1198</v>
      </c>
      <c r="D718" s="111" t="s">
        <v>95</v>
      </c>
      <c r="E718" s="18" t="s">
        <v>1197</v>
      </c>
      <c r="F718" s="4" t="str">
        <f t="shared" si="39"/>
        <v>PTP200R239151</v>
      </c>
      <c r="G718" s="4">
        <v>899</v>
      </c>
      <c r="H718" s="22">
        <v>1</v>
      </c>
      <c r="J718" s="18" t="str">
        <f t="shared" si="40"/>
        <v>Nem Heineken Költség</v>
      </c>
      <c r="K718" s="2" t="str">
        <f t="shared" si="38"/>
        <v/>
      </c>
    </row>
    <row r="719" spans="1:11" x14ac:dyDescent="0.25">
      <c r="A719" s="14">
        <v>45266</v>
      </c>
      <c r="B719" s="2" t="s">
        <v>78</v>
      </c>
      <c r="C719" s="22" t="s">
        <v>1189</v>
      </c>
      <c r="D719" s="111" t="s">
        <v>95</v>
      </c>
      <c r="E719" s="18" t="s">
        <v>1191</v>
      </c>
      <c r="F719" s="4" t="str">
        <f t="shared" si="39"/>
        <v>PTP200R239152</v>
      </c>
      <c r="G719" s="4">
        <v>1548</v>
      </c>
      <c r="H719" s="22">
        <v>1</v>
      </c>
      <c r="J719" s="18" t="str">
        <f t="shared" si="40"/>
        <v>Nem Heineken Költség</v>
      </c>
      <c r="K719" s="2" t="str">
        <f t="shared" si="38"/>
        <v/>
      </c>
    </row>
    <row r="720" spans="1:11" x14ac:dyDescent="0.25">
      <c r="A720" s="14">
        <v>45266</v>
      </c>
      <c r="B720" s="2" t="s">
        <v>79</v>
      </c>
      <c r="C720" s="22" t="s">
        <v>509</v>
      </c>
      <c r="D720" s="111" t="s">
        <v>95</v>
      </c>
      <c r="E720" s="18" t="s">
        <v>1188</v>
      </c>
      <c r="F720" s="4" t="str">
        <f t="shared" si="39"/>
        <v>PTP200R239153</v>
      </c>
      <c r="G720" s="4">
        <v>1366</v>
      </c>
      <c r="H720" s="22">
        <v>1</v>
      </c>
      <c r="J720" s="18" t="str">
        <f t="shared" si="40"/>
        <v>Nem Heineken Költség</v>
      </c>
      <c r="K720" s="2">
        <f t="shared" si="38"/>
        <v>184.29</v>
      </c>
    </row>
    <row r="721" spans="1:11" x14ac:dyDescent="0.25">
      <c r="A721" s="14">
        <v>45265</v>
      </c>
      <c r="B721" s="2" t="s">
        <v>78</v>
      </c>
      <c r="C721" s="22" t="s">
        <v>1190</v>
      </c>
      <c r="D721" s="111" t="s">
        <v>95</v>
      </c>
      <c r="E721" s="18" t="s">
        <v>1186</v>
      </c>
      <c r="F721" s="4" t="str">
        <f t="shared" si="39"/>
        <v>PTP200R239152</v>
      </c>
      <c r="G721" s="4">
        <v>1548</v>
      </c>
      <c r="H721" s="22">
        <v>2</v>
      </c>
      <c r="J721" s="18" t="str">
        <f t="shared" si="40"/>
        <v>Nem Heineken Költség</v>
      </c>
      <c r="K721" s="2" t="str">
        <f t="shared" si="38"/>
        <v/>
      </c>
    </row>
    <row r="722" spans="1:11" x14ac:dyDescent="0.25">
      <c r="A722" s="14">
        <v>45264</v>
      </c>
      <c r="B722" s="2" t="s">
        <v>78</v>
      </c>
      <c r="C722" s="22" t="s">
        <v>1183</v>
      </c>
      <c r="D722" s="111" t="s">
        <v>95</v>
      </c>
      <c r="E722" s="18" t="s">
        <v>1184</v>
      </c>
      <c r="F722" s="4" t="str">
        <f t="shared" si="39"/>
        <v>PTP200R239152</v>
      </c>
      <c r="G722" s="4">
        <v>1544</v>
      </c>
      <c r="H722" s="22">
        <v>2</v>
      </c>
      <c r="J722" s="18" t="str">
        <f t="shared" si="40"/>
        <v>Nem Heineken Költség</v>
      </c>
      <c r="K722" s="2" t="str">
        <f t="shared" si="38"/>
        <v/>
      </c>
    </row>
    <row r="723" spans="1:11" x14ac:dyDescent="0.25">
      <c r="A723" s="14">
        <v>45261.463169560186</v>
      </c>
      <c r="B723" s="2" t="s">
        <v>2</v>
      </c>
      <c r="C723" s="22" t="s">
        <v>1179</v>
      </c>
      <c r="D723" s="111" t="s">
        <v>95</v>
      </c>
      <c r="E723" s="18"/>
      <c r="F723" s="4" t="str">
        <f t="shared" si="39"/>
        <v>JA2N1E700427</v>
      </c>
      <c r="G723" s="4"/>
      <c r="H723" s="22"/>
      <c r="J723" s="18" t="str">
        <f t="shared" si="40"/>
        <v>Nem Heineken Költség</v>
      </c>
      <c r="K723" s="2" t="str">
        <f t="shared" si="38"/>
        <v/>
      </c>
    </row>
    <row r="724" spans="1:11" x14ac:dyDescent="0.25">
      <c r="A724" s="14">
        <v>45261.462967824074</v>
      </c>
      <c r="B724" s="2" t="s">
        <v>4</v>
      </c>
      <c r="C724" s="22" t="s">
        <v>1178</v>
      </c>
      <c r="D724" s="111" t="s">
        <v>95</v>
      </c>
      <c r="E724" s="18"/>
      <c r="F724" s="4" t="str">
        <f t="shared" si="39"/>
        <v>JAG2N1E701604</v>
      </c>
      <c r="G724" s="4"/>
      <c r="H724" s="22"/>
      <c r="J724" s="18" t="str">
        <f t="shared" si="40"/>
        <v>Nem Heineken Költség</v>
      </c>
      <c r="K724" s="2" t="str">
        <f t="shared" si="38"/>
        <v/>
      </c>
    </row>
    <row r="725" spans="1:11" x14ac:dyDescent="0.25">
      <c r="A725" s="14">
        <v>45261.424477546294</v>
      </c>
      <c r="B725" s="2" t="s">
        <v>79</v>
      </c>
      <c r="C725" s="22" t="s">
        <v>1187</v>
      </c>
      <c r="D725" s="111" t="s">
        <v>95</v>
      </c>
      <c r="E725" s="18"/>
      <c r="F725" s="4" t="str">
        <f t="shared" si="39"/>
        <v>PTP200R239153</v>
      </c>
      <c r="G725" s="4"/>
      <c r="H725" s="22"/>
      <c r="J725" s="18" t="str">
        <f t="shared" si="40"/>
        <v>Nem Heineken Költség</v>
      </c>
      <c r="K725" s="2" t="str">
        <f t="shared" si="38"/>
        <v/>
      </c>
    </row>
    <row r="726" spans="1:11" x14ac:dyDescent="0.25">
      <c r="A726" s="14">
        <v>45260.334164699074</v>
      </c>
      <c r="B726" s="2" t="s">
        <v>37</v>
      </c>
      <c r="C726" s="22" t="s">
        <v>1169</v>
      </c>
      <c r="D726" s="111" t="s">
        <v>95</v>
      </c>
      <c r="E726" s="18" t="s">
        <v>1173</v>
      </c>
      <c r="F726" s="4" t="str">
        <f t="shared" si="39"/>
        <v>Nincs Adat</v>
      </c>
      <c r="G726" s="4"/>
      <c r="H726" s="22"/>
      <c r="J726" s="18" t="str">
        <f t="shared" si="40"/>
        <v>Nem Heineken Költség</v>
      </c>
      <c r="K726" s="2" t="str">
        <f t="shared" si="38"/>
        <v/>
      </c>
    </row>
    <row r="727" spans="1:11" x14ac:dyDescent="0.25">
      <c r="A727" s="14">
        <v>45260.333782870373</v>
      </c>
      <c r="B727" s="2" t="s">
        <v>133</v>
      </c>
      <c r="C727" s="22" t="s">
        <v>1168</v>
      </c>
      <c r="D727" s="111" t="s">
        <v>95</v>
      </c>
      <c r="E727" s="18" t="s">
        <v>1173</v>
      </c>
      <c r="F727" s="4" t="str">
        <f t="shared" si="39"/>
        <v>Nincs Adat</v>
      </c>
      <c r="G727" s="4">
        <v>2</v>
      </c>
      <c r="H727" s="22"/>
      <c r="J727" s="18" t="str">
        <f t="shared" si="40"/>
        <v>Nem Heineken Költség</v>
      </c>
      <c r="K727" s="2" t="str">
        <f t="shared" si="38"/>
        <v/>
      </c>
    </row>
    <row r="728" spans="1:11" x14ac:dyDescent="0.25">
      <c r="A728" s="14">
        <v>45260.332208101849</v>
      </c>
      <c r="B728" s="2" t="s">
        <v>133</v>
      </c>
      <c r="C728" s="22" t="s">
        <v>1174</v>
      </c>
      <c r="D728" s="111" t="s">
        <v>95</v>
      </c>
      <c r="E728" s="18"/>
      <c r="F728" s="4" t="str">
        <f t="shared" si="39"/>
        <v>Nincs Adat</v>
      </c>
      <c r="G728" s="4"/>
      <c r="H728" s="22"/>
      <c r="J728" s="18" t="str">
        <f t="shared" si="40"/>
        <v>Nem Heineken Költség</v>
      </c>
      <c r="K728" s="2" t="str">
        <f t="shared" si="38"/>
        <v/>
      </c>
    </row>
    <row r="729" spans="1:11" x14ac:dyDescent="0.25">
      <c r="A729" s="14">
        <v>45259</v>
      </c>
      <c r="B729" s="2" t="s">
        <v>13</v>
      </c>
      <c r="C729" s="22" t="s">
        <v>1287</v>
      </c>
      <c r="D729" s="111" t="s">
        <v>95</v>
      </c>
      <c r="E729" s="18" t="s">
        <v>1288</v>
      </c>
      <c r="F729" s="4" t="str">
        <f t="shared" si="39"/>
        <v>EUB09D700268</v>
      </c>
      <c r="G729" s="4">
        <v>3054</v>
      </c>
      <c r="H729" s="22">
        <v>2</v>
      </c>
      <c r="J729" s="18" t="str">
        <f t="shared" si="40"/>
        <v>Nem Heineken Költség</v>
      </c>
      <c r="K729" s="2" t="str">
        <f t="shared" si="38"/>
        <v/>
      </c>
    </row>
    <row r="730" spans="1:11" x14ac:dyDescent="0.25">
      <c r="A730" s="14">
        <v>45258.615274421296</v>
      </c>
      <c r="B730" s="2" t="s">
        <v>32</v>
      </c>
      <c r="C730" s="22" t="s">
        <v>1156</v>
      </c>
      <c r="D730" s="111" t="s">
        <v>95</v>
      </c>
      <c r="E730" s="18" t="s">
        <v>1177</v>
      </c>
      <c r="F730" s="4" t="str">
        <f t="shared" si="39"/>
        <v>Nincs Adat</v>
      </c>
      <c r="G730" s="4"/>
      <c r="H730" s="22"/>
      <c r="J730" s="18" t="str">
        <f t="shared" si="40"/>
        <v>Nem Heineken Költség</v>
      </c>
      <c r="K730" s="2" t="str">
        <f t="shared" si="38"/>
        <v/>
      </c>
    </row>
    <row r="731" spans="1:11" x14ac:dyDescent="0.25">
      <c r="A731" s="14">
        <v>45258.476355324077</v>
      </c>
      <c r="B731" s="2" t="s">
        <v>6</v>
      </c>
      <c r="C731" s="22" t="s">
        <v>1163</v>
      </c>
      <c r="D731" s="111" t="s">
        <v>95</v>
      </c>
      <c r="E731" s="18" t="s">
        <v>1175</v>
      </c>
      <c r="F731" s="4" t="str">
        <f t="shared" si="39"/>
        <v>EUB09D700742</v>
      </c>
      <c r="G731" s="217">
        <v>2</v>
      </c>
      <c r="H731" s="22"/>
      <c r="J731" s="18"/>
      <c r="K731" s="2" t="str">
        <f t="shared" si="38"/>
        <v/>
      </c>
    </row>
    <row r="732" spans="1:11" x14ac:dyDescent="0.25">
      <c r="A732" s="14">
        <v>45258.476039236113</v>
      </c>
      <c r="B732" s="2" t="s">
        <v>15</v>
      </c>
      <c r="C732" s="22" t="s">
        <v>1154</v>
      </c>
      <c r="D732" s="111" t="s">
        <v>95</v>
      </c>
      <c r="E732" s="18" t="s">
        <v>1155</v>
      </c>
      <c r="F732" s="4" t="str">
        <f t="shared" si="39"/>
        <v>EUB09D700705</v>
      </c>
      <c r="G732" s="4">
        <v>1541</v>
      </c>
      <c r="H732" s="22"/>
      <c r="K732" s="2">
        <f t="shared" si="38"/>
        <v>162.04</v>
      </c>
    </row>
    <row r="733" spans="1:11" x14ac:dyDescent="0.25">
      <c r="A733" s="14">
        <v>45258.47515416667</v>
      </c>
      <c r="B733" s="2" t="s">
        <v>891</v>
      </c>
      <c r="C733" s="22" t="s">
        <v>1151</v>
      </c>
      <c r="D733" s="111" t="s">
        <v>95</v>
      </c>
      <c r="E733" s="18" t="s">
        <v>1152</v>
      </c>
      <c r="F733" s="4">
        <f t="shared" si="39"/>
        <v>10817</v>
      </c>
      <c r="G733" s="4">
        <v>131</v>
      </c>
      <c r="H733" s="22"/>
      <c r="K733" s="2" t="str">
        <f t="shared" si="38"/>
        <v/>
      </c>
    </row>
    <row r="734" spans="1:11" x14ac:dyDescent="0.25">
      <c r="A734" s="14">
        <v>45258.474517245369</v>
      </c>
      <c r="B734" s="2" t="s">
        <v>80</v>
      </c>
      <c r="C734" s="22" t="s">
        <v>1149</v>
      </c>
      <c r="D734" s="111" t="s">
        <v>95</v>
      </c>
      <c r="E734" s="18" t="s">
        <v>1153</v>
      </c>
      <c r="F734" s="4" t="str">
        <f t="shared" si="39"/>
        <v>PTP200R239154</v>
      </c>
      <c r="G734" s="4">
        <v>72</v>
      </c>
      <c r="H734" s="22"/>
      <c r="K734" s="2" t="str">
        <f t="shared" si="38"/>
        <v/>
      </c>
    </row>
    <row r="735" spans="1:11" x14ac:dyDescent="0.25">
      <c r="A735" s="14">
        <v>45258.474038888889</v>
      </c>
      <c r="B735" s="2" t="s">
        <v>78</v>
      </c>
      <c r="C735" s="22" t="s">
        <v>1147</v>
      </c>
      <c r="D735" s="111" t="s">
        <v>95</v>
      </c>
      <c r="E735" s="18" t="s">
        <v>1148</v>
      </c>
      <c r="F735" s="4" t="str">
        <f t="shared" si="39"/>
        <v>PTP200R239152</v>
      </c>
      <c r="G735" s="4">
        <v>1518</v>
      </c>
      <c r="H735" s="22"/>
      <c r="K735" s="2" t="str">
        <f t="shared" si="38"/>
        <v/>
      </c>
    </row>
    <row r="736" spans="1:11" ht="49.9" customHeight="1" x14ac:dyDescent="0.25">
      <c r="A736" s="14">
        <v>45258</v>
      </c>
      <c r="B736" s="2" t="s">
        <v>15</v>
      </c>
      <c r="C736" s="22" t="s">
        <v>1829</v>
      </c>
      <c r="D736" s="548" t="s">
        <v>95</v>
      </c>
      <c r="E736" s="18" t="s">
        <v>1480</v>
      </c>
      <c r="F736" s="4" t="str">
        <f t="shared" si="39"/>
        <v>EUB09D700705</v>
      </c>
      <c r="G736" s="4">
        <v>1541</v>
      </c>
      <c r="H736" s="22"/>
      <c r="K736" s="2">
        <f t="shared" si="38"/>
        <v>448.49</v>
      </c>
    </row>
    <row r="737" spans="1:11" x14ac:dyDescent="0.25">
      <c r="A737" s="14">
        <v>45257.367034953706</v>
      </c>
      <c r="B737" s="2" t="s">
        <v>141</v>
      </c>
      <c r="C737" s="22" t="s">
        <v>1164</v>
      </c>
      <c r="D737" s="111" t="s">
        <v>95</v>
      </c>
      <c r="E737" s="18" t="s">
        <v>1170</v>
      </c>
      <c r="F737" s="4" t="str">
        <f t="shared" si="39"/>
        <v>LO20N2RCB13B00110</v>
      </c>
      <c r="G737" s="4">
        <v>2</v>
      </c>
      <c r="H737" s="22">
        <v>1075</v>
      </c>
      <c r="K737" s="2" t="str">
        <f t="shared" si="38"/>
        <v/>
      </c>
    </row>
    <row r="738" spans="1:11" x14ac:dyDescent="0.25">
      <c r="A738" s="14">
        <v>45257.360858333333</v>
      </c>
      <c r="B738" s="2" t="s">
        <v>10</v>
      </c>
      <c r="C738" s="22" t="s">
        <v>1142</v>
      </c>
      <c r="D738" s="111" t="s">
        <v>95</v>
      </c>
      <c r="E738" s="18" t="s">
        <v>1143</v>
      </c>
      <c r="F738" s="4" t="str">
        <f t="shared" si="39"/>
        <v>EUB09D700794</v>
      </c>
      <c r="G738" s="4">
        <v>3431</v>
      </c>
      <c r="H738" s="22">
        <v>1</v>
      </c>
      <c r="K738" s="2" t="str">
        <f t="shared" si="38"/>
        <v/>
      </c>
    </row>
    <row r="739" spans="1:11" x14ac:dyDescent="0.25">
      <c r="A739" s="14">
        <v>45257.359471759257</v>
      </c>
      <c r="B739" s="2" t="s">
        <v>10</v>
      </c>
      <c r="C739" s="22" t="s">
        <v>1139</v>
      </c>
      <c r="D739" s="111" t="s">
        <v>95</v>
      </c>
      <c r="E739" s="18" t="s">
        <v>1140</v>
      </c>
      <c r="F739" s="4" t="str">
        <f t="shared" si="39"/>
        <v>EUB09D700794</v>
      </c>
      <c r="G739" s="4">
        <v>3431</v>
      </c>
      <c r="H739" s="22"/>
      <c r="K739" s="2" t="str">
        <f t="shared" ref="K739:K778" si="41">IFERROR(VLOOKUP(E739,poprice,4,0),"")</f>
        <v/>
      </c>
    </row>
    <row r="740" spans="1:11" x14ac:dyDescent="0.25">
      <c r="A740" s="14">
        <v>45257.358303125002</v>
      </c>
      <c r="B740" s="2" t="s">
        <v>11</v>
      </c>
      <c r="C740" s="22" t="s">
        <v>1165</v>
      </c>
      <c r="D740" s="111" t="s">
        <v>95</v>
      </c>
      <c r="E740" s="18" t="s">
        <v>1138</v>
      </c>
      <c r="F740" s="4" t="str">
        <f t="shared" si="39"/>
        <v>EUB09D700850</v>
      </c>
      <c r="G740" s="4"/>
      <c r="H740" s="22"/>
      <c r="K740" s="2" t="str">
        <f t="shared" si="41"/>
        <v/>
      </c>
    </row>
    <row r="741" spans="1:11" x14ac:dyDescent="0.25">
      <c r="A741" s="14">
        <v>45257.357111342593</v>
      </c>
      <c r="B741" s="2" t="s">
        <v>7</v>
      </c>
      <c r="C741" s="22" t="s">
        <v>1137</v>
      </c>
      <c r="D741" s="111" t="s">
        <v>96</v>
      </c>
      <c r="E741" s="18"/>
      <c r="F741" s="4" t="str">
        <f t="shared" si="39"/>
        <v>EUB09D700743</v>
      </c>
      <c r="G741" s="4"/>
      <c r="H741" s="22"/>
      <c r="K741" s="2" t="str">
        <f t="shared" si="41"/>
        <v/>
      </c>
    </row>
    <row r="742" spans="1:11" x14ac:dyDescent="0.25">
      <c r="A742" s="14">
        <v>45257.35693587963</v>
      </c>
      <c r="B742" s="2" t="s">
        <v>6</v>
      </c>
      <c r="C742" s="22" t="s">
        <v>1162</v>
      </c>
      <c r="D742" s="111" t="s">
        <v>95</v>
      </c>
      <c r="E742" s="18" t="s">
        <v>1175</v>
      </c>
      <c r="F742" s="4" t="str">
        <f t="shared" si="39"/>
        <v>EUB09D700742</v>
      </c>
      <c r="G742" s="4">
        <v>4260</v>
      </c>
      <c r="H742" s="22">
        <v>2</v>
      </c>
      <c r="K742" s="2" t="str">
        <f t="shared" si="41"/>
        <v/>
      </c>
    </row>
    <row r="743" spans="1:11" x14ac:dyDescent="0.25">
      <c r="A743" s="14">
        <v>45257.34990335648</v>
      </c>
      <c r="B743" s="2" t="s">
        <v>5</v>
      </c>
      <c r="C743" s="22" t="s">
        <v>1161</v>
      </c>
      <c r="D743" s="111" t="s">
        <v>95</v>
      </c>
      <c r="E743" s="18" t="s">
        <v>1180</v>
      </c>
      <c r="F743" s="4" t="str">
        <f t="shared" si="39"/>
        <v>JAG2N1E701603</v>
      </c>
      <c r="G743" s="4">
        <v>895</v>
      </c>
      <c r="H743" s="22">
        <v>2</v>
      </c>
      <c r="K743" s="2" t="str">
        <f t="shared" si="41"/>
        <v/>
      </c>
    </row>
    <row r="744" spans="1:11" x14ac:dyDescent="0.25">
      <c r="A744" s="14">
        <v>45257.349370370372</v>
      </c>
      <c r="B744" s="2" t="s">
        <v>4</v>
      </c>
      <c r="C744" s="22" t="s">
        <v>1157</v>
      </c>
      <c r="D744" s="111" t="s">
        <v>96</v>
      </c>
      <c r="E744" s="18"/>
      <c r="F744" s="4" t="str">
        <f t="shared" si="39"/>
        <v>JAG2N1E701604</v>
      </c>
      <c r="G744" s="4"/>
      <c r="H744" s="22"/>
      <c r="K744" s="2" t="str">
        <f t="shared" si="41"/>
        <v/>
      </c>
    </row>
    <row r="745" spans="1:11" x14ac:dyDescent="0.25">
      <c r="A745" s="14">
        <v>45257.349121990737</v>
      </c>
      <c r="B745" s="2" t="s">
        <v>2</v>
      </c>
      <c r="C745" s="22" t="s">
        <v>1157</v>
      </c>
      <c r="D745" s="111" t="s">
        <v>96</v>
      </c>
      <c r="E745" s="18"/>
      <c r="F745" s="4" t="str">
        <f t="shared" si="39"/>
        <v>JA2N1E700427</v>
      </c>
      <c r="G745" s="4"/>
      <c r="H745" s="22"/>
      <c r="K745" s="2" t="str">
        <f t="shared" si="41"/>
        <v/>
      </c>
    </row>
    <row r="746" spans="1:11" x14ac:dyDescent="0.25">
      <c r="A746" s="14">
        <v>45257.348457291664</v>
      </c>
      <c r="B746" s="2" t="s">
        <v>26</v>
      </c>
      <c r="C746" s="22" t="s">
        <v>1136</v>
      </c>
      <c r="D746" s="111" t="s">
        <v>95</v>
      </c>
      <c r="E746" s="18"/>
      <c r="F746" s="4" t="str">
        <f t="shared" si="39"/>
        <v>EFC09D60002</v>
      </c>
      <c r="G746" s="4"/>
      <c r="H746" s="22"/>
      <c r="K746" s="2" t="str">
        <f t="shared" si="41"/>
        <v/>
      </c>
    </row>
    <row r="747" spans="1:11" x14ac:dyDescent="0.25">
      <c r="A747" s="14">
        <v>45257.346937962961</v>
      </c>
      <c r="B747" s="2" t="s">
        <v>17</v>
      </c>
      <c r="C747" s="22" t="s">
        <v>1135</v>
      </c>
      <c r="D747" s="111" t="s">
        <v>95</v>
      </c>
      <c r="E747" s="18"/>
      <c r="F747" s="4" t="str">
        <f t="shared" si="39"/>
        <v>EUB09D700852</v>
      </c>
      <c r="G747" s="4"/>
      <c r="H747" s="22"/>
      <c r="K747" s="2" t="str">
        <f t="shared" si="41"/>
        <v/>
      </c>
    </row>
    <row r="748" spans="1:11" x14ac:dyDescent="0.25">
      <c r="A748" s="14">
        <v>45257.346309375003</v>
      </c>
      <c r="B748" s="2" t="s">
        <v>13</v>
      </c>
      <c r="C748" s="22" t="s">
        <v>1158</v>
      </c>
      <c r="D748" s="111" t="s">
        <v>95</v>
      </c>
      <c r="E748" s="18" t="s">
        <v>1199</v>
      </c>
      <c r="F748" s="4" t="str">
        <f t="shared" si="39"/>
        <v>EUB09D700268</v>
      </c>
      <c r="G748" s="4">
        <v>3114</v>
      </c>
      <c r="H748" s="22">
        <v>2</v>
      </c>
      <c r="K748" s="2" t="str">
        <f t="shared" si="41"/>
        <v/>
      </c>
    </row>
    <row r="749" spans="1:11" x14ac:dyDescent="0.25">
      <c r="A749" s="14">
        <v>45257.346044560189</v>
      </c>
      <c r="B749" s="2" t="s">
        <v>13</v>
      </c>
      <c r="C749" s="22" t="s">
        <v>1134</v>
      </c>
      <c r="D749" s="111" t="s">
        <v>95</v>
      </c>
      <c r="E749" s="18" t="s">
        <v>1199</v>
      </c>
      <c r="F749" s="4" t="str">
        <f t="shared" si="39"/>
        <v>EUB09D700268</v>
      </c>
      <c r="G749" s="4">
        <v>3114</v>
      </c>
      <c r="H749" s="22">
        <v>2</v>
      </c>
      <c r="K749" s="2" t="str">
        <f t="shared" si="41"/>
        <v/>
      </c>
    </row>
    <row r="750" spans="1:11" x14ac:dyDescent="0.25">
      <c r="A750" s="14">
        <v>45257.345529861108</v>
      </c>
      <c r="B750" s="2" t="s">
        <v>12</v>
      </c>
      <c r="C750" s="22" t="s">
        <v>1159</v>
      </c>
      <c r="D750" s="111" t="s">
        <v>95</v>
      </c>
      <c r="E750" s="18"/>
      <c r="F750" s="4" t="str">
        <f t="shared" si="39"/>
        <v>EUB09D700267</v>
      </c>
      <c r="G750" s="4"/>
      <c r="H750" s="22"/>
      <c r="K750" s="2" t="str">
        <f t="shared" si="41"/>
        <v/>
      </c>
    </row>
    <row r="751" spans="1:11" x14ac:dyDescent="0.25">
      <c r="A751" s="14">
        <v>45257.345279050925</v>
      </c>
      <c r="B751" s="2" t="s">
        <v>36</v>
      </c>
      <c r="C751" s="22" t="s">
        <v>1133</v>
      </c>
      <c r="D751" s="111" t="s">
        <v>95</v>
      </c>
      <c r="E751" s="18"/>
      <c r="F751" s="4" t="str">
        <f t="shared" si="39"/>
        <v>Nincs Adat</v>
      </c>
      <c r="G751" s="4"/>
      <c r="H751" s="22"/>
      <c r="K751" s="2" t="str">
        <f t="shared" si="41"/>
        <v/>
      </c>
    </row>
    <row r="752" spans="1:11" x14ac:dyDescent="0.25">
      <c r="A752" s="14">
        <v>45252.493160300925</v>
      </c>
      <c r="B752" s="2" t="s">
        <v>16</v>
      </c>
      <c r="C752" s="22" t="s">
        <v>1132</v>
      </c>
      <c r="D752" s="111" t="s">
        <v>95</v>
      </c>
      <c r="E752" s="18" t="s">
        <v>1144</v>
      </c>
      <c r="F752" s="4" t="str">
        <f t="shared" si="39"/>
        <v>EUB09D700851</v>
      </c>
      <c r="G752" s="4"/>
      <c r="H752" s="22"/>
      <c r="K752" s="2" t="str">
        <f t="shared" si="41"/>
        <v/>
      </c>
    </row>
    <row r="753" spans="1:11" ht="49.9" customHeight="1" x14ac:dyDescent="0.25">
      <c r="A753" s="14">
        <v>45252.493026157405</v>
      </c>
      <c r="B753" s="2" t="s">
        <v>16</v>
      </c>
      <c r="C753" s="22" t="s">
        <v>1131</v>
      </c>
      <c r="D753" s="111" t="s">
        <v>95</v>
      </c>
      <c r="E753" s="18" t="s">
        <v>1144</v>
      </c>
      <c r="F753" s="4" t="str">
        <f t="shared" si="39"/>
        <v>EUB09D700851</v>
      </c>
      <c r="G753" s="4"/>
      <c r="H753" s="22"/>
      <c r="K753" s="2" t="str">
        <f t="shared" si="41"/>
        <v/>
      </c>
    </row>
    <row r="754" spans="1:11" x14ac:dyDescent="0.25">
      <c r="A754" s="14">
        <v>45252.400290740741</v>
      </c>
      <c r="B754" s="2" t="s">
        <v>16</v>
      </c>
      <c r="C754" s="22" t="s">
        <v>1130</v>
      </c>
      <c r="D754" s="111" t="s">
        <v>95</v>
      </c>
      <c r="E754" s="18" t="s">
        <v>1150</v>
      </c>
      <c r="F754" s="4" t="str">
        <f t="shared" si="39"/>
        <v>EUB09D700851</v>
      </c>
      <c r="G754" s="4"/>
      <c r="H754" s="22"/>
      <c r="K754" s="2" t="str">
        <f t="shared" si="41"/>
        <v/>
      </c>
    </row>
    <row r="755" spans="1:11" x14ac:dyDescent="0.25">
      <c r="A755" s="14">
        <v>45252.387233217596</v>
      </c>
      <c r="B755" s="2" t="s">
        <v>23</v>
      </c>
      <c r="C755" s="22" t="s">
        <v>1129</v>
      </c>
      <c r="D755" s="111" t="s">
        <v>95</v>
      </c>
      <c r="E755" s="18" t="s">
        <v>1171</v>
      </c>
      <c r="F755" s="4" t="str">
        <f t="shared" si="39"/>
        <v>EUB09D700740</v>
      </c>
      <c r="G755" s="4">
        <v>1817</v>
      </c>
      <c r="H755" s="22"/>
      <c r="K755" s="2" t="str">
        <f t="shared" si="41"/>
        <v/>
      </c>
    </row>
    <row r="756" spans="1:11" x14ac:dyDescent="0.25">
      <c r="A756" s="14">
        <v>45252.38679571759</v>
      </c>
      <c r="B756" s="2" t="s">
        <v>22</v>
      </c>
      <c r="C756" s="22" t="s">
        <v>1129</v>
      </c>
      <c r="D756" s="111" t="s">
        <v>95</v>
      </c>
      <c r="E756" s="18" t="s">
        <v>1172</v>
      </c>
      <c r="F756" s="4" t="str">
        <f t="shared" si="39"/>
        <v>EUB09D700838</v>
      </c>
      <c r="G756" s="4">
        <v>2010</v>
      </c>
      <c r="H756" s="22"/>
      <c r="K756" s="2" t="str">
        <f t="shared" si="41"/>
        <v/>
      </c>
    </row>
    <row r="757" spans="1:11" x14ac:dyDescent="0.25">
      <c r="A757" s="14">
        <v>45252.382213425924</v>
      </c>
      <c r="B757" s="2" t="s">
        <v>2</v>
      </c>
      <c r="C757" s="22" t="s">
        <v>1128</v>
      </c>
      <c r="D757" s="111" t="s">
        <v>95</v>
      </c>
      <c r="E757" s="18" t="s">
        <v>1176</v>
      </c>
      <c r="F757" s="4" t="str">
        <f t="shared" si="39"/>
        <v>JA2N1E700427</v>
      </c>
      <c r="G757" s="4"/>
      <c r="H757" s="22"/>
      <c r="K757" s="2">
        <f t="shared" si="41"/>
        <v>496.32</v>
      </c>
    </row>
    <row r="758" spans="1:11" x14ac:dyDescent="0.25">
      <c r="A758" s="14">
        <v>45252.382046064813</v>
      </c>
      <c r="B758" s="2" t="s">
        <v>2</v>
      </c>
      <c r="C758" s="22" t="s">
        <v>1127</v>
      </c>
      <c r="D758" s="111" t="s">
        <v>95</v>
      </c>
      <c r="E758" s="18"/>
      <c r="F758" s="4" t="str">
        <f t="shared" si="39"/>
        <v>JA2N1E700427</v>
      </c>
      <c r="G758" s="4"/>
      <c r="H758" s="22"/>
      <c r="K758" s="2" t="str">
        <f t="shared" si="41"/>
        <v/>
      </c>
    </row>
    <row r="759" spans="1:11" x14ac:dyDescent="0.25">
      <c r="A759" s="14">
        <v>45252.381138773148</v>
      </c>
      <c r="B759" s="2" t="s">
        <v>79</v>
      </c>
      <c r="C759" s="22" t="s">
        <v>1126</v>
      </c>
      <c r="D759" s="111" t="s">
        <v>95</v>
      </c>
      <c r="E759" s="18" t="s">
        <v>1141</v>
      </c>
      <c r="F759" s="4" t="str">
        <f t="shared" si="39"/>
        <v>PTP200R239153</v>
      </c>
      <c r="G759" s="4">
        <v>1330</v>
      </c>
      <c r="H759" s="22">
        <v>6</v>
      </c>
      <c r="K759" s="2" t="str">
        <f t="shared" si="41"/>
        <v/>
      </c>
    </row>
    <row r="760" spans="1:11" x14ac:dyDescent="0.25">
      <c r="A760" s="14">
        <v>45252.380755902777</v>
      </c>
      <c r="B760" s="2" t="s">
        <v>10</v>
      </c>
      <c r="C760" s="22" t="s">
        <v>992</v>
      </c>
      <c r="D760" s="111" t="s">
        <v>95</v>
      </c>
      <c r="E760" s="18" t="s">
        <v>1143</v>
      </c>
      <c r="F760" s="4" t="str">
        <f t="shared" si="39"/>
        <v>EUB09D700794</v>
      </c>
      <c r="G760" s="4">
        <v>3431</v>
      </c>
      <c r="H760" s="22"/>
      <c r="K760" s="2" t="str">
        <f t="shared" si="41"/>
        <v/>
      </c>
    </row>
    <row r="761" spans="1:11" x14ac:dyDescent="0.25">
      <c r="A761" s="14">
        <v>45252.380615162037</v>
      </c>
      <c r="B761" s="2" t="s">
        <v>11</v>
      </c>
      <c r="C761" s="22" t="s">
        <v>616</v>
      </c>
      <c r="D761" s="111" t="s">
        <v>95</v>
      </c>
      <c r="E761" s="18" t="s">
        <v>1138</v>
      </c>
      <c r="F761" s="4" t="str">
        <f t="shared" si="39"/>
        <v>EUB09D700850</v>
      </c>
      <c r="G761" s="4">
        <v>4729</v>
      </c>
      <c r="H761" s="22"/>
      <c r="I761" s="2">
        <v>1</v>
      </c>
      <c r="K761" s="2" t="str">
        <f t="shared" si="41"/>
        <v/>
      </c>
    </row>
    <row r="762" spans="1:11" x14ac:dyDescent="0.25">
      <c r="A762" s="14">
        <v>45252.38029108796</v>
      </c>
      <c r="B762" s="2" t="s">
        <v>12</v>
      </c>
      <c r="C762" s="22" t="s">
        <v>1125</v>
      </c>
      <c r="D762" s="111" t="s">
        <v>96</v>
      </c>
      <c r="E762" s="18"/>
      <c r="F762" s="4" t="str">
        <f t="shared" si="39"/>
        <v>EUB09D700267</v>
      </c>
      <c r="G762" s="4"/>
      <c r="H762" s="22"/>
      <c r="K762" s="2" t="str">
        <f t="shared" si="41"/>
        <v/>
      </c>
    </row>
    <row r="763" spans="1:11" x14ac:dyDescent="0.25">
      <c r="A763" s="14">
        <v>45252.379945023145</v>
      </c>
      <c r="B763" s="2" t="s">
        <v>79</v>
      </c>
      <c r="C763" s="35" t="s">
        <v>1289</v>
      </c>
      <c r="D763" s="111" t="s">
        <v>95</v>
      </c>
      <c r="E763" s="18" t="s">
        <v>1124</v>
      </c>
      <c r="F763" s="4" t="str">
        <f t="shared" si="39"/>
        <v>PTP200R239153</v>
      </c>
      <c r="G763" s="4">
        <v>1324</v>
      </c>
      <c r="H763" s="22"/>
      <c r="K763" s="2">
        <f t="shared" si="41"/>
        <v>356.58</v>
      </c>
    </row>
    <row r="764" spans="1:11" x14ac:dyDescent="0.25">
      <c r="A764" s="14">
        <v>45252.379369675924</v>
      </c>
      <c r="B764" s="2" t="s">
        <v>78</v>
      </c>
      <c r="C764" s="22" t="s">
        <v>1122</v>
      </c>
      <c r="D764" s="111" t="s">
        <v>95</v>
      </c>
      <c r="E764" s="18" t="s">
        <v>1123</v>
      </c>
      <c r="F764" s="4" t="str">
        <f t="shared" si="39"/>
        <v>PTP200R239152</v>
      </c>
      <c r="G764" s="4">
        <v>1502</v>
      </c>
      <c r="H764" s="22"/>
      <c r="K764" s="2">
        <f t="shared" si="41"/>
        <v>356.58</v>
      </c>
    </row>
    <row r="765" spans="1:11" x14ac:dyDescent="0.25">
      <c r="A765" s="14">
        <v>45252.378829398149</v>
      </c>
      <c r="B765" s="2" t="s">
        <v>15</v>
      </c>
      <c r="C765" s="22" t="s">
        <v>1120</v>
      </c>
      <c r="D765" s="111" t="s">
        <v>95</v>
      </c>
      <c r="E765" s="18" t="s">
        <v>1121</v>
      </c>
      <c r="F765" s="4" t="str">
        <f t="shared" si="39"/>
        <v>EUB09D700705</v>
      </c>
      <c r="G765" s="4">
        <v>1540</v>
      </c>
      <c r="H765" s="22"/>
      <c r="K765" s="2">
        <f t="shared" si="41"/>
        <v>150.88</v>
      </c>
    </row>
    <row r="766" spans="1:11" ht="49.9" customHeight="1" x14ac:dyDescent="0.25">
      <c r="A766" s="14">
        <v>45252.377774421293</v>
      </c>
      <c r="B766" s="2" t="s">
        <v>16</v>
      </c>
      <c r="C766" s="22" t="s">
        <v>1118</v>
      </c>
      <c r="D766" s="111" t="s">
        <v>95</v>
      </c>
      <c r="E766" s="18" t="s">
        <v>1119</v>
      </c>
      <c r="F766" s="4" t="str">
        <f t="shared" si="39"/>
        <v>EUB09D700851</v>
      </c>
      <c r="G766" s="4">
        <v>3660</v>
      </c>
      <c r="H766" s="22"/>
      <c r="K766" s="2" t="str">
        <f t="shared" si="41"/>
        <v/>
      </c>
    </row>
    <row r="767" spans="1:11" x14ac:dyDescent="0.25">
      <c r="A767" s="14">
        <v>45251.440041782407</v>
      </c>
      <c r="B767" s="2" t="s">
        <v>157</v>
      </c>
      <c r="C767" s="22" t="s">
        <v>1160</v>
      </c>
      <c r="D767" s="111" t="s">
        <v>95</v>
      </c>
      <c r="E767" s="18" t="s">
        <v>1929</v>
      </c>
      <c r="F767" s="4" t="str">
        <f t="shared" si="39"/>
        <v>F24537B00021</v>
      </c>
      <c r="G767" s="4"/>
      <c r="H767" s="22"/>
      <c r="K767" s="2" t="str">
        <f t="shared" si="41"/>
        <v/>
      </c>
    </row>
    <row r="768" spans="1:11" x14ac:dyDescent="0.25">
      <c r="A768" s="14">
        <v>45251.439233680554</v>
      </c>
      <c r="B768" s="2" t="s">
        <v>32</v>
      </c>
      <c r="C768" s="22" t="s">
        <v>1116</v>
      </c>
      <c r="D768" s="111" t="s">
        <v>95</v>
      </c>
      <c r="E768" s="18" t="s">
        <v>1117</v>
      </c>
      <c r="F768" s="4" t="str">
        <f t="shared" si="39"/>
        <v>Nincs Adat</v>
      </c>
      <c r="G768" s="4"/>
      <c r="H768" s="22"/>
      <c r="K768" s="2" t="str">
        <f t="shared" si="41"/>
        <v/>
      </c>
    </row>
    <row r="769" spans="1:11" x14ac:dyDescent="0.25">
      <c r="A769" s="14">
        <v>45251.43913136574</v>
      </c>
      <c r="B769" s="2" t="s">
        <v>88</v>
      </c>
      <c r="C769" s="22" t="s">
        <v>1116</v>
      </c>
      <c r="D769" s="111" t="s">
        <v>95</v>
      </c>
      <c r="E769" s="18" t="s">
        <v>1117</v>
      </c>
      <c r="F769" s="4" t="str">
        <f t="shared" si="39"/>
        <v>Nincs Adat</v>
      </c>
      <c r="G769" s="4"/>
      <c r="H769" s="22"/>
      <c r="K769" s="2" t="str">
        <f t="shared" si="41"/>
        <v/>
      </c>
    </row>
    <row r="770" spans="1:11" x14ac:dyDescent="0.25">
      <c r="A770" s="14">
        <v>45251.439014814816</v>
      </c>
      <c r="B770" s="2" t="s">
        <v>85</v>
      </c>
      <c r="C770" s="22" t="s">
        <v>1116</v>
      </c>
      <c r="D770" s="111" t="s">
        <v>95</v>
      </c>
      <c r="E770" s="18" t="s">
        <v>1117</v>
      </c>
      <c r="F770" s="4" t="str">
        <f t="shared" si="39"/>
        <v>Nincs Adat</v>
      </c>
      <c r="G770" s="4"/>
      <c r="H770" s="22"/>
      <c r="K770" s="2" t="str">
        <f t="shared" si="41"/>
        <v/>
      </c>
    </row>
    <row r="771" spans="1:11" x14ac:dyDescent="0.25">
      <c r="A771" s="14">
        <v>45251.438866203702</v>
      </c>
      <c r="B771" s="2" t="s">
        <v>87</v>
      </c>
      <c r="C771" s="22" t="s">
        <v>1116</v>
      </c>
      <c r="D771" s="111" t="s">
        <v>95</v>
      </c>
      <c r="E771" s="18" t="s">
        <v>1117</v>
      </c>
      <c r="F771" s="4" t="str">
        <f t="shared" ref="F771:F834" si="42">IFERROR(VLOOKUP(B771,targlist02,3,0),"Nincs Adat")</f>
        <v>Nincs Adat</v>
      </c>
      <c r="G771" s="4"/>
      <c r="H771" s="22"/>
      <c r="K771" s="2" t="str">
        <f t="shared" si="41"/>
        <v/>
      </c>
    </row>
    <row r="772" spans="1:11" x14ac:dyDescent="0.25">
      <c r="A772" s="14">
        <v>45251.438772569447</v>
      </c>
      <c r="B772" s="2" t="s">
        <v>86</v>
      </c>
      <c r="C772" s="22" t="s">
        <v>1116</v>
      </c>
      <c r="D772" s="111" t="s">
        <v>95</v>
      </c>
      <c r="E772" s="18" t="s">
        <v>1117</v>
      </c>
      <c r="F772" s="4" t="str">
        <f t="shared" si="42"/>
        <v>Nincs Adat</v>
      </c>
      <c r="G772" s="4"/>
      <c r="H772" s="22"/>
      <c r="K772" s="2" t="str">
        <f t="shared" si="41"/>
        <v/>
      </c>
    </row>
    <row r="773" spans="1:11" x14ac:dyDescent="0.25">
      <c r="A773" s="14">
        <v>45251.438686111112</v>
      </c>
      <c r="B773" s="2" t="s">
        <v>82</v>
      </c>
      <c r="C773" s="22" t="s">
        <v>1116</v>
      </c>
      <c r="D773" s="111" t="s">
        <v>95</v>
      </c>
      <c r="E773" s="18" t="s">
        <v>1117</v>
      </c>
      <c r="F773" s="4" t="str">
        <f t="shared" si="42"/>
        <v>Nincs Adat</v>
      </c>
      <c r="G773" s="4"/>
      <c r="H773" s="22"/>
      <c r="K773" s="2" t="str">
        <f t="shared" si="41"/>
        <v/>
      </c>
    </row>
    <row r="774" spans="1:11" x14ac:dyDescent="0.25">
      <c r="A774" s="14">
        <v>45251.438606828706</v>
      </c>
      <c r="B774" s="2" t="s">
        <v>90</v>
      </c>
      <c r="C774" s="22" t="s">
        <v>1116</v>
      </c>
      <c r="D774" s="111" t="s">
        <v>95</v>
      </c>
      <c r="E774" s="18" t="s">
        <v>1117</v>
      </c>
      <c r="F774" s="4" t="str">
        <f t="shared" si="42"/>
        <v>Nincs Adat</v>
      </c>
      <c r="G774" s="4"/>
      <c r="H774" s="22"/>
      <c r="K774" s="2" t="str">
        <f t="shared" si="41"/>
        <v/>
      </c>
    </row>
    <row r="775" spans="1:11" x14ac:dyDescent="0.25">
      <c r="A775" s="14">
        <v>45251.438298379631</v>
      </c>
      <c r="B775" s="2" t="s">
        <v>83</v>
      </c>
      <c r="C775" s="22" t="s">
        <v>1115</v>
      </c>
      <c r="D775" s="111" t="s">
        <v>95</v>
      </c>
      <c r="E775" s="18" t="s">
        <v>1117</v>
      </c>
      <c r="F775" s="4" t="str">
        <f t="shared" si="42"/>
        <v>Nincs Adat</v>
      </c>
      <c r="G775" s="4"/>
      <c r="H775" s="22"/>
      <c r="K775" s="2" t="str">
        <f t="shared" si="41"/>
        <v/>
      </c>
    </row>
    <row r="776" spans="1:11" x14ac:dyDescent="0.25">
      <c r="A776" s="14">
        <v>45251.437962384261</v>
      </c>
      <c r="B776" s="2" t="s">
        <v>109</v>
      </c>
      <c r="C776" s="22" t="s">
        <v>1113</v>
      </c>
      <c r="D776" s="111" t="s">
        <v>95</v>
      </c>
      <c r="E776" s="18" t="s">
        <v>1114</v>
      </c>
      <c r="F776" s="4" t="str">
        <f t="shared" si="42"/>
        <v>Nincs Adat</v>
      </c>
      <c r="G776" s="4"/>
      <c r="H776" s="22"/>
      <c r="K776" s="2" t="str">
        <f t="shared" si="41"/>
        <v/>
      </c>
    </row>
    <row r="777" spans="1:11" x14ac:dyDescent="0.25">
      <c r="A777" s="14">
        <v>45251.437321990743</v>
      </c>
      <c r="B777" s="2" t="s">
        <v>78</v>
      </c>
      <c r="C777" s="22" t="s">
        <v>1111</v>
      </c>
      <c r="D777" s="111" t="s">
        <v>95</v>
      </c>
      <c r="E777" s="18" t="s">
        <v>1112</v>
      </c>
      <c r="F777" s="4" t="str">
        <f t="shared" si="42"/>
        <v>PTP200R239152</v>
      </c>
      <c r="G777" s="4"/>
      <c r="H777" s="22"/>
      <c r="K777" s="2" t="str">
        <f t="shared" si="41"/>
        <v/>
      </c>
    </row>
    <row r="778" spans="1:11" ht="30" x14ac:dyDescent="0.25">
      <c r="A778" s="14">
        <v>45251.436908796299</v>
      </c>
      <c r="B778" s="2" t="s">
        <v>89</v>
      </c>
      <c r="C778" s="35" t="s">
        <v>1110</v>
      </c>
      <c r="D778" s="111" t="s">
        <v>95</v>
      </c>
      <c r="E778" s="18" t="s">
        <v>1112</v>
      </c>
      <c r="F778" s="4" t="str">
        <f t="shared" si="42"/>
        <v>Nincs Adat</v>
      </c>
      <c r="G778" s="4"/>
      <c r="H778" s="22"/>
      <c r="K778" s="2" t="str">
        <f t="shared" si="41"/>
        <v/>
      </c>
    </row>
    <row r="779" spans="1:11" ht="30" x14ac:dyDescent="0.25">
      <c r="A779" s="14">
        <v>45251.436826504629</v>
      </c>
      <c r="B779" s="2" t="s">
        <v>83</v>
      </c>
      <c r="C779" s="35" t="s">
        <v>1110</v>
      </c>
      <c r="D779" s="111" t="s">
        <v>95</v>
      </c>
      <c r="E779" s="18" t="s">
        <v>1112</v>
      </c>
      <c r="F779" s="4" t="str">
        <f t="shared" si="42"/>
        <v>Nincs Adat</v>
      </c>
      <c r="G779" s="4"/>
      <c r="H779" s="22"/>
    </row>
    <row r="780" spans="1:11" ht="30" x14ac:dyDescent="0.25">
      <c r="A780" s="14">
        <v>45251.436756828705</v>
      </c>
      <c r="B780" s="2" t="s">
        <v>88</v>
      </c>
      <c r="C780" s="35" t="s">
        <v>1110</v>
      </c>
      <c r="D780" s="111" t="s">
        <v>95</v>
      </c>
      <c r="E780" s="18" t="s">
        <v>1112</v>
      </c>
      <c r="F780" s="4" t="str">
        <f t="shared" si="42"/>
        <v>Nincs Adat</v>
      </c>
      <c r="G780" s="4"/>
      <c r="H780" s="22"/>
    </row>
    <row r="781" spans="1:11" x14ac:dyDescent="0.25">
      <c r="A781" s="14">
        <v>45251.340082523151</v>
      </c>
      <c r="B781" s="2" t="s">
        <v>8</v>
      </c>
      <c r="C781" s="22" t="s">
        <v>1108</v>
      </c>
      <c r="D781" s="111" t="s">
        <v>95</v>
      </c>
      <c r="E781" s="18" t="s">
        <v>1109</v>
      </c>
      <c r="F781" s="4" t="str">
        <f t="shared" si="42"/>
        <v>EUB09D700744</v>
      </c>
      <c r="G781" s="4"/>
      <c r="H781" s="22"/>
    </row>
    <row r="782" spans="1:11" x14ac:dyDescent="0.25">
      <c r="A782" s="14">
        <v>45251.337969791668</v>
      </c>
      <c r="B782" s="2" t="s">
        <v>15</v>
      </c>
      <c r="C782" s="22" t="s">
        <v>1102</v>
      </c>
      <c r="D782" s="111" t="s">
        <v>95</v>
      </c>
      <c r="E782" s="18" t="s">
        <v>1105</v>
      </c>
      <c r="F782" s="4" t="str">
        <f t="shared" si="42"/>
        <v>EUB09D700705</v>
      </c>
      <c r="G782" s="4">
        <v>1540</v>
      </c>
      <c r="H782" s="22"/>
    </row>
    <row r="783" spans="1:11" x14ac:dyDescent="0.25">
      <c r="A783" s="14">
        <v>45251.337233217593</v>
      </c>
      <c r="B783" s="2" t="s">
        <v>7</v>
      </c>
      <c r="C783" s="22" t="s">
        <v>1104</v>
      </c>
      <c r="D783" s="111" t="s">
        <v>95</v>
      </c>
      <c r="E783" s="18" t="s">
        <v>1103</v>
      </c>
      <c r="F783" s="4" t="str">
        <f t="shared" si="42"/>
        <v>EUB09D700743</v>
      </c>
      <c r="G783" s="4">
        <v>3819</v>
      </c>
      <c r="H783" s="22"/>
    </row>
    <row r="784" spans="1:11" x14ac:dyDescent="0.25">
      <c r="A784" s="14">
        <v>45251.335902662038</v>
      </c>
      <c r="B784" s="2" t="s">
        <v>13</v>
      </c>
      <c r="C784" s="22" t="s">
        <v>1286</v>
      </c>
      <c r="D784" s="111" t="s">
        <v>95</v>
      </c>
      <c r="E784" s="18" t="s">
        <v>1101</v>
      </c>
      <c r="F784" s="4" t="str">
        <f t="shared" si="42"/>
        <v>EUB09D700268</v>
      </c>
      <c r="G784" s="4">
        <v>2906</v>
      </c>
      <c r="H784" s="22"/>
    </row>
    <row r="785" spans="1:8" x14ac:dyDescent="0.25">
      <c r="A785" s="14">
        <v>45247</v>
      </c>
      <c r="B785" s="2" t="s">
        <v>6</v>
      </c>
      <c r="C785" s="22" t="s">
        <v>1106</v>
      </c>
      <c r="D785" s="111" t="s">
        <v>95</v>
      </c>
      <c r="E785" s="18" t="s">
        <v>1107</v>
      </c>
      <c r="F785" s="4" t="str">
        <f t="shared" si="42"/>
        <v>EUB09D700742</v>
      </c>
      <c r="G785" s="4">
        <v>4187</v>
      </c>
      <c r="H785" s="22"/>
    </row>
    <row r="786" spans="1:8" x14ac:dyDescent="0.25">
      <c r="A786" s="14">
        <v>45245.529825810183</v>
      </c>
      <c r="B786" s="2" t="s">
        <v>9</v>
      </c>
      <c r="C786" s="22" t="s">
        <v>1098</v>
      </c>
      <c r="D786" s="111" t="s">
        <v>95</v>
      </c>
      <c r="E786" s="18" t="s">
        <v>1099</v>
      </c>
      <c r="F786" s="4" t="str">
        <f t="shared" si="42"/>
        <v>EUB09D700745</v>
      </c>
      <c r="G786" s="4">
        <v>4192</v>
      </c>
      <c r="H786" s="22">
        <v>1</v>
      </c>
    </row>
    <row r="787" spans="1:8" ht="30" x14ac:dyDescent="0.25">
      <c r="A787" s="14">
        <v>45245.52365949074</v>
      </c>
      <c r="B787" s="2" t="s">
        <v>78</v>
      </c>
      <c r="C787" s="35" t="s">
        <v>1079</v>
      </c>
      <c r="D787" s="111" t="s">
        <v>95</v>
      </c>
      <c r="E787" s="18" t="s">
        <v>1080</v>
      </c>
      <c r="F787" s="4" t="str">
        <f t="shared" si="42"/>
        <v>PTP200R239152</v>
      </c>
      <c r="G787" s="4">
        <v>1485</v>
      </c>
      <c r="H787" s="22">
        <v>3</v>
      </c>
    </row>
    <row r="788" spans="1:8" x14ac:dyDescent="0.25">
      <c r="A788" s="14">
        <v>45245.506839351852</v>
      </c>
      <c r="B788" s="2" t="s">
        <v>24</v>
      </c>
      <c r="C788" s="22" t="s">
        <v>1055</v>
      </c>
      <c r="D788" s="111" t="s">
        <v>95</v>
      </c>
      <c r="E788" s="18" t="s">
        <v>1056</v>
      </c>
      <c r="F788" s="4" t="str">
        <f t="shared" si="42"/>
        <v>EUB09D700704</v>
      </c>
      <c r="G788" s="4">
        <v>2656</v>
      </c>
      <c r="H788" s="22">
        <v>2</v>
      </c>
    </row>
    <row r="789" spans="1:8" x14ac:dyDescent="0.25">
      <c r="A789" s="14">
        <v>45245.504900810185</v>
      </c>
      <c r="B789" s="2" t="s">
        <v>25</v>
      </c>
      <c r="C789" s="22" t="s">
        <v>1054</v>
      </c>
      <c r="D789" s="111" t="s">
        <v>95</v>
      </c>
      <c r="E789" s="18" t="s">
        <v>1053</v>
      </c>
      <c r="F789" s="4" t="str">
        <f t="shared" si="42"/>
        <v>EUB09D700741</v>
      </c>
      <c r="G789" s="4">
        <v>1873</v>
      </c>
      <c r="H789" s="22">
        <v>1</v>
      </c>
    </row>
    <row r="790" spans="1:8" x14ac:dyDescent="0.25">
      <c r="A790" s="14">
        <v>45245.33160636574</v>
      </c>
      <c r="B790" s="2" t="s">
        <v>162</v>
      </c>
      <c r="C790" s="22" t="s">
        <v>1167</v>
      </c>
      <c r="D790" s="111" t="s">
        <v>95</v>
      </c>
      <c r="E790" s="18" t="s">
        <v>1185</v>
      </c>
      <c r="F790" s="4" t="str">
        <f t="shared" si="42"/>
        <v>Nincs Adat</v>
      </c>
      <c r="G790" s="4"/>
      <c r="H790" s="22"/>
    </row>
    <row r="791" spans="1:8" x14ac:dyDescent="0.25">
      <c r="A791" s="14">
        <v>45245.330381944441</v>
      </c>
      <c r="B791" s="2" t="s">
        <v>82</v>
      </c>
      <c r="C791" s="22" t="s">
        <v>1043</v>
      </c>
      <c r="D791" s="111" t="s">
        <v>95</v>
      </c>
      <c r="E791" s="18"/>
      <c r="F791" s="4" t="str">
        <f t="shared" si="42"/>
        <v>Nincs Adat</v>
      </c>
      <c r="G791" s="4"/>
      <c r="H791" s="22"/>
    </row>
    <row r="792" spans="1:8" ht="30" x14ac:dyDescent="0.25">
      <c r="A792" s="14">
        <v>45245</v>
      </c>
      <c r="B792" s="2" t="s">
        <v>80</v>
      </c>
      <c r="C792" s="22" t="s">
        <v>1100</v>
      </c>
      <c r="D792" s="111" t="s">
        <v>95</v>
      </c>
      <c r="E792" s="107" t="s">
        <v>1145</v>
      </c>
      <c r="F792" s="4" t="str">
        <f t="shared" si="42"/>
        <v>PTP200R239154</v>
      </c>
      <c r="G792" s="4">
        <v>1</v>
      </c>
      <c r="H792" s="22">
        <v>72</v>
      </c>
    </row>
    <row r="793" spans="1:8" x14ac:dyDescent="0.25">
      <c r="A793" s="14">
        <v>45244</v>
      </c>
      <c r="B793" s="2" t="s">
        <v>77</v>
      </c>
      <c r="C793" s="22" t="s">
        <v>1096</v>
      </c>
      <c r="D793" s="111" t="s">
        <v>95</v>
      </c>
      <c r="E793" s="18" t="s">
        <v>1097</v>
      </c>
      <c r="F793" s="4" t="str">
        <f t="shared" si="42"/>
        <v>PTP200R239151</v>
      </c>
      <c r="G793" s="4">
        <v>867</v>
      </c>
      <c r="H793" s="22">
        <v>5</v>
      </c>
    </row>
    <row r="794" spans="1:8" ht="49.9" customHeight="1" x14ac:dyDescent="0.25">
      <c r="A794" s="14">
        <v>45244</v>
      </c>
      <c r="B794" s="2" t="s">
        <v>9</v>
      </c>
      <c r="C794" s="22" t="s">
        <v>1092</v>
      </c>
      <c r="D794" s="111" t="s">
        <v>95</v>
      </c>
      <c r="E794" s="18" t="s">
        <v>1093</v>
      </c>
      <c r="F794" s="4" t="str">
        <f t="shared" si="42"/>
        <v>EUB09D700745</v>
      </c>
      <c r="G794" s="4">
        <v>4192</v>
      </c>
      <c r="H794" s="22">
        <v>1</v>
      </c>
    </row>
    <row r="795" spans="1:8" x14ac:dyDescent="0.25">
      <c r="A795" s="14">
        <v>45244</v>
      </c>
      <c r="B795" s="2" t="s">
        <v>77</v>
      </c>
      <c r="C795" s="22" t="s">
        <v>1090</v>
      </c>
      <c r="D795" s="111" t="s">
        <v>95</v>
      </c>
      <c r="E795" s="18" t="s">
        <v>1091</v>
      </c>
      <c r="F795" s="4" t="str">
        <f t="shared" si="42"/>
        <v>PTP200R239151</v>
      </c>
      <c r="G795" s="4" t="s">
        <v>1094</v>
      </c>
      <c r="H795" s="22">
        <v>5</v>
      </c>
    </row>
    <row r="796" spans="1:8" x14ac:dyDescent="0.25">
      <c r="A796" s="14">
        <v>45244</v>
      </c>
      <c r="B796" s="2" t="s">
        <v>19</v>
      </c>
      <c r="C796" s="22" t="s">
        <v>1088</v>
      </c>
      <c r="D796" s="111" t="s">
        <v>95</v>
      </c>
      <c r="E796" s="18" t="s">
        <v>1089</v>
      </c>
      <c r="F796" s="4" t="str">
        <f t="shared" si="42"/>
        <v>EUB09D700836</v>
      </c>
      <c r="G796" s="4">
        <v>4551</v>
      </c>
      <c r="H796" s="22">
        <v>1</v>
      </c>
    </row>
    <row r="797" spans="1:8" x14ac:dyDescent="0.25">
      <c r="A797" s="14">
        <v>45244</v>
      </c>
      <c r="B797" s="2" t="s">
        <v>19</v>
      </c>
      <c r="C797" s="22" t="s">
        <v>1086</v>
      </c>
      <c r="D797" s="111" t="s">
        <v>95</v>
      </c>
      <c r="E797" s="18" t="s">
        <v>1087</v>
      </c>
      <c r="F797" s="4" t="str">
        <f t="shared" si="42"/>
        <v>EUB09D700836</v>
      </c>
      <c r="G797" s="4" t="s">
        <v>1095</v>
      </c>
      <c r="H797" s="22">
        <v>1</v>
      </c>
    </row>
    <row r="798" spans="1:8" x14ac:dyDescent="0.25">
      <c r="A798" s="14">
        <v>45243</v>
      </c>
      <c r="B798" s="2" t="s">
        <v>77</v>
      </c>
      <c r="C798" s="22" t="s">
        <v>1083</v>
      </c>
      <c r="D798" s="111" t="s">
        <v>95</v>
      </c>
      <c r="E798" s="18" t="s">
        <v>1084</v>
      </c>
      <c r="F798" s="4" t="str">
        <f t="shared" si="42"/>
        <v>PTP200R239151</v>
      </c>
      <c r="G798" s="4" t="s">
        <v>1085</v>
      </c>
      <c r="H798" s="22">
        <v>2</v>
      </c>
    </row>
    <row r="799" spans="1:8" x14ac:dyDescent="0.25">
      <c r="A799" s="14">
        <v>45243</v>
      </c>
      <c r="B799" s="2" t="s">
        <v>17</v>
      </c>
      <c r="C799" s="22" t="s">
        <v>1081</v>
      </c>
      <c r="D799" s="111" t="s">
        <v>95</v>
      </c>
      <c r="E799" s="18" t="s">
        <v>1082</v>
      </c>
      <c r="F799" s="4" t="str">
        <f t="shared" si="42"/>
        <v>EUB09D700852</v>
      </c>
      <c r="G799" s="4">
        <v>3722</v>
      </c>
      <c r="H799" s="22">
        <v>1</v>
      </c>
    </row>
    <row r="800" spans="1:8" x14ac:dyDescent="0.25">
      <c r="A800" s="14">
        <v>45243</v>
      </c>
      <c r="B800" s="2" t="s">
        <v>158</v>
      </c>
      <c r="C800" s="22" t="s">
        <v>509</v>
      </c>
      <c r="D800" s="111" t="s">
        <v>95</v>
      </c>
      <c r="E800" s="18" t="s">
        <v>1078</v>
      </c>
      <c r="F800" s="4" t="str">
        <f t="shared" si="42"/>
        <v>F24537B00022</v>
      </c>
      <c r="G800" s="4">
        <v>2830</v>
      </c>
      <c r="H800" s="22">
        <v>1</v>
      </c>
    </row>
    <row r="801" spans="1:8" x14ac:dyDescent="0.25">
      <c r="A801" s="14">
        <v>45243</v>
      </c>
      <c r="B801" s="2" t="s">
        <v>157</v>
      </c>
      <c r="C801" s="22" t="s">
        <v>1076</v>
      </c>
      <c r="D801" s="111" t="s">
        <v>95</v>
      </c>
      <c r="E801" s="18" t="s">
        <v>1077</v>
      </c>
      <c r="F801" s="4" t="str">
        <f t="shared" si="42"/>
        <v>F24537B00021</v>
      </c>
      <c r="G801" s="4">
        <v>5572</v>
      </c>
      <c r="H801" s="22">
        <v>2</v>
      </c>
    </row>
    <row r="802" spans="1:8" x14ac:dyDescent="0.25">
      <c r="A802" s="14">
        <v>45243</v>
      </c>
      <c r="B802" s="2" t="s">
        <v>26</v>
      </c>
      <c r="C802" s="22" t="s">
        <v>1055</v>
      </c>
      <c r="D802" s="111" t="s">
        <v>95</v>
      </c>
      <c r="E802" s="18" t="s">
        <v>1075</v>
      </c>
      <c r="F802" s="4" t="str">
        <f t="shared" si="42"/>
        <v>EFC09D60002</v>
      </c>
      <c r="G802" s="4">
        <v>5943</v>
      </c>
      <c r="H802" s="22">
        <v>1</v>
      </c>
    </row>
    <row r="803" spans="1:8" x14ac:dyDescent="0.25">
      <c r="A803" s="14">
        <v>45240.356663888888</v>
      </c>
      <c r="B803" s="2" t="s">
        <v>891</v>
      </c>
      <c r="C803" s="22" t="s">
        <v>1041</v>
      </c>
      <c r="D803" s="111" t="s">
        <v>95</v>
      </c>
      <c r="E803" s="18" t="s">
        <v>1042</v>
      </c>
      <c r="F803" s="4">
        <f t="shared" si="42"/>
        <v>10817</v>
      </c>
      <c r="G803" s="4">
        <v>113</v>
      </c>
      <c r="H803" s="22">
        <v>1</v>
      </c>
    </row>
    <row r="804" spans="1:8" x14ac:dyDescent="0.25">
      <c r="A804" s="14">
        <v>45240.356164120371</v>
      </c>
      <c r="B804" s="2" t="s">
        <v>24</v>
      </c>
      <c r="C804" s="22" t="s">
        <v>1040</v>
      </c>
      <c r="D804" s="111" t="s">
        <v>95</v>
      </c>
      <c r="E804" s="18"/>
      <c r="F804" s="4" t="str">
        <f t="shared" si="42"/>
        <v>EUB09D700704</v>
      </c>
      <c r="G804" s="4">
        <v>2656</v>
      </c>
      <c r="H804" s="22"/>
    </row>
    <row r="805" spans="1:8" x14ac:dyDescent="0.25">
      <c r="A805" s="14">
        <v>45240.355053703701</v>
      </c>
      <c r="B805" s="2" t="s">
        <v>15</v>
      </c>
      <c r="C805" s="22" t="s">
        <v>1038</v>
      </c>
      <c r="D805" s="111" t="s">
        <v>95</v>
      </c>
      <c r="E805" s="18" t="s">
        <v>1039</v>
      </c>
      <c r="F805" s="4" t="str">
        <f t="shared" si="42"/>
        <v>EUB09D700705</v>
      </c>
      <c r="G805" s="4">
        <v>1539</v>
      </c>
      <c r="H805" s="22"/>
    </row>
    <row r="806" spans="1:8" x14ac:dyDescent="0.25">
      <c r="A806" s="14">
        <v>45240.354547222225</v>
      </c>
      <c r="B806" s="2" t="s">
        <v>11</v>
      </c>
      <c r="C806" s="22" t="s">
        <v>1036</v>
      </c>
      <c r="D806" s="111" t="s">
        <v>95</v>
      </c>
      <c r="E806" s="18" t="s">
        <v>1037</v>
      </c>
      <c r="F806" s="4" t="str">
        <f t="shared" si="42"/>
        <v>EUB09D700850</v>
      </c>
      <c r="G806" s="4">
        <v>4569</v>
      </c>
      <c r="H806" s="22"/>
    </row>
    <row r="807" spans="1:8" x14ac:dyDescent="0.25">
      <c r="A807" s="14">
        <v>45240.354178587964</v>
      </c>
      <c r="B807" s="2" t="s">
        <v>24</v>
      </c>
      <c r="C807" s="22" t="s">
        <v>1034</v>
      </c>
      <c r="D807" s="111" t="s">
        <v>95</v>
      </c>
      <c r="E807" s="18" t="s">
        <v>1035</v>
      </c>
      <c r="F807" s="4" t="str">
        <f t="shared" si="42"/>
        <v>EUB09D700704</v>
      </c>
      <c r="G807" s="4">
        <v>2655</v>
      </c>
      <c r="H807" s="22"/>
    </row>
    <row r="808" spans="1:8" x14ac:dyDescent="0.25">
      <c r="A808" s="14">
        <v>45240.352360185185</v>
      </c>
      <c r="B808" s="2" t="s">
        <v>4</v>
      </c>
      <c r="C808" s="22" t="s">
        <v>1032</v>
      </c>
      <c r="D808" s="111" t="s">
        <v>95</v>
      </c>
      <c r="E808" s="18" t="s">
        <v>1033</v>
      </c>
      <c r="F808" s="4" t="str">
        <f t="shared" si="42"/>
        <v>JAG2N1E701604</v>
      </c>
      <c r="G808" s="4">
        <v>927</v>
      </c>
      <c r="H808" s="22"/>
    </row>
    <row r="809" spans="1:8" ht="49.9" customHeight="1" x14ac:dyDescent="0.25">
      <c r="A809" s="14">
        <v>45240.352097569441</v>
      </c>
      <c r="B809" s="2" t="s">
        <v>78</v>
      </c>
      <c r="C809" s="22" t="s">
        <v>1030</v>
      </c>
      <c r="D809" s="111" t="s">
        <v>95</v>
      </c>
      <c r="E809" s="18" t="s">
        <v>1031</v>
      </c>
      <c r="F809" s="4" t="str">
        <f t="shared" si="42"/>
        <v>PTP200R239152</v>
      </c>
      <c r="G809" s="4">
        <v>1478</v>
      </c>
      <c r="H809" s="22"/>
    </row>
    <row r="810" spans="1:8" x14ac:dyDescent="0.25">
      <c r="A810" s="14">
        <v>45240.351437037039</v>
      </c>
      <c r="B810" s="2" t="s">
        <v>77</v>
      </c>
      <c r="C810" s="22" t="s">
        <v>1028</v>
      </c>
      <c r="D810" s="111" t="s">
        <v>95</v>
      </c>
      <c r="E810" s="18" t="s">
        <v>1029</v>
      </c>
      <c r="F810" s="4" t="str">
        <f t="shared" si="42"/>
        <v>PTP200R239151</v>
      </c>
      <c r="G810" s="4">
        <v>844</v>
      </c>
      <c r="H810" s="22"/>
    </row>
    <row r="811" spans="1:8" x14ac:dyDescent="0.25">
      <c r="A811" s="14">
        <v>45240.350411921296</v>
      </c>
      <c r="B811" s="2" t="s">
        <v>20</v>
      </c>
      <c r="C811" s="22" t="s">
        <v>1026</v>
      </c>
      <c r="D811" s="111" t="s">
        <v>95</v>
      </c>
      <c r="E811" s="18" t="s">
        <v>1027</v>
      </c>
      <c r="F811" s="4" t="str">
        <f t="shared" si="42"/>
        <v>EUB09D700832</v>
      </c>
      <c r="G811" s="4">
        <v>3127</v>
      </c>
      <c r="H811" s="22"/>
    </row>
    <row r="812" spans="1:8" x14ac:dyDescent="0.25">
      <c r="A812" s="14">
        <v>45240.335622106482</v>
      </c>
      <c r="B812" s="2" t="s">
        <v>13</v>
      </c>
      <c r="C812" s="22" t="s">
        <v>1166</v>
      </c>
      <c r="D812" s="111" t="s">
        <v>95</v>
      </c>
      <c r="E812" s="18"/>
      <c r="F812" s="4" t="str">
        <f t="shared" si="42"/>
        <v>EUB09D700268</v>
      </c>
      <c r="G812" s="4"/>
      <c r="H812" s="22"/>
    </row>
    <row r="813" spans="1:8" x14ac:dyDescent="0.25">
      <c r="A813" s="14">
        <v>45240</v>
      </c>
      <c r="B813" s="2" t="s">
        <v>25</v>
      </c>
      <c r="C813" s="22" t="s">
        <v>1073</v>
      </c>
      <c r="D813" s="111" t="s">
        <v>95</v>
      </c>
      <c r="E813" s="18" t="s">
        <v>1074</v>
      </c>
      <c r="F813" s="4" t="str">
        <f t="shared" si="42"/>
        <v>EUB09D700741</v>
      </c>
      <c r="G813" s="4">
        <v>1882</v>
      </c>
      <c r="H813" s="22">
        <v>4</v>
      </c>
    </row>
    <row r="814" spans="1:8" x14ac:dyDescent="0.25">
      <c r="A814" s="14">
        <v>45240</v>
      </c>
      <c r="B814" s="2" t="s">
        <v>16</v>
      </c>
      <c r="C814" s="22" t="s">
        <v>916</v>
      </c>
      <c r="D814" s="111" t="s">
        <v>95</v>
      </c>
      <c r="E814" s="18" t="s">
        <v>1071</v>
      </c>
      <c r="F814" s="4" t="str">
        <f t="shared" si="42"/>
        <v>EUB09D700851</v>
      </c>
      <c r="G814" s="4">
        <v>3612</v>
      </c>
      <c r="H814" s="22">
        <v>1</v>
      </c>
    </row>
    <row r="815" spans="1:8" ht="30" x14ac:dyDescent="0.25">
      <c r="A815" s="14">
        <v>45240</v>
      </c>
      <c r="B815" s="2" t="s">
        <v>23</v>
      </c>
      <c r="C815" s="35" t="s">
        <v>1072</v>
      </c>
      <c r="D815" s="111" t="s">
        <v>95</v>
      </c>
      <c r="E815" s="18" t="s">
        <v>1070</v>
      </c>
      <c r="F815" s="4" t="str">
        <f t="shared" si="42"/>
        <v>EUB09D700740</v>
      </c>
      <c r="G815" s="4">
        <v>1744</v>
      </c>
      <c r="H815" s="22">
        <v>1</v>
      </c>
    </row>
    <row r="816" spans="1:8" x14ac:dyDescent="0.25">
      <c r="A816" s="14">
        <v>45240</v>
      </c>
      <c r="B816" s="2" t="s">
        <v>13</v>
      </c>
      <c r="C816" s="22" t="s">
        <v>1067</v>
      </c>
      <c r="D816" s="111" t="s">
        <v>95</v>
      </c>
      <c r="E816" s="18" t="s">
        <v>1068</v>
      </c>
      <c r="F816" s="4" t="str">
        <f t="shared" si="42"/>
        <v>EUB09D700268</v>
      </c>
      <c r="G816" s="4">
        <v>2875</v>
      </c>
      <c r="H816" s="22">
        <v>1</v>
      </c>
    </row>
    <row r="817" spans="1:8" x14ac:dyDescent="0.25">
      <c r="A817" s="14">
        <v>45240</v>
      </c>
      <c r="B817" s="2" t="s">
        <v>13</v>
      </c>
      <c r="C817" s="22" t="s">
        <v>1065</v>
      </c>
      <c r="D817" s="111" t="s">
        <v>95</v>
      </c>
      <c r="E817" s="18" t="s">
        <v>1066</v>
      </c>
      <c r="F817" s="4" t="str">
        <f t="shared" si="42"/>
        <v>EUB09D700268</v>
      </c>
      <c r="G817" s="4">
        <v>2875</v>
      </c>
      <c r="H817" s="22">
        <v>1</v>
      </c>
    </row>
    <row r="818" spans="1:8" x14ac:dyDescent="0.25">
      <c r="A818" s="14">
        <v>45240</v>
      </c>
      <c r="B818" s="2" t="s">
        <v>6</v>
      </c>
      <c r="C818" s="22" t="s">
        <v>1063</v>
      </c>
      <c r="D818" s="111" t="s">
        <v>95</v>
      </c>
      <c r="E818" s="18" t="s">
        <v>1064</v>
      </c>
      <c r="F818" s="4" t="str">
        <f t="shared" si="42"/>
        <v>EUB09D700742</v>
      </c>
      <c r="G818" s="4" t="s">
        <v>1069</v>
      </c>
      <c r="H818" s="22">
        <v>1</v>
      </c>
    </row>
    <row r="819" spans="1:8" x14ac:dyDescent="0.25">
      <c r="A819" s="14">
        <v>45240</v>
      </c>
      <c r="B819" s="2" t="s">
        <v>11</v>
      </c>
      <c r="C819" s="22" t="s">
        <v>1061</v>
      </c>
      <c r="D819" s="111" t="s">
        <v>95</v>
      </c>
      <c r="E819" s="18" t="s">
        <v>1062</v>
      </c>
      <c r="F819" s="4" t="str">
        <f t="shared" si="42"/>
        <v>EUB09D700850</v>
      </c>
      <c r="G819" s="4"/>
      <c r="H819" s="22">
        <v>1</v>
      </c>
    </row>
    <row r="820" spans="1:8" x14ac:dyDescent="0.25">
      <c r="A820" s="14">
        <v>45239</v>
      </c>
      <c r="B820" s="2" t="s">
        <v>15</v>
      </c>
      <c r="C820" s="22" t="s">
        <v>1832</v>
      </c>
      <c r="D820" s="548" t="s">
        <v>95</v>
      </c>
      <c r="E820" s="18" t="s">
        <v>1051</v>
      </c>
      <c r="F820" s="4" t="str">
        <f t="shared" si="42"/>
        <v>EUB09D700705</v>
      </c>
      <c r="G820" s="4">
        <v>1539</v>
      </c>
      <c r="H820" s="22"/>
    </row>
    <row r="821" spans="1:8" x14ac:dyDescent="0.25">
      <c r="A821" s="14">
        <v>45239</v>
      </c>
      <c r="B821" s="2" t="s">
        <v>15</v>
      </c>
      <c r="C821" s="22" t="s">
        <v>1832</v>
      </c>
      <c r="D821" s="548" t="s">
        <v>95</v>
      </c>
      <c r="E821" s="18" t="s">
        <v>1548</v>
      </c>
      <c r="F821" s="4" t="str">
        <f t="shared" si="42"/>
        <v>EUB09D700705</v>
      </c>
      <c r="G821" s="4">
        <v>1539</v>
      </c>
      <c r="H821" s="22"/>
    </row>
    <row r="822" spans="1:8" x14ac:dyDescent="0.25">
      <c r="A822" s="14">
        <v>45239</v>
      </c>
      <c r="B822" s="2" t="s">
        <v>158</v>
      </c>
      <c r="C822" s="22" t="s">
        <v>1057</v>
      </c>
      <c r="D822" s="111" t="s">
        <v>95</v>
      </c>
      <c r="E822" s="18" t="s">
        <v>1058</v>
      </c>
      <c r="F822" s="4" t="str">
        <f t="shared" si="42"/>
        <v>F24537B00022</v>
      </c>
      <c r="G822" s="4">
        <v>2829</v>
      </c>
      <c r="H822" s="22">
        <v>1</v>
      </c>
    </row>
    <row r="823" spans="1:8" x14ac:dyDescent="0.25">
      <c r="A823" s="14">
        <v>45239</v>
      </c>
      <c r="B823" s="2" t="s">
        <v>15</v>
      </c>
      <c r="C823" s="22" t="s">
        <v>1050</v>
      </c>
      <c r="D823" s="111" t="s">
        <v>95</v>
      </c>
      <c r="E823" s="18" t="s">
        <v>1051</v>
      </c>
      <c r="F823" s="4" t="str">
        <f t="shared" si="42"/>
        <v>EUB09D700705</v>
      </c>
      <c r="G823" s="4">
        <v>1539</v>
      </c>
      <c r="H823" s="22">
        <v>2</v>
      </c>
    </row>
    <row r="824" spans="1:8" x14ac:dyDescent="0.25">
      <c r="A824" s="14">
        <v>45238.602340046295</v>
      </c>
      <c r="B824" s="2" t="s">
        <v>4</v>
      </c>
      <c r="C824" s="22" t="s">
        <v>1021</v>
      </c>
      <c r="D824" s="111" t="s">
        <v>95</v>
      </c>
      <c r="E824" s="18" t="s">
        <v>1022</v>
      </c>
      <c r="F824" s="4" t="str">
        <f t="shared" si="42"/>
        <v>JAG2N1E701604</v>
      </c>
      <c r="G824" s="4">
        <v>938</v>
      </c>
      <c r="H824" s="22"/>
    </row>
    <row r="825" spans="1:8" x14ac:dyDescent="0.25">
      <c r="A825" s="14">
        <v>45238.599752662034</v>
      </c>
      <c r="B825" s="2" t="s">
        <v>891</v>
      </c>
      <c r="C825" s="22" t="s">
        <v>1017</v>
      </c>
      <c r="D825" s="111" t="s">
        <v>95</v>
      </c>
      <c r="E825" s="18" t="s">
        <v>1018</v>
      </c>
      <c r="F825" s="4">
        <f t="shared" si="42"/>
        <v>10817</v>
      </c>
      <c r="G825" s="4">
        <v>108</v>
      </c>
      <c r="H825" s="22"/>
    </row>
    <row r="826" spans="1:8" ht="30" x14ac:dyDescent="0.25">
      <c r="A826" s="14">
        <v>45238.598872800925</v>
      </c>
      <c r="B826" s="2" t="s">
        <v>23</v>
      </c>
      <c r="C826" s="35" t="s">
        <v>1015</v>
      </c>
      <c r="D826" s="111" t="s">
        <v>95</v>
      </c>
      <c r="E826" s="18" t="s">
        <v>1016</v>
      </c>
      <c r="F826" s="4" t="str">
        <f t="shared" si="42"/>
        <v>EUB09D700740</v>
      </c>
      <c r="G826" s="4">
        <v>1722</v>
      </c>
      <c r="H826" s="22"/>
    </row>
    <row r="827" spans="1:8" x14ac:dyDescent="0.25">
      <c r="A827" s="14">
        <v>45238</v>
      </c>
      <c r="B827" s="2" t="s">
        <v>15</v>
      </c>
      <c r="C827" s="22" t="s">
        <v>1831</v>
      </c>
      <c r="D827" s="548" t="s">
        <v>95</v>
      </c>
      <c r="E827" s="18" t="s">
        <v>1545</v>
      </c>
      <c r="F827" s="4" t="str">
        <f t="shared" si="42"/>
        <v>EUB09D700705</v>
      </c>
      <c r="G827" s="4">
        <v>1539</v>
      </c>
      <c r="H827" s="22"/>
    </row>
    <row r="828" spans="1:8" x14ac:dyDescent="0.25">
      <c r="A828" s="14">
        <v>45238</v>
      </c>
      <c r="B828" s="2" t="s">
        <v>132</v>
      </c>
      <c r="C828" s="22" t="s">
        <v>1059</v>
      </c>
      <c r="D828" s="111" t="s">
        <v>95</v>
      </c>
      <c r="E828" s="18" t="s">
        <v>1060</v>
      </c>
      <c r="F828" s="4" t="str">
        <f t="shared" si="42"/>
        <v>Nincs Adat</v>
      </c>
      <c r="G828" s="4"/>
      <c r="H828" s="22">
        <v>2</v>
      </c>
    </row>
    <row r="829" spans="1:8" x14ac:dyDescent="0.25">
      <c r="A829" s="14">
        <v>45232</v>
      </c>
      <c r="B829" s="2" t="s">
        <v>81</v>
      </c>
      <c r="C829" s="22" t="s">
        <v>1013</v>
      </c>
      <c r="D829" s="111" t="s">
        <v>95</v>
      </c>
      <c r="E829" s="18" t="s">
        <v>1014</v>
      </c>
      <c r="F829" s="4" t="str">
        <f t="shared" si="42"/>
        <v>PTP200R239155</v>
      </c>
      <c r="G829" s="4">
        <v>284</v>
      </c>
      <c r="H829" s="22"/>
    </row>
    <row r="830" spans="1:8" x14ac:dyDescent="0.25">
      <c r="A830" s="14">
        <v>45232</v>
      </c>
      <c r="B830" s="2" t="s">
        <v>79</v>
      </c>
      <c r="C830" s="22" t="s">
        <v>1011</v>
      </c>
      <c r="D830" s="111" t="s">
        <v>95</v>
      </c>
      <c r="E830" s="18" t="s">
        <v>1012</v>
      </c>
      <c r="F830" s="4" t="str">
        <f t="shared" si="42"/>
        <v>PTP200R239153</v>
      </c>
      <c r="G830" s="4">
        <v>1252</v>
      </c>
      <c r="H830" s="22"/>
    </row>
    <row r="831" spans="1:8" ht="30" x14ac:dyDescent="0.25">
      <c r="A831" s="14">
        <v>45230</v>
      </c>
      <c r="B831" s="2" t="s">
        <v>78</v>
      </c>
      <c r="C831" s="35" t="s">
        <v>1009</v>
      </c>
      <c r="D831" s="111" t="s">
        <v>95</v>
      </c>
      <c r="E831" s="18" t="s">
        <v>1010</v>
      </c>
      <c r="F831" s="4" t="str">
        <f t="shared" si="42"/>
        <v>PTP200R239152</v>
      </c>
      <c r="G831" s="4">
        <v>1476</v>
      </c>
      <c r="H831" s="22"/>
    </row>
    <row r="832" spans="1:8" x14ac:dyDescent="0.25">
      <c r="A832" s="14">
        <v>45230</v>
      </c>
      <c r="B832" s="2" t="s">
        <v>6</v>
      </c>
      <c r="C832" s="22" t="s">
        <v>572</v>
      </c>
      <c r="D832" s="111" t="s">
        <v>95</v>
      </c>
      <c r="E832" s="18" t="s">
        <v>1008</v>
      </c>
      <c r="F832" s="4" t="str">
        <f t="shared" si="42"/>
        <v>EUB09D700742</v>
      </c>
      <c r="G832" s="4">
        <v>4080</v>
      </c>
      <c r="H832" s="22"/>
    </row>
    <row r="833" spans="1:8" x14ac:dyDescent="0.25">
      <c r="A833" s="14">
        <v>45230</v>
      </c>
      <c r="B833" s="2" t="s">
        <v>16</v>
      </c>
      <c r="C833" s="22" t="s">
        <v>251</v>
      </c>
      <c r="D833" s="111" t="s">
        <v>95</v>
      </c>
      <c r="E833" s="18" t="s">
        <v>1007</v>
      </c>
      <c r="F833" s="4" t="str">
        <f t="shared" si="42"/>
        <v>EUB09D700851</v>
      </c>
      <c r="G833" s="4">
        <v>3559</v>
      </c>
      <c r="H833" s="22"/>
    </row>
    <row r="834" spans="1:8" x14ac:dyDescent="0.25">
      <c r="A834" s="14">
        <v>45230</v>
      </c>
      <c r="B834" s="2" t="s">
        <v>1004</v>
      </c>
      <c r="C834" s="22" t="s">
        <v>1005</v>
      </c>
      <c r="D834" s="111" t="s">
        <v>95</v>
      </c>
      <c r="E834" s="18" t="s">
        <v>1006</v>
      </c>
      <c r="F834" s="4" t="str">
        <f t="shared" si="42"/>
        <v>Nincs Adat</v>
      </c>
      <c r="G834" s="4"/>
      <c r="H834" s="22"/>
    </row>
    <row r="835" spans="1:8" ht="49.9" customHeight="1" x14ac:dyDescent="0.25">
      <c r="A835" s="14">
        <v>45229.592430555553</v>
      </c>
      <c r="B835" s="2" t="s">
        <v>79</v>
      </c>
      <c r="C835" s="22" t="s">
        <v>1001</v>
      </c>
      <c r="D835" s="111" t="s">
        <v>95</v>
      </c>
      <c r="E835" s="18" t="s">
        <v>1002</v>
      </c>
      <c r="F835" s="4" t="str">
        <f t="shared" ref="F835:F898" si="43">IFERROR(VLOOKUP(B835,targlist02,3,0),"Nincs Adat")</f>
        <v>PTP200R239153</v>
      </c>
      <c r="G835" s="4">
        <v>1252</v>
      </c>
      <c r="H835" s="22"/>
    </row>
    <row r="836" spans="1:8" ht="30" x14ac:dyDescent="0.25">
      <c r="A836" s="14">
        <v>45229.592430555553</v>
      </c>
      <c r="B836" s="2" t="s">
        <v>77</v>
      </c>
      <c r="C836" s="35" t="s">
        <v>999</v>
      </c>
      <c r="D836" s="111" t="s">
        <v>95</v>
      </c>
      <c r="E836" s="18" t="s">
        <v>1000</v>
      </c>
      <c r="F836" s="4" t="str">
        <f t="shared" si="43"/>
        <v>PTP200R239151</v>
      </c>
      <c r="G836" s="4">
        <v>284</v>
      </c>
      <c r="H836" s="22"/>
    </row>
    <row r="837" spans="1:8" x14ac:dyDescent="0.25">
      <c r="A837" s="14">
        <v>45229.592430555553</v>
      </c>
      <c r="B837" s="2" t="s">
        <v>80</v>
      </c>
      <c r="C837" s="22" t="s">
        <v>997</v>
      </c>
      <c r="D837" s="111" t="s">
        <v>95</v>
      </c>
      <c r="E837" s="18" t="s">
        <v>998</v>
      </c>
      <c r="F837" s="4" t="str">
        <f t="shared" si="43"/>
        <v>PTP200R239154</v>
      </c>
      <c r="G837" s="4">
        <v>452</v>
      </c>
      <c r="H837" s="22"/>
    </row>
    <row r="838" spans="1:8" x14ac:dyDescent="0.25">
      <c r="A838" s="14">
        <v>45226.541256249999</v>
      </c>
      <c r="B838" s="2" t="s">
        <v>78</v>
      </c>
      <c r="C838" s="22" t="s">
        <v>995</v>
      </c>
      <c r="D838" s="111" t="s">
        <v>95</v>
      </c>
      <c r="E838" s="18" t="s">
        <v>996</v>
      </c>
      <c r="F838" s="4" t="str">
        <f t="shared" si="43"/>
        <v>PTP200R239152</v>
      </c>
      <c r="G838" s="4">
        <v>823</v>
      </c>
      <c r="H838" s="22"/>
    </row>
    <row r="839" spans="1:8" x14ac:dyDescent="0.25">
      <c r="A839" s="14">
        <v>45226.541122453702</v>
      </c>
      <c r="B839" s="2" t="s">
        <v>17</v>
      </c>
      <c r="C839" s="22" t="s">
        <v>1196</v>
      </c>
      <c r="D839" s="111" t="s">
        <v>95</v>
      </c>
      <c r="E839" s="18" t="s">
        <v>1019</v>
      </c>
      <c r="F839" s="4" t="str">
        <f t="shared" si="43"/>
        <v>EUB09D700852</v>
      </c>
      <c r="G839" s="4">
        <v>3654</v>
      </c>
      <c r="H839" s="22"/>
    </row>
    <row r="840" spans="1:8" x14ac:dyDescent="0.25">
      <c r="A840" s="14">
        <v>45226.540761574077</v>
      </c>
      <c r="B840" s="2" t="s">
        <v>15</v>
      </c>
      <c r="C840" s="22" t="s">
        <v>1023</v>
      </c>
      <c r="D840" s="111" t="s">
        <v>95</v>
      </c>
      <c r="E840" s="18"/>
      <c r="F840" s="4" t="str">
        <f t="shared" si="43"/>
        <v>EUB09D700705</v>
      </c>
      <c r="G840" s="4"/>
      <c r="H840" s="22"/>
    </row>
    <row r="841" spans="1:8" x14ac:dyDescent="0.25">
      <c r="A841" s="14">
        <v>45226.540363657405</v>
      </c>
      <c r="B841" s="2" t="s">
        <v>158</v>
      </c>
      <c r="C841" s="22" t="s">
        <v>1285</v>
      </c>
      <c r="D841" s="111" t="s">
        <v>95</v>
      </c>
      <c r="E841" s="18"/>
      <c r="F841" s="4" t="str">
        <f t="shared" si="43"/>
        <v>F24537B00022</v>
      </c>
      <c r="G841" s="4"/>
      <c r="H841" s="22"/>
    </row>
    <row r="842" spans="1:8" ht="45" x14ac:dyDescent="0.25">
      <c r="A842" s="14">
        <v>45224.402842824071</v>
      </c>
      <c r="B842" s="2" t="s">
        <v>78</v>
      </c>
      <c r="C842" s="35" t="s">
        <v>990</v>
      </c>
      <c r="D842" s="111" t="s">
        <v>95</v>
      </c>
      <c r="E842" s="18" t="s">
        <v>991</v>
      </c>
      <c r="F842" s="4" t="str">
        <f t="shared" si="43"/>
        <v>PTP200R239152</v>
      </c>
      <c r="G842" s="4">
        <v>821</v>
      </c>
      <c r="H842" s="22"/>
    </row>
    <row r="843" spans="1:8" x14ac:dyDescent="0.25">
      <c r="A843" s="14">
        <v>45224.402094675926</v>
      </c>
      <c r="B843" s="2" t="s">
        <v>9</v>
      </c>
      <c r="C843" s="22" t="s">
        <v>879</v>
      </c>
      <c r="D843" s="111" t="s">
        <v>95</v>
      </c>
      <c r="E843" s="18" t="s">
        <v>989</v>
      </c>
      <c r="F843" s="4" t="str">
        <f t="shared" si="43"/>
        <v>EUB09D700745</v>
      </c>
      <c r="G843" s="4"/>
      <c r="H843" s="22"/>
    </row>
    <row r="844" spans="1:8" ht="30" x14ac:dyDescent="0.25">
      <c r="A844" s="14">
        <v>45224.401842013889</v>
      </c>
      <c r="B844" s="2" t="s">
        <v>130</v>
      </c>
      <c r="C844" s="35" t="s">
        <v>987</v>
      </c>
      <c r="D844" s="111" t="s">
        <v>95</v>
      </c>
      <c r="E844" s="18" t="s">
        <v>988</v>
      </c>
      <c r="F844" s="4" t="str">
        <f t="shared" si="43"/>
        <v>Nincs Adat</v>
      </c>
      <c r="G844" s="4"/>
      <c r="H844" s="22"/>
    </row>
    <row r="845" spans="1:8" x14ac:dyDescent="0.25">
      <c r="A845" s="14">
        <v>45224.40105266204</v>
      </c>
      <c r="B845" s="2" t="s">
        <v>6</v>
      </c>
      <c r="C845" s="22" t="s">
        <v>985</v>
      </c>
      <c r="D845" s="111" t="s">
        <v>95</v>
      </c>
      <c r="E845" s="18" t="s">
        <v>986</v>
      </c>
      <c r="F845" s="4" t="str">
        <f t="shared" si="43"/>
        <v>EUB09D700742</v>
      </c>
      <c r="G845" s="4">
        <v>4010</v>
      </c>
      <c r="H845" s="22"/>
    </row>
    <row r="846" spans="1:8" x14ac:dyDescent="0.25">
      <c r="A846" s="14">
        <v>45224.399987731478</v>
      </c>
      <c r="B846" s="2" t="s">
        <v>7</v>
      </c>
      <c r="C846" s="22" t="s">
        <v>983</v>
      </c>
      <c r="D846" s="111" t="s">
        <v>95</v>
      </c>
      <c r="E846" s="18" t="s">
        <v>984</v>
      </c>
      <c r="F846" s="4" t="str">
        <f t="shared" si="43"/>
        <v>EUB09D700743</v>
      </c>
      <c r="G846" s="4">
        <v>3664</v>
      </c>
      <c r="H846" s="22"/>
    </row>
    <row r="847" spans="1:8" x14ac:dyDescent="0.25">
      <c r="A847" s="14">
        <v>45224.399651851854</v>
      </c>
      <c r="B847" s="2" t="s">
        <v>12</v>
      </c>
      <c r="C847" s="22" t="s">
        <v>879</v>
      </c>
      <c r="D847" s="111" t="s">
        <v>95</v>
      </c>
      <c r="E847" s="18" t="s">
        <v>982</v>
      </c>
      <c r="F847" s="4" t="str">
        <f t="shared" si="43"/>
        <v>EUB09D700267</v>
      </c>
      <c r="G847" s="4">
        <v>2539</v>
      </c>
      <c r="H847" s="22"/>
    </row>
    <row r="848" spans="1:8" x14ac:dyDescent="0.25">
      <c r="A848" s="14">
        <v>45224.398288888886</v>
      </c>
      <c r="B848" s="2" t="s">
        <v>8</v>
      </c>
      <c r="C848" s="22" t="s">
        <v>456</v>
      </c>
      <c r="D848" s="111" t="s">
        <v>95</v>
      </c>
      <c r="E848" s="18" t="s">
        <v>981</v>
      </c>
      <c r="F848" s="4" t="str">
        <f t="shared" si="43"/>
        <v>EUB09D700744</v>
      </c>
      <c r="G848" s="4">
        <v>3661</v>
      </c>
      <c r="H848" s="22"/>
    </row>
    <row r="849" spans="1:8" x14ac:dyDescent="0.25">
      <c r="A849" s="14">
        <v>45224.397741550929</v>
      </c>
      <c r="B849" s="2" t="s">
        <v>16</v>
      </c>
      <c r="C849" s="22" t="s">
        <v>979</v>
      </c>
      <c r="D849" s="111" t="s">
        <v>95</v>
      </c>
      <c r="E849" s="18" t="s">
        <v>980</v>
      </c>
      <c r="F849" s="4" t="str">
        <f t="shared" si="43"/>
        <v>EUB09D700851</v>
      </c>
      <c r="G849" s="4"/>
      <c r="H849" s="22"/>
    </row>
    <row r="850" spans="1:8" x14ac:dyDescent="0.25">
      <c r="A850" s="14">
        <v>45224.397218287035</v>
      </c>
      <c r="B850" s="2" t="s">
        <v>130</v>
      </c>
      <c r="C850" s="22" t="s">
        <v>977</v>
      </c>
      <c r="D850" s="111" t="s">
        <v>95</v>
      </c>
      <c r="E850" s="18" t="s">
        <v>978</v>
      </c>
      <c r="F850" s="4" t="str">
        <f t="shared" si="43"/>
        <v>Nincs Adat</v>
      </c>
      <c r="G850" s="4"/>
      <c r="H850" s="22">
        <v>2</v>
      </c>
    </row>
    <row r="851" spans="1:8" x14ac:dyDescent="0.25">
      <c r="A851" s="14">
        <v>45224.384644328704</v>
      </c>
      <c r="B851" s="2" t="s">
        <v>130</v>
      </c>
      <c r="C851" s="22" t="s">
        <v>975</v>
      </c>
      <c r="D851" s="111" t="s">
        <v>95</v>
      </c>
      <c r="E851" s="18" t="s">
        <v>976</v>
      </c>
      <c r="F851" s="4" t="str">
        <f t="shared" si="43"/>
        <v>Nincs Adat</v>
      </c>
      <c r="G851" s="4"/>
      <c r="H851" s="22">
        <v>4</v>
      </c>
    </row>
    <row r="852" spans="1:8" x14ac:dyDescent="0.25">
      <c r="A852" s="14">
        <v>45224.384206134258</v>
      </c>
      <c r="B852" s="2" t="s">
        <v>14</v>
      </c>
      <c r="C852" s="22" t="s">
        <v>973</v>
      </c>
      <c r="D852" s="111" t="s">
        <v>95</v>
      </c>
      <c r="E852" s="18" t="s">
        <v>974</v>
      </c>
      <c r="F852" s="4" t="str">
        <f t="shared" si="43"/>
        <v>EUB09D700269</v>
      </c>
      <c r="G852" s="4">
        <v>2712</v>
      </c>
      <c r="H852" s="22">
        <v>1</v>
      </c>
    </row>
    <row r="853" spans="1:8" ht="49.9" customHeight="1" x14ac:dyDescent="0.25">
      <c r="A853" s="14">
        <v>45216</v>
      </c>
      <c r="B853" s="2" t="s">
        <v>132</v>
      </c>
      <c r="C853" s="22" t="s">
        <v>971</v>
      </c>
      <c r="D853" s="111" t="s">
        <v>95</v>
      </c>
      <c r="E853" s="18" t="s">
        <v>972</v>
      </c>
      <c r="F853" s="4" t="str">
        <f t="shared" si="43"/>
        <v>Nincs Adat</v>
      </c>
      <c r="G853" s="4"/>
      <c r="H853" s="22">
        <v>2</v>
      </c>
    </row>
    <row r="854" spans="1:8" x14ac:dyDescent="0.25">
      <c r="A854" s="14">
        <v>45216</v>
      </c>
      <c r="B854" s="2" t="s">
        <v>142</v>
      </c>
      <c r="C854" s="22" t="s">
        <v>969</v>
      </c>
      <c r="D854" s="111" t="s">
        <v>95</v>
      </c>
      <c r="E854" s="18" t="s">
        <v>970</v>
      </c>
      <c r="F854" s="4" t="str">
        <f t="shared" si="43"/>
        <v>LO20N2RCB13B00112</v>
      </c>
      <c r="G854" s="4">
        <v>1592</v>
      </c>
      <c r="H854" s="22">
        <v>2</v>
      </c>
    </row>
    <row r="855" spans="1:8" x14ac:dyDescent="0.25">
      <c r="A855" s="14">
        <v>45216</v>
      </c>
      <c r="B855" s="2" t="s">
        <v>21</v>
      </c>
      <c r="C855" s="22" t="s">
        <v>967</v>
      </c>
      <c r="D855" s="111" t="s">
        <v>95</v>
      </c>
      <c r="E855" s="18" t="s">
        <v>968</v>
      </c>
      <c r="F855" s="4" t="str">
        <f t="shared" si="43"/>
        <v>EUB09D700842</v>
      </c>
      <c r="G855" s="4">
        <v>3152</v>
      </c>
      <c r="H855" s="22">
        <v>1</v>
      </c>
    </row>
    <row r="856" spans="1:8" x14ac:dyDescent="0.25">
      <c r="A856" s="14">
        <v>45216</v>
      </c>
      <c r="B856" s="2" t="s">
        <v>130</v>
      </c>
      <c r="C856" s="22" t="s">
        <v>965</v>
      </c>
      <c r="D856" s="111" t="s">
        <v>95</v>
      </c>
      <c r="E856" s="18" t="s">
        <v>966</v>
      </c>
      <c r="F856" s="4" t="str">
        <f t="shared" si="43"/>
        <v>Nincs Adat</v>
      </c>
      <c r="G856" s="4">
        <v>3152</v>
      </c>
      <c r="H856" s="22">
        <v>4</v>
      </c>
    </row>
    <row r="857" spans="1:8" x14ac:dyDescent="0.25">
      <c r="A857" s="14">
        <v>45211</v>
      </c>
      <c r="B857" s="2" t="s">
        <v>11</v>
      </c>
      <c r="C857" s="22" t="s">
        <v>963</v>
      </c>
      <c r="D857" s="111" t="s">
        <v>95</v>
      </c>
      <c r="E857" s="18" t="s">
        <v>964</v>
      </c>
      <c r="F857" s="4" t="str">
        <f t="shared" si="43"/>
        <v>EUB09D700850</v>
      </c>
      <c r="G857" s="4">
        <v>4390</v>
      </c>
      <c r="H857" s="22">
        <v>1</v>
      </c>
    </row>
    <row r="858" spans="1:8" x14ac:dyDescent="0.25">
      <c r="A858" s="14">
        <v>45211</v>
      </c>
      <c r="B858" s="2" t="s">
        <v>10</v>
      </c>
      <c r="C858" s="22" t="s">
        <v>961</v>
      </c>
      <c r="D858" s="111" t="s">
        <v>95</v>
      </c>
      <c r="E858" s="18" t="s">
        <v>962</v>
      </c>
      <c r="F858" s="4" t="str">
        <f t="shared" si="43"/>
        <v>EUB09D700794</v>
      </c>
      <c r="G858" s="4">
        <v>3307</v>
      </c>
      <c r="H858" s="22">
        <v>6</v>
      </c>
    </row>
    <row r="859" spans="1:8" ht="30" x14ac:dyDescent="0.25">
      <c r="A859" s="14">
        <v>45209</v>
      </c>
      <c r="B859" s="2" t="s">
        <v>79</v>
      </c>
      <c r="C859" s="35" t="s">
        <v>959</v>
      </c>
      <c r="D859" s="111" t="s">
        <v>95</v>
      </c>
      <c r="E859" s="18" t="s">
        <v>960</v>
      </c>
      <c r="F859" s="4" t="str">
        <f t="shared" si="43"/>
        <v>PTP200R239153</v>
      </c>
      <c r="G859" s="4">
        <v>1190</v>
      </c>
      <c r="H859" s="22">
        <v>2</v>
      </c>
    </row>
    <row r="860" spans="1:8" x14ac:dyDescent="0.25">
      <c r="A860" s="14">
        <v>45209</v>
      </c>
      <c r="B860" s="2" t="s">
        <v>130</v>
      </c>
      <c r="C860" s="22" t="s">
        <v>958</v>
      </c>
      <c r="D860" s="111" t="s">
        <v>95</v>
      </c>
      <c r="E860" s="18"/>
      <c r="F860" s="4" t="str">
        <f t="shared" si="43"/>
        <v>Nincs Adat</v>
      </c>
      <c r="G860" s="4"/>
      <c r="H860" s="22"/>
    </row>
    <row r="861" spans="1:8" x14ac:dyDescent="0.25">
      <c r="A861" s="14">
        <v>45209</v>
      </c>
      <c r="B861" s="2" t="s">
        <v>10</v>
      </c>
      <c r="C861" s="22" t="s">
        <v>956</v>
      </c>
      <c r="D861" s="111" t="s">
        <v>95</v>
      </c>
      <c r="E861" s="18" t="s">
        <v>957</v>
      </c>
      <c r="F861" s="4" t="str">
        <f t="shared" si="43"/>
        <v>EUB09D700794</v>
      </c>
      <c r="G861" s="4">
        <v>3307</v>
      </c>
      <c r="H861" s="22">
        <v>7</v>
      </c>
    </row>
    <row r="862" spans="1:8" x14ac:dyDescent="0.25">
      <c r="A862" s="14">
        <v>45205.390971064815</v>
      </c>
      <c r="B862" s="2" t="s">
        <v>17</v>
      </c>
      <c r="C862" s="22" t="s">
        <v>941</v>
      </c>
      <c r="D862" s="111" t="s">
        <v>95</v>
      </c>
      <c r="E862" s="18" t="s">
        <v>942</v>
      </c>
      <c r="F862" s="4" t="str">
        <f t="shared" si="43"/>
        <v>EUB09D700852</v>
      </c>
      <c r="G862" s="4">
        <v>3489</v>
      </c>
      <c r="H862" s="22">
        <v>1</v>
      </c>
    </row>
    <row r="863" spans="1:8" x14ac:dyDescent="0.25">
      <c r="A863" s="14">
        <v>45203</v>
      </c>
      <c r="B863" s="2" t="s">
        <v>16</v>
      </c>
      <c r="C863" s="22" t="s">
        <v>943</v>
      </c>
      <c r="D863" s="111" t="s">
        <v>95</v>
      </c>
      <c r="E863" s="18" t="s">
        <v>955</v>
      </c>
      <c r="F863" s="4" t="str">
        <f t="shared" si="43"/>
        <v>EUB09D700851</v>
      </c>
      <c r="G863" s="4">
        <v>3450</v>
      </c>
      <c r="H863" s="22">
        <v>1</v>
      </c>
    </row>
    <row r="864" spans="1:8" x14ac:dyDescent="0.25">
      <c r="A864" s="14">
        <v>45203</v>
      </c>
      <c r="B864" s="2" t="s">
        <v>80</v>
      </c>
      <c r="C864" s="22" t="s">
        <v>947</v>
      </c>
      <c r="D864" s="111" t="s">
        <v>95</v>
      </c>
      <c r="E864" s="18" t="s">
        <v>948</v>
      </c>
      <c r="F864" s="4" t="str">
        <f t="shared" si="43"/>
        <v>PTP200R239154</v>
      </c>
      <c r="G864" s="4">
        <v>401</v>
      </c>
      <c r="H864" s="22">
        <v>1</v>
      </c>
    </row>
    <row r="865" spans="1:8" x14ac:dyDescent="0.25">
      <c r="A865" s="14">
        <v>45203</v>
      </c>
      <c r="B865" s="2" t="s">
        <v>79</v>
      </c>
      <c r="C865" s="22" t="s">
        <v>945</v>
      </c>
      <c r="D865" s="111" t="s">
        <v>95</v>
      </c>
      <c r="E865" s="18" t="s">
        <v>946</v>
      </c>
      <c r="F865" s="4" t="str">
        <f t="shared" si="43"/>
        <v>PTP200R239153</v>
      </c>
      <c r="G865" s="4">
        <v>1153</v>
      </c>
      <c r="H865" s="22">
        <v>1</v>
      </c>
    </row>
    <row r="866" spans="1:8" ht="45" x14ac:dyDescent="0.25">
      <c r="A866" s="14">
        <v>45203</v>
      </c>
      <c r="B866" s="2" t="s">
        <v>12</v>
      </c>
      <c r="C866" s="35" t="s">
        <v>944</v>
      </c>
      <c r="D866" s="111" t="s">
        <v>95</v>
      </c>
      <c r="E866" s="18" t="s">
        <v>949</v>
      </c>
      <c r="F866" s="4" t="str">
        <f t="shared" si="43"/>
        <v>EUB09D700267</v>
      </c>
      <c r="G866" s="4"/>
      <c r="H866" s="22">
        <v>2</v>
      </c>
    </row>
    <row r="867" spans="1:8" x14ac:dyDescent="0.25">
      <c r="A867" s="14">
        <v>45203</v>
      </c>
      <c r="B867" s="2" t="s">
        <v>10</v>
      </c>
      <c r="C867" s="22" t="s">
        <v>954</v>
      </c>
      <c r="D867" s="111" t="s">
        <v>95</v>
      </c>
      <c r="E867" s="18" t="s">
        <v>953</v>
      </c>
      <c r="F867" s="4" t="str">
        <f t="shared" si="43"/>
        <v>EUB09D700794</v>
      </c>
      <c r="G867" s="4"/>
      <c r="H867" s="22">
        <v>5</v>
      </c>
    </row>
    <row r="868" spans="1:8" x14ac:dyDescent="0.25">
      <c r="A868" s="14">
        <v>45201</v>
      </c>
      <c r="B868" s="2" t="s">
        <v>11</v>
      </c>
      <c r="C868" s="22" t="s">
        <v>940</v>
      </c>
      <c r="D868" s="111" t="s">
        <v>95</v>
      </c>
      <c r="E868" s="18" t="s">
        <v>939</v>
      </c>
      <c r="F868" s="4" t="str">
        <f t="shared" si="43"/>
        <v>EUB09D700850</v>
      </c>
      <c r="G868" s="4">
        <v>4298</v>
      </c>
      <c r="H868" s="22">
        <v>1</v>
      </c>
    </row>
    <row r="869" spans="1:8" x14ac:dyDescent="0.25">
      <c r="A869" s="14">
        <v>45197</v>
      </c>
      <c r="B869" s="2" t="s">
        <v>857</v>
      </c>
      <c r="C869" s="22" t="s">
        <v>935</v>
      </c>
      <c r="D869" s="111" t="s">
        <v>95</v>
      </c>
      <c r="E869" s="18" t="s">
        <v>936</v>
      </c>
      <c r="F869" s="4" t="str">
        <f t="shared" si="43"/>
        <v>Nincs Adat</v>
      </c>
      <c r="G869" s="4">
        <v>15</v>
      </c>
      <c r="H869" s="22">
        <v>1</v>
      </c>
    </row>
    <row r="870" spans="1:8" ht="49.9" customHeight="1" x14ac:dyDescent="0.25">
      <c r="A870" s="14">
        <v>45197</v>
      </c>
      <c r="B870" s="2" t="s">
        <v>4</v>
      </c>
      <c r="C870" s="22" t="s">
        <v>933</v>
      </c>
      <c r="D870" s="111" t="s">
        <v>95</v>
      </c>
      <c r="E870" s="18" t="s">
        <v>934</v>
      </c>
      <c r="F870" s="4" t="str">
        <f t="shared" si="43"/>
        <v>JAG2N1E701604</v>
      </c>
      <c r="G870" s="4">
        <v>726</v>
      </c>
      <c r="H870" s="22">
        <v>1</v>
      </c>
    </row>
    <row r="871" spans="1:8" x14ac:dyDescent="0.25">
      <c r="A871" s="14">
        <v>45197</v>
      </c>
      <c r="B871" s="2" t="s">
        <v>78</v>
      </c>
      <c r="C871" s="22" t="s">
        <v>931</v>
      </c>
      <c r="D871" s="111" t="s">
        <v>95</v>
      </c>
      <c r="E871" s="18" t="s">
        <v>932</v>
      </c>
      <c r="F871" s="4" t="str">
        <f t="shared" si="43"/>
        <v>PTP200R239152</v>
      </c>
      <c r="G871" s="4">
        <v>1404</v>
      </c>
      <c r="H871" s="22">
        <v>1</v>
      </c>
    </row>
    <row r="872" spans="1:8" x14ac:dyDescent="0.25">
      <c r="A872" s="14">
        <v>45196.385208333333</v>
      </c>
      <c r="B872" s="2" t="s">
        <v>891</v>
      </c>
      <c r="C872" s="22" t="s">
        <v>928</v>
      </c>
      <c r="D872" s="111" t="s">
        <v>95</v>
      </c>
      <c r="E872" s="18" t="s">
        <v>929</v>
      </c>
      <c r="F872" s="4">
        <f t="shared" si="43"/>
        <v>10817</v>
      </c>
      <c r="G872" s="4">
        <v>78</v>
      </c>
      <c r="H872" s="22">
        <v>2</v>
      </c>
    </row>
    <row r="873" spans="1:8" ht="30" x14ac:dyDescent="0.25">
      <c r="A873" s="14">
        <v>45195.531668055555</v>
      </c>
      <c r="B873" s="2" t="s">
        <v>22</v>
      </c>
      <c r="C873" s="35" t="s">
        <v>938</v>
      </c>
      <c r="D873" s="111" t="s">
        <v>95</v>
      </c>
      <c r="E873" s="18" t="s">
        <v>937</v>
      </c>
      <c r="F873" s="4" t="str">
        <f t="shared" si="43"/>
        <v>EUB09D700838</v>
      </c>
      <c r="G873" s="4">
        <v>1781</v>
      </c>
      <c r="H873" s="22">
        <v>6</v>
      </c>
    </row>
    <row r="874" spans="1:8" x14ac:dyDescent="0.25">
      <c r="A874" s="14">
        <v>45195.530364004633</v>
      </c>
      <c r="B874" s="2" t="s">
        <v>24</v>
      </c>
      <c r="C874" s="22" t="s">
        <v>1830</v>
      </c>
      <c r="D874" s="111" t="s">
        <v>95</v>
      </c>
      <c r="E874" s="18" t="s">
        <v>930</v>
      </c>
      <c r="F874" s="4" t="str">
        <f t="shared" si="43"/>
        <v>EUB09D700704</v>
      </c>
      <c r="G874" s="4">
        <v>2648</v>
      </c>
      <c r="H874" s="22">
        <v>3</v>
      </c>
    </row>
    <row r="875" spans="1:8" x14ac:dyDescent="0.25">
      <c r="A875" s="14">
        <v>45195.496927314816</v>
      </c>
      <c r="B875" s="2" t="s">
        <v>4</v>
      </c>
      <c r="C875" s="22" t="s">
        <v>924</v>
      </c>
      <c r="D875" s="111" t="s">
        <v>95</v>
      </c>
      <c r="E875" s="18" t="s">
        <v>925</v>
      </c>
      <c r="F875" s="4" t="str">
        <f t="shared" si="43"/>
        <v>JAG2N1E701604</v>
      </c>
      <c r="G875" s="4">
        <v>725</v>
      </c>
      <c r="H875" s="22">
        <v>2</v>
      </c>
    </row>
    <row r="876" spans="1:8" x14ac:dyDescent="0.25">
      <c r="A876" s="14">
        <v>45195.496429976854</v>
      </c>
      <c r="B876" s="2" t="s">
        <v>26</v>
      </c>
      <c r="C876" s="22" t="s">
        <v>922</v>
      </c>
      <c r="D876" s="111" t="s">
        <v>95</v>
      </c>
      <c r="E876" s="18" t="s">
        <v>923</v>
      </c>
      <c r="F876" s="4" t="str">
        <f t="shared" si="43"/>
        <v>EFC09D60002</v>
      </c>
      <c r="G876" s="4">
        <v>5875</v>
      </c>
      <c r="H876" s="22">
        <v>1</v>
      </c>
    </row>
    <row r="877" spans="1:8" x14ac:dyDescent="0.25">
      <c r="A877" s="14">
        <v>45195.493640624998</v>
      </c>
      <c r="B877" s="2" t="s">
        <v>9</v>
      </c>
      <c r="C877" s="22" t="s">
        <v>920</v>
      </c>
      <c r="D877" s="111" t="s">
        <v>95</v>
      </c>
      <c r="E877" s="18" t="s">
        <v>921</v>
      </c>
      <c r="F877" s="4" t="str">
        <f t="shared" si="43"/>
        <v>EUB09D700745</v>
      </c>
      <c r="G877" s="4">
        <v>3925</v>
      </c>
      <c r="H877" s="22">
        <v>1</v>
      </c>
    </row>
    <row r="878" spans="1:8" ht="49.9" customHeight="1" x14ac:dyDescent="0.25">
      <c r="A878" s="14">
        <v>45194.456739467591</v>
      </c>
      <c r="B878" s="2" t="s">
        <v>52</v>
      </c>
      <c r="C878" s="22" t="s">
        <v>914</v>
      </c>
      <c r="D878" s="111" t="s">
        <v>95</v>
      </c>
      <c r="E878" s="18" t="s">
        <v>915</v>
      </c>
      <c r="F878" s="4" t="str">
        <f t="shared" si="43"/>
        <v>Nincs Adat</v>
      </c>
      <c r="G878" s="4"/>
      <c r="H878" s="22">
        <v>1</v>
      </c>
    </row>
    <row r="879" spans="1:8" x14ac:dyDescent="0.25">
      <c r="A879" s="14">
        <v>45194.456058680553</v>
      </c>
      <c r="B879" s="2" t="s">
        <v>78</v>
      </c>
      <c r="C879" s="22" t="s">
        <v>912</v>
      </c>
      <c r="D879" s="111" t="s">
        <v>95</v>
      </c>
      <c r="E879" s="18" t="s">
        <v>913</v>
      </c>
      <c r="F879" s="4" t="str">
        <f t="shared" si="43"/>
        <v>PTP200R239152</v>
      </c>
      <c r="G879" s="4">
        <v>1389</v>
      </c>
      <c r="H879" s="22">
        <v>1</v>
      </c>
    </row>
    <row r="880" spans="1:8" x14ac:dyDescent="0.25">
      <c r="A880" s="14">
        <v>45194.453658217593</v>
      </c>
      <c r="B880" s="2" t="s">
        <v>20</v>
      </c>
      <c r="C880" s="22" t="s">
        <v>904</v>
      </c>
      <c r="D880" s="111" t="s">
        <v>95</v>
      </c>
      <c r="E880" s="18" t="s">
        <v>905</v>
      </c>
      <c r="F880" s="4" t="str">
        <f t="shared" si="43"/>
        <v>EUB09D700832</v>
      </c>
      <c r="G880" s="4">
        <v>2930</v>
      </c>
      <c r="H880" s="22">
        <v>1</v>
      </c>
    </row>
    <row r="881" spans="1:8" x14ac:dyDescent="0.25">
      <c r="A881" s="14">
        <v>45190.457719907405</v>
      </c>
      <c r="B881" s="2" t="s">
        <v>17</v>
      </c>
      <c r="C881" s="22" t="s">
        <v>916</v>
      </c>
      <c r="D881" s="111" t="s">
        <v>95</v>
      </c>
      <c r="E881" s="18" t="s">
        <v>917</v>
      </c>
      <c r="F881" s="4" t="str">
        <f t="shared" si="43"/>
        <v>EUB09D700852</v>
      </c>
      <c r="G881" s="43">
        <v>3394</v>
      </c>
      <c r="H881" s="22">
        <v>1</v>
      </c>
    </row>
    <row r="882" spans="1:8" x14ac:dyDescent="0.25">
      <c r="A882" s="14">
        <v>45190</v>
      </c>
      <c r="B882" s="2" t="s">
        <v>16</v>
      </c>
      <c r="C882" s="22" t="s">
        <v>910</v>
      </c>
      <c r="D882" s="111" t="s">
        <v>95</v>
      </c>
      <c r="E882" s="18" t="s">
        <v>911</v>
      </c>
      <c r="F882" s="4" t="str">
        <f t="shared" si="43"/>
        <v>EUB09D700851</v>
      </c>
      <c r="G882" s="4">
        <v>3378</v>
      </c>
      <c r="H882" s="22">
        <v>1</v>
      </c>
    </row>
    <row r="883" spans="1:8" x14ac:dyDescent="0.25">
      <c r="A883" s="14">
        <v>45188.454722222225</v>
      </c>
      <c r="B883" s="2" t="s">
        <v>79</v>
      </c>
      <c r="C883" s="22" t="s">
        <v>908</v>
      </c>
      <c r="D883" s="111" t="s">
        <v>95</v>
      </c>
      <c r="E883" s="18" t="s">
        <v>909</v>
      </c>
      <c r="F883" s="4" t="str">
        <f t="shared" si="43"/>
        <v>PTP200R239153</v>
      </c>
      <c r="G883" s="4">
        <v>1106</v>
      </c>
      <c r="H883" s="22">
        <v>1</v>
      </c>
    </row>
    <row r="884" spans="1:8" x14ac:dyDescent="0.25">
      <c r="A884" s="14">
        <v>45188.454293981478</v>
      </c>
      <c r="B884" s="2" t="s">
        <v>78</v>
      </c>
      <c r="C884" s="22" t="s">
        <v>906</v>
      </c>
      <c r="D884" s="111" t="s">
        <v>95</v>
      </c>
      <c r="E884" s="18" t="s">
        <v>907</v>
      </c>
      <c r="F884" s="4" t="str">
        <f t="shared" si="43"/>
        <v>PTP200R239152</v>
      </c>
      <c r="G884" s="4">
        <v>1375</v>
      </c>
      <c r="H884" s="22">
        <v>3</v>
      </c>
    </row>
    <row r="885" spans="1:8" x14ac:dyDescent="0.25">
      <c r="A885" s="14">
        <v>45188.339451736108</v>
      </c>
      <c r="B885" s="2" t="s">
        <v>79</v>
      </c>
      <c r="C885" s="22" t="s">
        <v>902</v>
      </c>
      <c r="D885" s="111" t="s">
        <v>95</v>
      </c>
      <c r="E885" s="18" t="s">
        <v>903</v>
      </c>
      <c r="F885" s="4" t="str">
        <f t="shared" si="43"/>
        <v>PTP200R239153</v>
      </c>
      <c r="G885" s="4">
        <v>1100</v>
      </c>
      <c r="H885" s="22">
        <v>2</v>
      </c>
    </row>
    <row r="886" spans="1:8" x14ac:dyDescent="0.25">
      <c r="A886" s="214">
        <v>45188.339044328706</v>
      </c>
      <c r="B886" s="215" t="s">
        <v>38</v>
      </c>
      <c r="C886" s="533" t="s">
        <v>900</v>
      </c>
      <c r="D886" s="111" t="s">
        <v>95</v>
      </c>
      <c r="E886" s="18" t="s">
        <v>901</v>
      </c>
      <c r="F886" s="4" t="str">
        <f t="shared" si="43"/>
        <v>Nincs Adat</v>
      </c>
      <c r="G886" s="4"/>
      <c r="H886" s="22">
        <v>2</v>
      </c>
    </row>
    <row r="887" spans="1:8" x14ac:dyDescent="0.25">
      <c r="A887" s="14">
        <v>45188.338284027777</v>
      </c>
      <c r="B887" s="2" t="s">
        <v>25</v>
      </c>
      <c r="C887" s="22" t="s">
        <v>899</v>
      </c>
      <c r="D887" s="111" t="s">
        <v>95</v>
      </c>
      <c r="E887" s="18" t="s">
        <v>898</v>
      </c>
      <c r="F887" s="4" t="str">
        <f t="shared" si="43"/>
        <v>EUB09D700741</v>
      </c>
      <c r="G887" s="4">
        <v>1611</v>
      </c>
      <c r="H887" s="22">
        <v>1</v>
      </c>
    </row>
    <row r="888" spans="1:8" x14ac:dyDescent="0.25">
      <c r="A888" s="14">
        <v>45188.337703124998</v>
      </c>
      <c r="B888" s="2" t="s">
        <v>16</v>
      </c>
      <c r="C888" s="22" t="s">
        <v>897</v>
      </c>
      <c r="D888" s="111" t="s">
        <v>95</v>
      </c>
      <c r="E888" s="18" t="s">
        <v>896</v>
      </c>
      <c r="F888" s="4" t="str">
        <f t="shared" si="43"/>
        <v>EUB09D700851</v>
      </c>
      <c r="G888" s="4">
        <v>3355</v>
      </c>
      <c r="H888" s="22">
        <v>0</v>
      </c>
    </row>
    <row r="889" spans="1:8" x14ac:dyDescent="0.25">
      <c r="A889" s="14">
        <v>45188.337451736108</v>
      </c>
      <c r="B889" s="2" t="s">
        <v>7</v>
      </c>
      <c r="C889" s="22" t="s">
        <v>894</v>
      </c>
      <c r="D889" s="111" t="s">
        <v>95</v>
      </c>
      <c r="E889" s="18" t="s">
        <v>895</v>
      </c>
      <c r="F889" s="4" t="str">
        <f t="shared" si="43"/>
        <v>EUB09D700743</v>
      </c>
      <c r="G889" s="4">
        <v>3440</v>
      </c>
      <c r="H889" s="22">
        <v>2</v>
      </c>
    </row>
    <row r="890" spans="1:8" x14ac:dyDescent="0.25">
      <c r="A890" s="14">
        <v>45187.472740393518</v>
      </c>
      <c r="B890" s="2" t="s">
        <v>891</v>
      </c>
      <c r="C890" s="22" t="s">
        <v>892</v>
      </c>
      <c r="D890" s="111" t="s">
        <v>95</v>
      </c>
      <c r="E890" s="18" t="s">
        <v>893</v>
      </c>
      <c r="F890" s="4">
        <f t="shared" si="43"/>
        <v>10817</v>
      </c>
      <c r="G890" s="4">
        <v>71</v>
      </c>
      <c r="H890" s="22">
        <v>6</v>
      </c>
    </row>
    <row r="891" spans="1:8" x14ac:dyDescent="0.25">
      <c r="A891" s="14">
        <v>45187.472400810184</v>
      </c>
      <c r="B891" s="2" t="s">
        <v>18</v>
      </c>
      <c r="C891" s="22" t="s">
        <v>889</v>
      </c>
      <c r="D891" s="111" t="s">
        <v>95</v>
      </c>
      <c r="E891" s="18" t="s">
        <v>890</v>
      </c>
      <c r="F891" s="4" t="str">
        <f t="shared" si="43"/>
        <v>EUB09D700992</v>
      </c>
      <c r="G891" s="4">
        <v>4216</v>
      </c>
      <c r="H891" s="22">
        <v>1</v>
      </c>
    </row>
    <row r="892" spans="1:8" x14ac:dyDescent="0.25">
      <c r="A892" s="14">
        <v>45187.47176828704</v>
      </c>
      <c r="B892" s="2" t="s">
        <v>19</v>
      </c>
      <c r="C892" s="22" t="s">
        <v>887</v>
      </c>
      <c r="D892" s="111" t="s">
        <v>95</v>
      </c>
      <c r="E892" s="18" t="s">
        <v>888</v>
      </c>
      <c r="F892" s="4" t="str">
        <f t="shared" si="43"/>
        <v>EUB09D700836</v>
      </c>
      <c r="G892" s="4">
        <v>4071</v>
      </c>
      <c r="H892" s="22">
        <v>1</v>
      </c>
    </row>
    <row r="893" spans="1:8" x14ac:dyDescent="0.25">
      <c r="A893" s="14">
        <v>45187.471254282405</v>
      </c>
      <c r="B893" s="2" t="s">
        <v>142</v>
      </c>
      <c r="C893" s="22" t="s">
        <v>885</v>
      </c>
      <c r="D893" s="111" t="s">
        <v>95</v>
      </c>
      <c r="E893" s="18" t="s">
        <v>886</v>
      </c>
      <c r="F893" s="4" t="str">
        <f t="shared" si="43"/>
        <v>LO20N2RCB13B00112</v>
      </c>
      <c r="G893" s="4">
        <v>1500</v>
      </c>
      <c r="H893" s="22">
        <v>1</v>
      </c>
    </row>
    <row r="894" spans="1:8" x14ac:dyDescent="0.25">
      <c r="A894" s="14">
        <v>45187.470559374997</v>
      </c>
      <c r="B894" s="2" t="s">
        <v>141</v>
      </c>
      <c r="C894" s="22" t="s">
        <v>883</v>
      </c>
      <c r="D894" s="111" t="s">
        <v>95</v>
      </c>
      <c r="E894" s="18" t="s">
        <v>884</v>
      </c>
      <c r="F894" s="4" t="str">
        <f t="shared" si="43"/>
        <v>LO20N2RCB13B00110</v>
      </c>
      <c r="G894" s="4">
        <v>940</v>
      </c>
      <c r="H894" s="22">
        <v>2</v>
      </c>
    </row>
    <row r="895" spans="1:8" x14ac:dyDescent="0.25">
      <c r="A895" s="14">
        <v>45187.46877673611</v>
      </c>
      <c r="B895" s="2" t="s">
        <v>23</v>
      </c>
      <c r="C895" s="22" t="s">
        <v>881</v>
      </c>
      <c r="D895" s="111" t="s">
        <v>95</v>
      </c>
      <c r="E895" s="18" t="s">
        <v>882</v>
      </c>
      <c r="F895" s="4" t="str">
        <f t="shared" si="43"/>
        <v>EUB09D700740</v>
      </c>
      <c r="G895" s="4">
        <v>1558</v>
      </c>
      <c r="H895" s="22">
        <v>1</v>
      </c>
    </row>
    <row r="896" spans="1:8" x14ac:dyDescent="0.25">
      <c r="A896" s="14">
        <v>45187.468496759262</v>
      </c>
      <c r="B896" s="2" t="s">
        <v>21</v>
      </c>
      <c r="C896" s="22" t="s">
        <v>879</v>
      </c>
      <c r="D896" s="111" t="s">
        <v>95</v>
      </c>
      <c r="E896" s="18" t="s">
        <v>880</v>
      </c>
      <c r="F896" s="4" t="str">
        <f t="shared" si="43"/>
        <v>EUB09D700842</v>
      </c>
      <c r="G896" s="4">
        <v>2984</v>
      </c>
      <c r="H896" s="22">
        <v>1</v>
      </c>
    </row>
    <row r="897" spans="1:8" x14ac:dyDescent="0.25">
      <c r="A897" s="14">
        <v>45187.467868287036</v>
      </c>
      <c r="B897" s="2" t="s">
        <v>19</v>
      </c>
      <c r="C897" s="22" t="s">
        <v>877</v>
      </c>
      <c r="D897" s="111" t="s">
        <v>95</v>
      </c>
      <c r="E897" s="18" t="s">
        <v>878</v>
      </c>
      <c r="F897" s="4" t="str">
        <f t="shared" si="43"/>
        <v>EUB09D700836</v>
      </c>
      <c r="G897" s="4">
        <v>4062</v>
      </c>
      <c r="H897" s="22">
        <v>1</v>
      </c>
    </row>
    <row r="898" spans="1:8" ht="30" x14ac:dyDescent="0.25">
      <c r="A898" s="14">
        <v>45187.467619675925</v>
      </c>
      <c r="B898" s="2" t="s">
        <v>78</v>
      </c>
      <c r="C898" s="35" t="s">
        <v>875</v>
      </c>
      <c r="D898" s="111" t="s">
        <v>95</v>
      </c>
      <c r="E898" s="18" t="s">
        <v>876</v>
      </c>
      <c r="F898" s="4" t="str">
        <f t="shared" si="43"/>
        <v>PTP200R239152</v>
      </c>
      <c r="G898" s="4">
        <v>1354</v>
      </c>
      <c r="H898" s="22">
        <v>2</v>
      </c>
    </row>
    <row r="899" spans="1:8" x14ac:dyDescent="0.25">
      <c r="A899" s="14">
        <v>45187.467023958336</v>
      </c>
      <c r="B899" s="2" t="s">
        <v>81</v>
      </c>
      <c r="C899" s="22" t="s">
        <v>873</v>
      </c>
      <c r="D899" s="111" t="s">
        <v>95</v>
      </c>
      <c r="E899" s="18" t="s">
        <v>874</v>
      </c>
      <c r="F899" s="4" t="str">
        <f t="shared" ref="F899:F962" si="44">IFERROR(VLOOKUP(B899,targlist02,3,0),"Nincs Adat")</f>
        <v>PTP200R239155</v>
      </c>
      <c r="G899" s="4">
        <v>239</v>
      </c>
      <c r="H899" s="22">
        <v>1</v>
      </c>
    </row>
    <row r="900" spans="1:8" x14ac:dyDescent="0.25">
      <c r="A900" s="14">
        <v>45187.465818055556</v>
      </c>
      <c r="B900" s="2" t="s">
        <v>79</v>
      </c>
      <c r="C900" s="22" t="s">
        <v>871</v>
      </c>
      <c r="D900" s="111" t="s">
        <v>95</v>
      </c>
      <c r="E900" s="18" t="s">
        <v>872</v>
      </c>
      <c r="F900" s="4" t="str">
        <f t="shared" si="44"/>
        <v>PTP200R239153</v>
      </c>
      <c r="G900" s="4">
        <v>1075</v>
      </c>
      <c r="H900" s="22">
        <v>2</v>
      </c>
    </row>
    <row r="901" spans="1:8" x14ac:dyDescent="0.25">
      <c r="A901" s="14">
        <v>45187.465410879631</v>
      </c>
      <c r="B901" s="2" t="s">
        <v>78</v>
      </c>
      <c r="C901" s="22" t="s">
        <v>869</v>
      </c>
      <c r="D901" s="111" t="s">
        <v>95</v>
      </c>
      <c r="E901" s="18" t="s">
        <v>870</v>
      </c>
      <c r="F901" s="4" t="str">
        <f t="shared" si="44"/>
        <v>PTP200R239152</v>
      </c>
      <c r="G901" s="4">
        <v>1351</v>
      </c>
      <c r="H901" s="22">
        <v>2</v>
      </c>
    </row>
    <row r="902" spans="1:8" x14ac:dyDescent="0.25">
      <c r="A902" s="14">
        <v>45187.465046180558</v>
      </c>
      <c r="B902" s="2" t="s">
        <v>17</v>
      </c>
      <c r="C902" s="22" t="s">
        <v>166</v>
      </c>
      <c r="D902" s="111" t="s">
        <v>95</v>
      </c>
      <c r="E902" s="18" t="s">
        <v>868</v>
      </c>
      <c r="F902" s="4" t="str">
        <f t="shared" si="44"/>
        <v>EUB09D700852</v>
      </c>
      <c r="G902" s="4">
        <v>3290</v>
      </c>
      <c r="H902" s="22">
        <v>3</v>
      </c>
    </row>
    <row r="903" spans="1:8" x14ac:dyDescent="0.25">
      <c r="A903" s="14">
        <v>45187.340665393516</v>
      </c>
      <c r="B903" s="2" t="s">
        <v>13</v>
      </c>
      <c r="C903" s="22" t="s">
        <v>862</v>
      </c>
      <c r="D903" s="111" t="s">
        <v>95</v>
      </c>
      <c r="E903" s="18" t="s">
        <v>863</v>
      </c>
      <c r="F903" s="4" t="str">
        <f t="shared" si="44"/>
        <v>EUB09D700268</v>
      </c>
      <c r="G903" s="4">
        <v>2328</v>
      </c>
      <c r="H903" s="22">
        <v>4</v>
      </c>
    </row>
    <row r="904" spans="1:8" x14ac:dyDescent="0.25">
      <c r="A904" s="14">
        <v>45187.339971180554</v>
      </c>
      <c r="B904" s="2" t="s">
        <v>8</v>
      </c>
      <c r="C904" s="22" t="s">
        <v>860</v>
      </c>
      <c r="D904" s="111" t="s">
        <v>95</v>
      </c>
      <c r="E904" s="18" t="s">
        <v>861</v>
      </c>
      <c r="F904" s="4" t="str">
        <f t="shared" si="44"/>
        <v>EUB09D700744</v>
      </c>
      <c r="G904" s="4">
        <v>3442</v>
      </c>
      <c r="H904" s="22">
        <v>1</v>
      </c>
    </row>
    <row r="905" spans="1:8" x14ac:dyDescent="0.25">
      <c r="A905" s="14">
        <v>45187.338378125001</v>
      </c>
      <c r="B905" s="2" t="s">
        <v>857</v>
      </c>
      <c r="C905" s="22" t="s">
        <v>858</v>
      </c>
      <c r="D905" s="111" t="s">
        <v>95</v>
      </c>
      <c r="E905" s="18" t="s">
        <v>859</v>
      </c>
      <c r="F905" s="4" t="str">
        <f t="shared" si="44"/>
        <v>Nincs Adat</v>
      </c>
      <c r="G905" s="4">
        <v>15</v>
      </c>
      <c r="H905" s="22">
        <v>1</v>
      </c>
    </row>
    <row r="906" spans="1:8" x14ac:dyDescent="0.25">
      <c r="A906" s="14">
        <v>45174.570065277781</v>
      </c>
      <c r="B906" s="2" t="s">
        <v>22</v>
      </c>
      <c r="C906" s="22" t="s">
        <v>449</v>
      </c>
      <c r="D906" s="111" t="s">
        <v>95</v>
      </c>
      <c r="E906" s="18" t="s">
        <v>867</v>
      </c>
      <c r="F906" s="4" t="str">
        <f t="shared" si="44"/>
        <v>EUB09D700838</v>
      </c>
      <c r="G906" s="4">
        <v>1715</v>
      </c>
      <c r="H906" s="22">
        <v>3</v>
      </c>
    </row>
    <row r="907" spans="1:8" x14ac:dyDescent="0.25">
      <c r="A907" s="14">
        <v>45174.505293865739</v>
      </c>
      <c r="B907" s="2" t="s">
        <v>87</v>
      </c>
      <c r="C907" s="22" t="s">
        <v>854</v>
      </c>
      <c r="D907" s="111" t="s">
        <v>95</v>
      </c>
      <c r="E907" s="18" t="s">
        <v>856</v>
      </c>
      <c r="F907" s="4" t="str">
        <f t="shared" si="44"/>
        <v>Nincs Adat</v>
      </c>
      <c r="G907" s="4"/>
      <c r="H907" s="22">
        <v>2</v>
      </c>
    </row>
    <row r="908" spans="1:8" x14ac:dyDescent="0.25">
      <c r="A908" s="14">
        <v>45174.504767592596</v>
      </c>
      <c r="B908" s="2" t="s">
        <v>18</v>
      </c>
      <c r="C908" s="22" t="s">
        <v>853</v>
      </c>
      <c r="D908" s="111" t="s">
        <v>95</v>
      </c>
      <c r="E908" s="18" t="s">
        <v>864</v>
      </c>
      <c r="F908" s="4" t="str">
        <f t="shared" si="44"/>
        <v>EUB09D700992</v>
      </c>
      <c r="G908" s="4">
        <v>4216</v>
      </c>
      <c r="H908" s="22">
        <v>2</v>
      </c>
    </row>
    <row r="909" spans="1:8" x14ac:dyDescent="0.25">
      <c r="A909" s="14">
        <v>45174.504062499997</v>
      </c>
      <c r="B909" s="2" t="s">
        <v>78</v>
      </c>
      <c r="C909" s="22" t="s">
        <v>850</v>
      </c>
      <c r="D909" s="111" t="s">
        <v>95</v>
      </c>
      <c r="E909" s="18" t="s">
        <v>851</v>
      </c>
      <c r="F909" s="4" t="str">
        <f t="shared" si="44"/>
        <v>PTP200R239152</v>
      </c>
      <c r="G909" s="4">
        <v>1325</v>
      </c>
      <c r="H909" s="22">
        <v>2</v>
      </c>
    </row>
    <row r="910" spans="1:8" x14ac:dyDescent="0.25">
      <c r="A910" s="14">
        <v>45174.503619907409</v>
      </c>
      <c r="B910" s="2" t="s">
        <v>80</v>
      </c>
      <c r="C910" s="22" t="s">
        <v>848</v>
      </c>
      <c r="D910" s="111" t="s">
        <v>95</v>
      </c>
      <c r="E910" s="18" t="s">
        <v>849</v>
      </c>
      <c r="F910" s="4" t="str">
        <f t="shared" si="44"/>
        <v>PTP200R239154</v>
      </c>
      <c r="G910" s="4">
        <v>315</v>
      </c>
      <c r="H910" s="22">
        <v>1</v>
      </c>
    </row>
    <row r="911" spans="1:8" x14ac:dyDescent="0.25">
      <c r="A911" s="14">
        <v>45174.503254629628</v>
      </c>
      <c r="B911" s="2" t="s">
        <v>79</v>
      </c>
      <c r="C911" s="22" t="s">
        <v>846</v>
      </c>
      <c r="D911" s="111" t="s">
        <v>95</v>
      </c>
      <c r="E911" s="18" t="s">
        <v>847</v>
      </c>
      <c r="F911" s="4" t="str">
        <f t="shared" si="44"/>
        <v>PTP200R239153</v>
      </c>
      <c r="G911" s="4">
        <v>739</v>
      </c>
      <c r="H911" s="22">
        <v>1</v>
      </c>
    </row>
    <row r="912" spans="1:8" x14ac:dyDescent="0.25">
      <c r="A912" s="14">
        <v>45174.50283946759</v>
      </c>
      <c r="B912" s="2" t="s">
        <v>158</v>
      </c>
      <c r="C912" s="22" t="s">
        <v>844</v>
      </c>
      <c r="D912" s="111" t="s">
        <v>95</v>
      </c>
      <c r="E912" s="18" t="s">
        <v>845</v>
      </c>
      <c r="F912" s="4" t="str">
        <f t="shared" si="44"/>
        <v>F24537B00022</v>
      </c>
      <c r="G912" s="4">
        <v>2811</v>
      </c>
      <c r="H912" s="22">
        <v>3</v>
      </c>
    </row>
    <row r="913" spans="1:8" x14ac:dyDescent="0.25">
      <c r="A913" s="14">
        <v>45174.502285185183</v>
      </c>
      <c r="B913" s="2" t="s">
        <v>9</v>
      </c>
      <c r="C913" s="22" t="s">
        <v>843</v>
      </c>
      <c r="D913" s="111" t="s">
        <v>95</v>
      </c>
      <c r="E913" s="18" t="s">
        <v>855</v>
      </c>
      <c r="F913" s="4" t="str">
        <f t="shared" si="44"/>
        <v>EUB09D700745</v>
      </c>
      <c r="G913" s="4">
        <v>3783</v>
      </c>
      <c r="H913" s="22">
        <v>4</v>
      </c>
    </row>
    <row r="914" spans="1:8" x14ac:dyDescent="0.25">
      <c r="A914" s="14">
        <v>45173.417437268516</v>
      </c>
      <c r="B914" s="2" t="s">
        <v>8</v>
      </c>
      <c r="C914" s="22" t="s">
        <v>572</v>
      </c>
      <c r="D914" s="111" t="s">
        <v>95</v>
      </c>
      <c r="E914" s="18"/>
      <c r="F914" s="4" t="str">
        <f t="shared" si="44"/>
        <v>EUB09D700744</v>
      </c>
      <c r="G914" s="4"/>
      <c r="H914" s="22"/>
    </row>
    <row r="915" spans="1:8" x14ac:dyDescent="0.25">
      <c r="A915" s="14">
        <v>45167.71570173611</v>
      </c>
      <c r="B915" s="2" t="s">
        <v>16</v>
      </c>
      <c r="C915" s="22" t="s">
        <v>852</v>
      </c>
      <c r="D915" s="111" t="s">
        <v>95</v>
      </c>
      <c r="E915" s="18" t="s">
        <v>866</v>
      </c>
      <c r="F915" s="4" t="str">
        <f t="shared" si="44"/>
        <v>EUB09D700851</v>
      </c>
      <c r="G915" s="4">
        <v>3306</v>
      </c>
      <c r="H915" s="22">
        <v>1</v>
      </c>
    </row>
    <row r="916" spans="1:8" x14ac:dyDescent="0.25">
      <c r="A916" s="14">
        <v>45167.715553819442</v>
      </c>
      <c r="B916" s="2" t="s">
        <v>16</v>
      </c>
      <c r="C916" s="22" t="s">
        <v>919</v>
      </c>
      <c r="D916" s="111" t="s">
        <v>95</v>
      </c>
      <c r="E916" s="18" t="s">
        <v>918</v>
      </c>
      <c r="F916" s="4" t="str">
        <f t="shared" si="44"/>
        <v>EUB09D700851</v>
      </c>
      <c r="G916" s="4">
        <v>3396</v>
      </c>
      <c r="H916" s="22">
        <v>3</v>
      </c>
    </row>
    <row r="917" spans="1:8" x14ac:dyDescent="0.25">
      <c r="A917" s="14">
        <v>45167.71369675926</v>
      </c>
      <c r="B917" s="2" t="s">
        <v>16</v>
      </c>
      <c r="C917" s="22" t="s">
        <v>841</v>
      </c>
      <c r="D917" s="111" t="s">
        <v>95</v>
      </c>
      <c r="E917" s="18" t="s">
        <v>842</v>
      </c>
      <c r="F917" s="4" t="str">
        <f t="shared" si="44"/>
        <v>EUB09D700851</v>
      </c>
      <c r="G917" s="4">
        <v>3245</v>
      </c>
      <c r="H917" s="22">
        <v>1</v>
      </c>
    </row>
    <row r="918" spans="1:8" x14ac:dyDescent="0.25">
      <c r="A918" s="14">
        <v>45167.713268171297</v>
      </c>
      <c r="B918" s="2" t="s">
        <v>12</v>
      </c>
      <c r="C918" s="35" t="s">
        <v>839</v>
      </c>
      <c r="D918" s="111" t="s">
        <v>95</v>
      </c>
      <c r="E918" s="18" t="s">
        <v>840</v>
      </c>
      <c r="F918" s="4" t="str">
        <f t="shared" si="44"/>
        <v>EUB09D700267</v>
      </c>
      <c r="G918" s="4">
        <v>2122</v>
      </c>
      <c r="H918" s="22">
        <v>1</v>
      </c>
    </row>
    <row r="919" spans="1:8" x14ac:dyDescent="0.25">
      <c r="A919" s="14">
        <v>45167.556430092591</v>
      </c>
      <c r="B919" s="2" t="s">
        <v>25</v>
      </c>
      <c r="C919" s="22" t="s">
        <v>834</v>
      </c>
      <c r="D919" s="111" t="s">
        <v>95</v>
      </c>
      <c r="E919" s="18" t="s">
        <v>835</v>
      </c>
      <c r="F919" s="4" t="str">
        <f t="shared" si="44"/>
        <v>EUB09D700741</v>
      </c>
      <c r="G919" s="4"/>
      <c r="H919" s="22">
        <v>2</v>
      </c>
    </row>
    <row r="920" spans="1:8" x14ac:dyDescent="0.25">
      <c r="A920" s="14">
        <v>45166.493140162034</v>
      </c>
      <c r="B920" s="2" t="s">
        <v>21</v>
      </c>
      <c r="C920" s="22" t="s">
        <v>822</v>
      </c>
      <c r="D920" s="111" t="s">
        <v>95</v>
      </c>
      <c r="E920" s="18" t="s">
        <v>823</v>
      </c>
      <c r="F920" s="4" t="str">
        <f t="shared" si="44"/>
        <v>EUB09D700842</v>
      </c>
      <c r="G920" s="4">
        <v>2890</v>
      </c>
      <c r="H920" s="22">
        <v>1</v>
      </c>
    </row>
    <row r="921" spans="1:8" x14ac:dyDescent="0.25">
      <c r="A921" s="14">
        <v>45166.491845601849</v>
      </c>
      <c r="B921" s="2" t="s">
        <v>79</v>
      </c>
      <c r="C921" s="22" t="s">
        <v>818</v>
      </c>
      <c r="D921" s="111" t="s">
        <v>95</v>
      </c>
      <c r="E921" s="18" t="s">
        <v>819</v>
      </c>
      <c r="F921" s="4" t="str">
        <f t="shared" si="44"/>
        <v>PTP200R239153</v>
      </c>
      <c r="G921" s="4"/>
      <c r="H921" s="22">
        <v>2</v>
      </c>
    </row>
    <row r="922" spans="1:8" x14ac:dyDescent="0.25">
      <c r="A922" s="14">
        <v>45160.606262499998</v>
      </c>
      <c r="B922" s="2" t="s">
        <v>19</v>
      </c>
      <c r="C922" s="22" t="s">
        <v>814</v>
      </c>
      <c r="D922" s="111" t="s">
        <v>95</v>
      </c>
      <c r="E922" s="18" t="s">
        <v>824</v>
      </c>
      <c r="F922" s="4" t="str">
        <f t="shared" si="44"/>
        <v>EUB09D700836</v>
      </c>
      <c r="G922" s="4"/>
      <c r="H922" s="22">
        <v>2</v>
      </c>
    </row>
    <row r="923" spans="1:8" x14ac:dyDescent="0.25">
      <c r="A923" s="14">
        <v>45160.606124537037</v>
      </c>
      <c r="B923" s="2" t="s">
        <v>142</v>
      </c>
      <c r="C923" s="22" t="s">
        <v>678</v>
      </c>
      <c r="D923" s="111" t="s">
        <v>95</v>
      </c>
      <c r="E923" s="18" t="s">
        <v>827</v>
      </c>
      <c r="F923" s="4" t="str">
        <f t="shared" si="44"/>
        <v>LO20N2RCB13B00112</v>
      </c>
      <c r="G923" s="4">
        <v>1433</v>
      </c>
      <c r="H923" s="22">
        <v>1</v>
      </c>
    </row>
    <row r="924" spans="1:8" x14ac:dyDescent="0.25">
      <c r="A924" s="14">
        <v>45160.605315393521</v>
      </c>
      <c r="B924" s="2" t="s">
        <v>812</v>
      </c>
      <c r="C924" s="22" t="s">
        <v>813</v>
      </c>
      <c r="D924" s="111" t="s">
        <v>95</v>
      </c>
      <c r="E924" s="18"/>
      <c r="F924" s="4" t="str">
        <f t="shared" si="44"/>
        <v>Nincs Adat</v>
      </c>
      <c r="G924" s="4"/>
      <c r="H924" s="22"/>
    </row>
    <row r="925" spans="1:8" x14ac:dyDescent="0.25">
      <c r="A925" s="14">
        <v>45160.604874305558</v>
      </c>
      <c r="B925" s="2" t="s">
        <v>87</v>
      </c>
      <c r="C925" s="22" t="s">
        <v>826</v>
      </c>
      <c r="D925" s="111" t="s">
        <v>95</v>
      </c>
      <c r="E925" s="18" t="s">
        <v>825</v>
      </c>
      <c r="F925" s="4" t="str">
        <f t="shared" si="44"/>
        <v>Nincs Adat</v>
      </c>
      <c r="G925" s="4">
        <v>730</v>
      </c>
      <c r="H925" s="22">
        <v>2</v>
      </c>
    </row>
    <row r="926" spans="1:8" x14ac:dyDescent="0.25">
      <c r="A926" s="14">
        <v>45160.604780092595</v>
      </c>
      <c r="B926" s="2" t="s">
        <v>82</v>
      </c>
      <c r="C926" s="22" t="s">
        <v>826</v>
      </c>
      <c r="D926" s="111" t="s">
        <v>95</v>
      </c>
      <c r="E926" s="18" t="s">
        <v>825</v>
      </c>
      <c r="F926" s="4" t="str">
        <f t="shared" si="44"/>
        <v>Nincs Adat</v>
      </c>
      <c r="G926" s="4">
        <v>730</v>
      </c>
      <c r="H926" s="22">
        <v>2</v>
      </c>
    </row>
    <row r="927" spans="1:8" x14ac:dyDescent="0.25">
      <c r="A927" s="14">
        <v>45160.604525347226</v>
      </c>
      <c r="B927" s="2" t="s">
        <v>77</v>
      </c>
      <c r="C927" s="22" t="s">
        <v>820</v>
      </c>
      <c r="D927" s="111" t="s">
        <v>95</v>
      </c>
      <c r="E927" s="18" t="s">
        <v>821</v>
      </c>
      <c r="F927" s="4" t="str">
        <f t="shared" si="44"/>
        <v>PTP200R239151</v>
      </c>
      <c r="G927" s="4">
        <v>734</v>
      </c>
      <c r="H927" s="22">
        <v>2</v>
      </c>
    </row>
    <row r="928" spans="1:8" x14ac:dyDescent="0.25">
      <c r="A928" s="14">
        <v>45160.604221064816</v>
      </c>
      <c r="B928" s="2" t="s">
        <v>79</v>
      </c>
      <c r="C928" s="22" t="s">
        <v>828</v>
      </c>
      <c r="D928" s="111" t="s">
        <v>95</v>
      </c>
      <c r="E928" s="18" t="s">
        <v>829</v>
      </c>
      <c r="F928" s="4" t="str">
        <f t="shared" si="44"/>
        <v>PTP200R239153</v>
      </c>
      <c r="G928" s="4">
        <v>1000</v>
      </c>
      <c r="H928" s="22">
        <v>1</v>
      </c>
    </row>
    <row r="929" spans="1:8" x14ac:dyDescent="0.25">
      <c r="A929" s="14">
        <v>45160.60362141204</v>
      </c>
      <c r="B929" s="2" t="s">
        <v>133</v>
      </c>
      <c r="C929" s="22" t="s">
        <v>830</v>
      </c>
      <c r="D929" s="111" t="s">
        <v>95</v>
      </c>
      <c r="E929" s="18"/>
      <c r="F929" s="4" t="str">
        <f t="shared" si="44"/>
        <v>Nincs Adat</v>
      </c>
      <c r="G929" s="4"/>
      <c r="H929" s="22"/>
    </row>
    <row r="930" spans="1:8" x14ac:dyDescent="0.25">
      <c r="A930" s="14">
        <v>45160.602167245372</v>
      </c>
      <c r="B930" s="2" t="s">
        <v>26</v>
      </c>
      <c r="C930" s="22" t="s">
        <v>810</v>
      </c>
      <c r="D930" s="111" t="s">
        <v>95</v>
      </c>
      <c r="E930" s="18" t="s">
        <v>811</v>
      </c>
      <c r="F930" s="4" t="str">
        <f t="shared" si="44"/>
        <v>EFC09D60002</v>
      </c>
      <c r="G930" s="4">
        <v>5813</v>
      </c>
      <c r="H930" s="22">
        <v>3</v>
      </c>
    </row>
    <row r="931" spans="1:8" x14ac:dyDescent="0.25">
      <c r="A931" s="14">
        <v>45160.601204050923</v>
      </c>
      <c r="B931" s="2" t="s">
        <v>78</v>
      </c>
      <c r="C931" s="22" t="s">
        <v>806</v>
      </c>
      <c r="D931" s="111" t="s">
        <v>95</v>
      </c>
      <c r="E931" s="18" t="s">
        <v>807</v>
      </c>
      <c r="F931" s="4" t="str">
        <f t="shared" si="44"/>
        <v>PTP200R239152</v>
      </c>
      <c r="G931" s="4">
        <v>1269</v>
      </c>
      <c r="H931" s="22">
        <v>1</v>
      </c>
    </row>
    <row r="932" spans="1:8" x14ac:dyDescent="0.25">
      <c r="A932" s="14">
        <v>45160.600196527776</v>
      </c>
      <c r="B932" s="2" t="s">
        <v>5</v>
      </c>
      <c r="C932" s="22" t="s">
        <v>229</v>
      </c>
      <c r="D932" s="111" t="s">
        <v>95</v>
      </c>
      <c r="E932" s="18" t="s">
        <v>805</v>
      </c>
      <c r="F932" s="4" t="str">
        <f t="shared" si="44"/>
        <v>JAG2N1E701603</v>
      </c>
      <c r="G932" s="4">
        <v>250</v>
      </c>
      <c r="H932" s="22">
        <v>2</v>
      </c>
    </row>
    <row r="933" spans="1:8" x14ac:dyDescent="0.25">
      <c r="A933" s="14">
        <v>45160.598531134259</v>
      </c>
      <c r="B933" s="2" t="s">
        <v>7</v>
      </c>
      <c r="C933" s="22" t="s">
        <v>801</v>
      </c>
      <c r="D933" s="111" t="s">
        <v>95</v>
      </c>
      <c r="E933" s="18" t="s">
        <v>802</v>
      </c>
      <c r="F933" s="4" t="str">
        <f t="shared" si="44"/>
        <v>EUB09D700743</v>
      </c>
      <c r="G933" s="4">
        <v>3246</v>
      </c>
      <c r="H933" s="22">
        <v>7</v>
      </c>
    </row>
    <row r="934" spans="1:8" x14ac:dyDescent="0.25">
      <c r="A934" s="14">
        <v>45154.521157060182</v>
      </c>
      <c r="B934" s="2" t="s">
        <v>80</v>
      </c>
      <c r="C934" s="22" t="s">
        <v>809</v>
      </c>
      <c r="D934" s="111" t="s">
        <v>95</v>
      </c>
      <c r="E934" s="18" t="s">
        <v>808</v>
      </c>
      <c r="F934" s="4" t="str">
        <f t="shared" si="44"/>
        <v>PTP200R239154</v>
      </c>
      <c r="G934" s="4">
        <v>251</v>
      </c>
      <c r="H934" s="22">
        <v>1</v>
      </c>
    </row>
    <row r="935" spans="1:8" x14ac:dyDescent="0.25">
      <c r="A935" s="14">
        <v>45153.514708333336</v>
      </c>
      <c r="B935" s="2" t="s">
        <v>18</v>
      </c>
      <c r="C935" s="22" t="s">
        <v>799</v>
      </c>
      <c r="D935" s="111" t="s">
        <v>95</v>
      </c>
      <c r="E935" s="18" t="s">
        <v>804</v>
      </c>
      <c r="F935" s="4" t="str">
        <f t="shared" si="44"/>
        <v>EUB09D700992</v>
      </c>
      <c r="G935" s="4">
        <v>4215</v>
      </c>
      <c r="H935" s="22">
        <v>3</v>
      </c>
    </row>
    <row r="936" spans="1:8" x14ac:dyDescent="0.25">
      <c r="A936" s="14">
        <v>45153.353288773149</v>
      </c>
      <c r="B936" s="2" t="s">
        <v>13</v>
      </c>
      <c r="C936" s="22" t="s">
        <v>797</v>
      </c>
      <c r="D936" s="111" t="s">
        <v>95</v>
      </c>
      <c r="E936" s="18" t="s">
        <v>803</v>
      </c>
      <c r="F936" s="4" t="str">
        <f t="shared" si="44"/>
        <v>EUB09D700268</v>
      </c>
      <c r="G936" s="4">
        <v>2093</v>
      </c>
      <c r="H936" s="22">
        <v>3</v>
      </c>
    </row>
    <row r="937" spans="1:8" x14ac:dyDescent="0.25">
      <c r="A937" s="14">
        <v>45153.351425578701</v>
      </c>
      <c r="B937" s="2" t="s">
        <v>18</v>
      </c>
      <c r="C937" s="22" t="s">
        <v>792</v>
      </c>
      <c r="D937" s="111" t="s">
        <v>95</v>
      </c>
      <c r="E937" s="18"/>
      <c r="F937" s="4" t="str">
        <f t="shared" si="44"/>
        <v>EUB09D700992</v>
      </c>
      <c r="G937" s="4"/>
      <c r="H937" s="22"/>
    </row>
    <row r="938" spans="1:8" ht="30" x14ac:dyDescent="0.25">
      <c r="A938" s="14">
        <v>45153.350670717591</v>
      </c>
      <c r="B938" s="2" t="s">
        <v>20</v>
      </c>
      <c r="C938" s="35" t="s">
        <v>790</v>
      </c>
      <c r="D938" s="111" t="s">
        <v>95</v>
      </c>
      <c r="E938" s="18" t="s">
        <v>791</v>
      </c>
      <c r="F938" s="4" t="str">
        <f t="shared" si="44"/>
        <v>EUB09D700832</v>
      </c>
      <c r="G938" s="4">
        <v>2711</v>
      </c>
      <c r="H938" s="22">
        <v>1</v>
      </c>
    </row>
    <row r="939" spans="1:8" x14ac:dyDescent="0.25">
      <c r="A939" s="14">
        <v>45149.645307523147</v>
      </c>
      <c r="B939" s="2" t="s">
        <v>9</v>
      </c>
      <c r="C939" s="22" t="s">
        <v>789</v>
      </c>
      <c r="D939" s="111" t="s">
        <v>95</v>
      </c>
      <c r="E939" s="18" t="s">
        <v>796</v>
      </c>
      <c r="F939" s="4" t="str">
        <f t="shared" si="44"/>
        <v>EUB09D700745</v>
      </c>
      <c r="G939" s="4">
        <v>3568</v>
      </c>
      <c r="H939" s="22">
        <v>1</v>
      </c>
    </row>
    <row r="940" spans="1:8" ht="30" x14ac:dyDescent="0.25">
      <c r="A940" s="14">
        <v>45149.438372916666</v>
      </c>
      <c r="B940" s="2" t="s">
        <v>7</v>
      </c>
      <c r="C940" s="35" t="s">
        <v>832</v>
      </c>
      <c r="D940" s="111" t="s">
        <v>95</v>
      </c>
      <c r="E940" s="18" t="s">
        <v>794</v>
      </c>
      <c r="F940" s="4" t="str">
        <f t="shared" si="44"/>
        <v>EUB09D700743</v>
      </c>
      <c r="G940" s="4">
        <v>3218</v>
      </c>
      <c r="H940" s="22">
        <v>0</v>
      </c>
    </row>
    <row r="941" spans="1:8" x14ac:dyDescent="0.25">
      <c r="A941" s="14">
        <v>45149.430875925929</v>
      </c>
      <c r="B941" s="2" t="s">
        <v>57</v>
      </c>
      <c r="C941" s="22" t="s">
        <v>788</v>
      </c>
      <c r="D941" s="111" t="s">
        <v>95</v>
      </c>
      <c r="E941" s="18" t="s">
        <v>794</v>
      </c>
      <c r="F941" s="4" t="str">
        <f t="shared" si="44"/>
        <v>Nincs Adat</v>
      </c>
      <c r="G941" s="4">
        <v>3218</v>
      </c>
      <c r="H941" s="22">
        <v>1</v>
      </c>
    </row>
    <row r="942" spans="1:8" x14ac:dyDescent="0.25">
      <c r="A942" s="14">
        <v>45148.378483333334</v>
      </c>
      <c r="B942" s="2" t="s">
        <v>9</v>
      </c>
      <c r="C942" s="22" t="s">
        <v>831</v>
      </c>
      <c r="D942" s="111" t="s">
        <v>95</v>
      </c>
      <c r="E942" s="18"/>
      <c r="F942" s="4" t="str">
        <f t="shared" si="44"/>
        <v>EUB09D700745</v>
      </c>
      <c r="G942" s="4"/>
      <c r="H942" s="22">
        <v>0</v>
      </c>
    </row>
    <row r="943" spans="1:8" x14ac:dyDescent="0.25">
      <c r="A943" s="14">
        <v>45148.339288657407</v>
      </c>
      <c r="B943" s="2" t="s">
        <v>15</v>
      </c>
      <c r="C943" s="22" t="s">
        <v>418</v>
      </c>
      <c r="D943" s="111" t="s">
        <v>95</v>
      </c>
      <c r="E943" s="18"/>
      <c r="F943" s="4" t="str">
        <f t="shared" si="44"/>
        <v>EUB09D700705</v>
      </c>
      <c r="G943" s="4"/>
      <c r="H943" s="22">
        <v>0</v>
      </c>
    </row>
    <row r="944" spans="1:8" x14ac:dyDescent="0.25">
      <c r="A944" s="14">
        <v>45148.338006134261</v>
      </c>
      <c r="B944" s="2" t="s">
        <v>25</v>
      </c>
      <c r="C944" s="22" t="s">
        <v>786</v>
      </c>
      <c r="D944" s="111" t="s">
        <v>95</v>
      </c>
      <c r="E944" s="18" t="s">
        <v>787</v>
      </c>
      <c r="F944" s="4" t="str">
        <f t="shared" si="44"/>
        <v>EUB09D700741</v>
      </c>
      <c r="G944" s="4"/>
      <c r="H944" s="22">
        <v>4</v>
      </c>
    </row>
    <row r="945" spans="1:8" x14ac:dyDescent="0.25">
      <c r="A945" s="14">
        <v>45147.406575231478</v>
      </c>
      <c r="B945" s="2" t="s">
        <v>157</v>
      </c>
      <c r="C945" s="22" t="s">
        <v>800</v>
      </c>
      <c r="D945" s="111" t="s">
        <v>95</v>
      </c>
      <c r="E945" s="18" t="s">
        <v>836</v>
      </c>
      <c r="F945" s="4" t="str">
        <f t="shared" si="44"/>
        <v>F24537B00021</v>
      </c>
      <c r="G945" s="4">
        <v>5545</v>
      </c>
      <c r="H945" s="22">
        <v>2</v>
      </c>
    </row>
    <row r="946" spans="1:8" x14ac:dyDescent="0.25">
      <c r="A946" s="14">
        <v>45147.34500173611</v>
      </c>
      <c r="B946" s="2" t="s">
        <v>24</v>
      </c>
      <c r="C946" s="22" t="s">
        <v>815</v>
      </c>
      <c r="D946" s="111" t="s">
        <v>95</v>
      </c>
      <c r="E946" s="18" t="s">
        <v>816</v>
      </c>
      <c r="F946" s="4" t="str">
        <f t="shared" si="44"/>
        <v>EUB09D700704</v>
      </c>
      <c r="G946" s="4">
        <v>2541</v>
      </c>
      <c r="H946" s="22">
        <v>2</v>
      </c>
    </row>
    <row r="947" spans="1:8" x14ac:dyDescent="0.25">
      <c r="A947" s="14">
        <v>45147.343711458336</v>
      </c>
      <c r="B947" s="2" t="s">
        <v>4</v>
      </c>
      <c r="C947" s="22" t="s">
        <v>626</v>
      </c>
      <c r="D947" s="111" t="s">
        <v>95</v>
      </c>
      <c r="E947" s="18" t="s">
        <v>925</v>
      </c>
      <c r="F947" s="4" t="str">
        <f t="shared" si="44"/>
        <v>JAG2N1E701604</v>
      </c>
      <c r="G947" s="4">
        <v>725</v>
      </c>
      <c r="H947" s="22">
        <v>2</v>
      </c>
    </row>
    <row r="948" spans="1:8" x14ac:dyDescent="0.25">
      <c r="A948" s="14">
        <v>45147.342722222224</v>
      </c>
      <c r="B948" s="2" t="s">
        <v>4</v>
      </c>
      <c r="C948" s="22" t="s">
        <v>781</v>
      </c>
      <c r="D948" s="111" t="s">
        <v>95</v>
      </c>
      <c r="E948" s="18" t="s">
        <v>782</v>
      </c>
      <c r="F948" s="4" t="str">
        <f t="shared" si="44"/>
        <v>JAG2N1E701604</v>
      </c>
      <c r="G948" s="4">
        <v>643</v>
      </c>
      <c r="H948" s="22">
        <v>1</v>
      </c>
    </row>
    <row r="949" spans="1:8" x14ac:dyDescent="0.25">
      <c r="A949" s="14">
        <v>45147.342314351852</v>
      </c>
      <c r="B949" s="2" t="s">
        <v>80</v>
      </c>
      <c r="C949" s="22" t="s">
        <v>779</v>
      </c>
      <c r="D949" s="111" t="s">
        <v>95</v>
      </c>
      <c r="E949" s="18" t="s">
        <v>780</v>
      </c>
      <c r="F949" s="4" t="str">
        <f t="shared" si="44"/>
        <v>PTP200R239154</v>
      </c>
      <c r="G949" s="4">
        <v>223</v>
      </c>
      <c r="H949" s="22">
        <v>1</v>
      </c>
    </row>
    <row r="950" spans="1:8" x14ac:dyDescent="0.25">
      <c r="A950" s="14">
        <v>45147.341551041667</v>
      </c>
      <c r="B950" s="2" t="s">
        <v>19</v>
      </c>
      <c r="C950" s="22" t="s">
        <v>777</v>
      </c>
      <c r="D950" s="111" t="s">
        <v>95</v>
      </c>
      <c r="E950" s="18" t="s">
        <v>778</v>
      </c>
      <c r="F950" s="4" t="str">
        <f t="shared" si="44"/>
        <v>EUB09D700836</v>
      </c>
      <c r="G950" s="4">
        <v>3617</v>
      </c>
      <c r="H950" s="22">
        <v>3</v>
      </c>
    </row>
    <row r="951" spans="1:8" x14ac:dyDescent="0.25">
      <c r="A951" s="14">
        <v>45147.341202546297</v>
      </c>
      <c r="B951" s="2" t="s">
        <v>15</v>
      </c>
      <c r="C951" s="22" t="s">
        <v>775</v>
      </c>
      <c r="D951" s="111" t="s">
        <v>95</v>
      </c>
      <c r="E951" s="18" t="s">
        <v>776</v>
      </c>
      <c r="F951" s="4" t="str">
        <f t="shared" si="44"/>
        <v>EUB09D700705</v>
      </c>
      <c r="G951" s="4">
        <v>1041</v>
      </c>
      <c r="H951" s="22">
        <v>1</v>
      </c>
    </row>
    <row r="952" spans="1:8" x14ac:dyDescent="0.25">
      <c r="A952" s="14">
        <v>45147.340336921297</v>
      </c>
      <c r="B952" s="2" t="s">
        <v>77</v>
      </c>
      <c r="C952" s="22" t="s">
        <v>773</v>
      </c>
      <c r="D952" s="111" t="s">
        <v>95</v>
      </c>
      <c r="E952" s="18" t="s">
        <v>772</v>
      </c>
      <c r="F952" s="4" t="str">
        <f t="shared" si="44"/>
        <v>PTP200R239151</v>
      </c>
      <c r="G952" s="4"/>
      <c r="H952" s="22">
        <v>1</v>
      </c>
    </row>
    <row r="953" spans="1:8" x14ac:dyDescent="0.25">
      <c r="A953" s="14">
        <v>45147.339147453706</v>
      </c>
      <c r="B953" s="2" t="s">
        <v>79</v>
      </c>
      <c r="C953" s="22" t="s">
        <v>771</v>
      </c>
      <c r="D953" s="111" t="s">
        <v>95</v>
      </c>
      <c r="E953" s="18" t="s">
        <v>785</v>
      </c>
      <c r="F953" s="4" t="str">
        <f t="shared" si="44"/>
        <v>PTP200R239153</v>
      </c>
      <c r="G953" s="4">
        <v>973</v>
      </c>
      <c r="H953" s="22">
        <v>2</v>
      </c>
    </row>
    <row r="954" spans="1:8" x14ac:dyDescent="0.25">
      <c r="A954" s="14">
        <v>45147.33881134259</v>
      </c>
      <c r="B954" s="2" t="s">
        <v>44</v>
      </c>
      <c r="C954" s="22" t="s">
        <v>770</v>
      </c>
      <c r="D954" s="111" t="s">
        <v>95</v>
      </c>
      <c r="E954" s="18" t="s">
        <v>784</v>
      </c>
      <c r="F954" s="4" t="str">
        <f t="shared" si="44"/>
        <v>Nincs Adat</v>
      </c>
      <c r="G954" s="4">
        <v>3625</v>
      </c>
      <c r="H954" s="22">
        <v>1</v>
      </c>
    </row>
    <row r="955" spans="1:8" x14ac:dyDescent="0.25">
      <c r="A955" s="14">
        <v>45146.611222916668</v>
      </c>
      <c r="B955" s="2" t="s">
        <v>11</v>
      </c>
      <c r="C955" s="22" t="s">
        <v>769</v>
      </c>
      <c r="D955" s="111" t="s">
        <v>95</v>
      </c>
      <c r="E955" s="18"/>
      <c r="F955" s="4" t="str">
        <f t="shared" si="44"/>
        <v>EUB09D700850</v>
      </c>
      <c r="G955" s="4"/>
      <c r="H955" s="22"/>
    </row>
    <row r="956" spans="1:8" x14ac:dyDescent="0.25">
      <c r="A956" s="14">
        <v>45145.341994560185</v>
      </c>
      <c r="B956" s="2" t="s">
        <v>18</v>
      </c>
      <c r="C956" s="22" t="s">
        <v>764</v>
      </c>
      <c r="D956" s="111" t="s">
        <v>95</v>
      </c>
      <c r="E956" s="18" t="s">
        <v>765</v>
      </c>
      <c r="F956" s="4" t="str">
        <f t="shared" si="44"/>
        <v>EUB09D700992</v>
      </c>
      <c r="G956" s="4">
        <v>4144</v>
      </c>
      <c r="H956" s="22">
        <v>1</v>
      </c>
    </row>
    <row r="957" spans="1:8" x14ac:dyDescent="0.25">
      <c r="A957" s="14">
        <v>45145.340032870372</v>
      </c>
      <c r="B957" s="2" t="s">
        <v>2</v>
      </c>
      <c r="C957" s="22" t="s">
        <v>626</v>
      </c>
      <c r="D957" s="111" t="s">
        <v>95</v>
      </c>
      <c r="E957" s="18" t="s">
        <v>761</v>
      </c>
      <c r="F957" s="4" t="str">
        <f t="shared" si="44"/>
        <v>JA2N1E700427</v>
      </c>
      <c r="G957" s="4">
        <v>1398</v>
      </c>
      <c r="H957" s="22">
        <v>2</v>
      </c>
    </row>
    <row r="958" spans="1:8" x14ac:dyDescent="0.25">
      <c r="A958" s="14">
        <v>45145.339438078707</v>
      </c>
      <c r="B958" s="2" t="s">
        <v>157</v>
      </c>
      <c r="C958" s="22" t="s">
        <v>722</v>
      </c>
      <c r="D958" s="111" t="s">
        <v>95</v>
      </c>
      <c r="E958" s="18" t="s">
        <v>760</v>
      </c>
      <c r="F958" s="4" t="str">
        <f t="shared" si="44"/>
        <v>F24537B00021</v>
      </c>
      <c r="G958" s="4">
        <v>5537</v>
      </c>
      <c r="H958" s="22">
        <v>2</v>
      </c>
    </row>
    <row r="959" spans="1:8" x14ac:dyDescent="0.25">
      <c r="A959" s="14">
        <v>45145.338262962963</v>
      </c>
      <c r="B959" s="2" t="s">
        <v>16</v>
      </c>
      <c r="C959" s="22" t="s">
        <v>759</v>
      </c>
      <c r="D959" s="111" t="s">
        <v>95</v>
      </c>
      <c r="E959" s="18" t="s">
        <v>774</v>
      </c>
      <c r="F959" s="4" t="str">
        <f t="shared" si="44"/>
        <v>EUB09D700851</v>
      </c>
      <c r="G959" s="4">
        <v>3108</v>
      </c>
      <c r="H959" s="22">
        <v>1</v>
      </c>
    </row>
    <row r="960" spans="1:8" x14ac:dyDescent="0.25">
      <c r="A960" s="14">
        <v>45141.49515949074</v>
      </c>
      <c r="B960" s="2" t="s">
        <v>21</v>
      </c>
      <c r="C960" s="22" t="s">
        <v>757</v>
      </c>
      <c r="D960" s="111" t="s">
        <v>95</v>
      </c>
      <c r="E960" s="18" t="s">
        <v>758</v>
      </c>
      <c r="F960" s="4" t="str">
        <f t="shared" si="44"/>
        <v>EUB09D700842</v>
      </c>
      <c r="G960" s="4">
        <v>2655</v>
      </c>
      <c r="H960" s="22">
        <v>2</v>
      </c>
    </row>
    <row r="961" spans="1:8" x14ac:dyDescent="0.25">
      <c r="A961" s="14">
        <v>45141.494731828701</v>
      </c>
      <c r="B961" s="2" t="s">
        <v>24</v>
      </c>
      <c r="C961" s="22" t="s">
        <v>755</v>
      </c>
      <c r="D961" s="111" t="s">
        <v>95</v>
      </c>
      <c r="E961" s="18" t="s">
        <v>756</v>
      </c>
      <c r="F961" s="4" t="str">
        <f t="shared" si="44"/>
        <v>EUB09D700704</v>
      </c>
      <c r="G961" s="4">
        <v>2418</v>
      </c>
      <c r="H961" s="22">
        <v>2</v>
      </c>
    </row>
    <row r="962" spans="1:8" x14ac:dyDescent="0.25">
      <c r="A962" s="14">
        <v>45141.493213773145</v>
      </c>
      <c r="B962" s="2" t="s">
        <v>23</v>
      </c>
      <c r="C962" s="22" t="s">
        <v>753</v>
      </c>
      <c r="D962" s="111" t="s">
        <v>95</v>
      </c>
      <c r="E962" s="18" t="s">
        <v>754</v>
      </c>
      <c r="F962" s="4" t="str">
        <f t="shared" si="44"/>
        <v>EUB09D700740</v>
      </c>
      <c r="G962" s="4">
        <v>1443</v>
      </c>
      <c r="H962" s="22">
        <v>3</v>
      </c>
    </row>
    <row r="963" spans="1:8" x14ac:dyDescent="0.25">
      <c r="A963" s="14">
        <v>45141.492782986112</v>
      </c>
      <c r="B963" s="2" t="s">
        <v>25</v>
      </c>
      <c r="C963" s="22" t="s">
        <v>751</v>
      </c>
      <c r="D963" s="111" t="s">
        <v>95</v>
      </c>
      <c r="E963" s="18" t="s">
        <v>752</v>
      </c>
      <c r="F963" s="4" t="str">
        <f t="shared" ref="F963:F1026" si="45">IFERROR(VLOOKUP(B963,targlist02,3,0),"Nincs Adat")</f>
        <v>EUB09D700741</v>
      </c>
      <c r="G963" s="4"/>
      <c r="H963" s="22">
        <v>2</v>
      </c>
    </row>
    <row r="964" spans="1:8" x14ac:dyDescent="0.25">
      <c r="A964" s="14">
        <v>45141.491353703706</v>
      </c>
      <c r="B964" s="2" t="s">
        <v>15</v>
      </c>
      <c r="C964" s="22" t="s">
        <v>748</v>
      </c>
      <c r="D964" s="111" t="s">
        <v>95</v>
      </c>
      <c r="E964" s="18" t="s">
        <v>749</v>
      </c>
      <c r="F964" s="4" t="str">
        <f t="shared" si="45"/>
        <v>EUB09D700705</v>
      </c>
      <c r="G964" s="4">
        <v>982</v>
      </c>
      <c r="H964" s="22">
        <v>1</v>
      </c>
    </row>
    <row r="965" spans="1:8" x14ac:dyDescent="0.25">
      <c r="A965" s="14">
        <v>45141.491012384256</v>
      </c>
      <c r="B965" s="2" t="s">
        <v>9</v>
      </c>
      <c r="C965" s="22" t="s">
        <v>746</v>
      </c>
      <c r="D965" s="111" t="s">
        <v>95</v>
      </c>
      <c r="E965" s="18" t="s">
        <v>747</v>
      </c>
      <c r="F965" s="4" t="str">
        <f t="shared" si="45"/>
        <v>EUB09D700745</v>
      </c>
      <c r="G965" s="4">
        <v>3435</v>
      </c>
      <c r="H965" s="22">
        <v>2</v>
      </c>
    </row>
    <row r="966" spans="1:8" x14ac:dyDescent="0.25">
      <c r="A966" s="14">
        <v>45141.490265972221</v>
      </c>
      <c r="B966" s="2" t="s">
        <v>80</v>
      </c>
      <c r="C966" s="22" t="s">
        <v>744</v>
      </c>
      <c r="D966" s="111" t="s">
        <v>95</v>
      </c>
      <c r="E966" s="18" t="s">
        <v>745</v>
      </c>
      <c r="F966" s="4" t="str">
        <f t="shared" si="45"/>
        <v>PTP200R239154</v>
      </c>
      <c r="G966" s="4">
        <v>198</v>
      </c>
      <c r="H966" s="22">
        <v>3</v>
      </c>
    </row>
    <row r="967" spans="1:8" x14ac:dyDescent="0.25">
      <c r="A967" s="14">
        <v>45141.489372685188</v>
      </c>
      <c r="B967" s="2" t="s">
        <v>25</v>
      </c>
      <c r="C967" s="22" t="s">
        <v>742</v>
      </c>
      <c r="D967" s="111" t="s">
        <v>95</v>
      </c>
      <c r="E967" s="18" t="s">
        <v>743</v>
      </c>
      <c r="F967" s="4" t="str">
        <f t="shared" si="45"/>
        <v>EUB09D700741</v>
      </c>
      <c r="G967" s="4"/>
      <c r="H967" s="22">
        <v>1</v>
      </c>
    </row>
    <row r="968" spans="1:8" x14ac:dyDescent="0.25">
      <c r="A968" s="14">
        <v>45141.488659722221</v>
      </c>
      <c r="B968" s="2" t="s">
        <v>9</v>
      </c>
      <c r="C968" s="22" t="s">
        <v>740</v>
      </c>
      <c r="D968" s="111" t="s">
        <v>95</v>
      </c>
      <c r="E968" s="18" t="s">
        <v>741</v>
      </c>
      <c r="F968" s="4" t="str">
        <f t="shared" si="45"/>
        <v>EUB09D700745</v>
      </c>
      <c r="G968" s="4">
        <v>3421</v>
      </c>
      <c r="H968" s="22">
        <v>1</v>
      </c>
    </row>
    <row r="969" spans="1:8" x14ac:dyDescent="0.25">
      <c r="A969" s="14">
        <v>45140.395340740739</v>
      </c>
      <c r="B969" s="2" t="s">
        <v>79</v>
      </c>
      <c r="C969" s="22" t="s">
        <v>738</v>
      </c>
      <c r="D969" s="111" t="s">
        <v>95</v>
      </c>
      <c r="E969" s="18" t="s">
        <v>750</v>
      </c>
      <c r="F969" s="4" t="str">
        <f t="shared" si="45"/>
        <v>PTP200R239153</v>
      </c>
      <c r="G969" s="4">
        <v>949</v>
      </c>
      <c r="H969" s="22">
        <v>1</v>
      </c>
    </row>
    <row r="970" spans="1:8" x14ac:dyDescent="0.25">
      <c r="A970" s="14">
        <v>45140.395131018522</v>
      </c>
      <c r="B970" s="2" t="s">
        <v>26</v>
      </c>
      <c r="C970" s="22" t="s">
        <v>449</v>
      </c>
      <c r="D970" s="111" t="s">
        <v>95</v>
      </c>
      <c r="E970" s="18"/>
      <c r="F970" s="4" t="str">
        <f t="shared" si="45"/>
        <v>EFC09D60002</v>
      </c>
      <c r="G970" s="4"/>
      <c r="H970" s="22"/>
    </row>
    <row r="971" spans="1:8" x14ac:dyDescent="0.25">
      <c r="A971" s="14">
        <v>45140.394969328707</v>
      </c>
      <c r="B971" s="2" t="s">
        <v>24</v>
      </c>
      <c r="C971" s="22" t="s">
        <v>449</v>
      </c>
      <c r="D971" s="111" t="s">
        <v>95</v>
      </c>
      <c r="E971" s="18" t="s">
        <v>838</v>
      </c>
      <c r="F971" s="4" t="str">
        <f t="shared" si="45"/>
        <v>EUB09D700704</v>
      </c>
      <c r="G971" s="4">
        <v>2544</v>
      </c>
      <c r="H971" s="22">
        <v>4</v>
      </c>
    </row>
    <row r="972" spans="1:8" x14ac:dyDescent="0.25">
      <c r="A972" s="14">
        <v>45140.394784027776</v>
      </c>
      <c r="B972" s="2" t="s">
        <v>21</v>
      </c>
      <c r="C972" s="22" t="s">
        <v>449</v>
      </c>
      <c r="D972" s="111" t="s">
        <v>95</v>
      </c>
      <c r="E972" s="18" t="s">
        <v>837</v>
      </c>
      <c r="F972" s="4" t="str">
        <f t="shared" si="45"/>
        <v>EUB09D700842</v>
      </c>
      <c r="G972" s="4">
        <v>2911</v>
      </c>
      <c r="H972" s="22" t="s">
        <v>1047</v>
      </c>
    </row>
    <row r="973" spans="1:8" x14ac:dyDescent="0.25">
      <c r="A973" s="14">
        <v>45140.394515046297</v>
      </c>
      <c r="B973" s="2" t="s">
        <v>18</v>
      </c>
      <c r="C973" s="22" t="s">
        <v>449</v>
      </c>
      <c r="D973" s="111" t="s">
        <v>95</v>
      </c>
      <c r="E973" s="18" t="s">
        <v>833</v>
      </c>
      <c r="F973" s="4" t="str">
        <f t="shared" si="45"/>
        <v>EUB09D700992</v>
      </c>
      <c r="G973" s="4">
        <v>4215</v>
      </c>
      <c r="H973" s="22">
        <v>3</v>
      </c>
    </row>
    <row r="974" spans="1:8" x14ac:dyDescent="0.25">
      <c r="A974" s="14">
        <v>45140.39441296296</v>
      </c>
      <c r="B974" s="2" t="s">
        <v>17</v>
      </c>
      <c r="C974" s="22" t="s">
        <v>449</v>
      </c>
      <c r="D974" s="111" t="s">
        <v>95</v>
      </c>
      <c r="E974" s="18" t="s">
        <v>865</v>
      </c>
      <c r="F974" s="4" t="str">
        <f t="shared" si="45"/>
        <v>EUB09D700852</v>
      </c>
      <c r="G974" s="4">
        <v>3280</v>
      </c>
      <c r="H974" s="22">
        <v>4</v>
      </c>
    </row>
    <row r="975" spans="1:8" x14ac:dyDescent="0.25">
      <c r="A975" s="14">
        <v>45140.394174074077</v>
      </c>
      <c r="B975" s="2" t="s">
        <v>13</v>
      </c>
      <c r="C975" s="22" t="s">
        <v>449</v>
      </c>
      <c r="D975" s="111" t="s">
        <v>95</v>
      </c>
      <c r="E975" s="18" t="s">
        <v>863</v>
      </c>
      <c r="F975" s="4" t="str">
        <f t="shared" si="45"/>
        <v>EUB09D700268</v>
      </c>
      <c r="G975" s="4">
        <v>2328</v>
      </c>
      <c r="H975" s="22">
        <v>4</v>
      </c>
    </row>
    <row r="976" spans="1:8" x14ac:dyDescent="0.25">
      <c r="A976" s="14">
        <v>45140.393829166664</v>
      </c>
      <c r="B976" s="2" t="s">
        <v>12</v>
      </c>
      <c r="C976" s="22" t="s">
        <v>449</v>
      </c>
      <c r="D976" s="111" t="s">
        <v>95</v>
      </c>
      <c r="E976" s="18" t="s">
        <v>793</v>
      </c>
      <c r="F976" s="4" t="str">
        <f t="shared" si="45"/>
        <v>EUB09D700267</v>
      </c>
      <c r="G976" s="4">
        <v>1988</v>
      </c>
      <c r="H976" s="22">
        <v>4</v>
      </c>
    </row>
    <row r="977" spans="1:8" x14ac:dyDescent="0.25">
      <c r="A977" s="14">
        <v>45140.393641550923</v>
      </c>
      <c r="B977" s="2" t="s">
        <v>32</v>
      </c>
      <c r="C977" s="22" t="s">
        <v>737</v>
      </c>
      <c r="D977" s="111" t="s">
        <v>95</v>
      </c>
      <c r="E977" s="18" t="s">
        <v>762</v>
      </c>
      <c r="F977" s="4" t="str">
        <f t="shared" si="45"/>
        <v>Nincs Adat</v>
      </c>
      <c r="G977" s="4"/>
      <c r="H977" s="22">
        <v>3</v>
      </c>
    </row>
    <row r="978" spans="1:8" x14ac:dyDescent="0.25">
      <c r="A978" s="14">
        <v>45134.396347569447</v>
      </c>
      <c r="B978" s="2" t="s">
        <v>77</v>
      </c>
      <c r="C978" s="22" t="s">
        <v>734</v>
      </c>
      <c r="D978" s="111" t="s">
        <v>95</v>
      </c>
      <c r="E978" s="18" t="s">
        <v>735</v>
      </c>
      <c r="F978" s="4" t="str">
        <f t="shared" si="45"/>
        <v>PTP200R239151</v>
      </c>
      <c r="G978" s="4">
        <v>642</v>
      </c>
      <c r="H978" s="22">
        <v>1</v>
      </c>
    </row>
    <row r="979" spans="1:8" x14ac:dyDescent="0.25">
      <c r="A979" s="14">
        <v>45134.395994907405</v>
      </c>
      <c r="B979" s="2" t="s">
        <v>80</v>
      </c>
      <c r="C979" s="22" t="s">
        <v>736</v>
      </c>
      <c r="D979" s="111" t="s">
        <v>95</v>
      </c>
      <c r="E979" s="18" t="s">
        <v>739</v>
      </c>
      <c r="F979" s="4" t="str">
        <f t="shared" si="45"/>
        <v>PTP200R239154</v>
      </c>
      <c r="G979" s="4">
        <v>198</v>
      </c>
      <c r="H979" s="22">
        <v>5</v>
      </c>
    </row>
    <row r="980" spans="1:8" x14ac:dyDescent="0.25">
      <c r="A980" s="14">
        <v>45134.395494675926</v>
      </c>
      <c r="B980" s="2" t="s">
        <v>11</v>
      </c>
      <c r="C980" s="22" t="s">
        <v>732</v>
      </c>
      <c r="D980" s="111" t="s">
        <v>95</v>
      </c>
      <c r="E980" s="18" t="s">
        <v>733</v>
      </c>
      <c r="F980" s="4" t="str">
        <f t="shared" si="45"/>
        <v>EUB09D700850</v>
      </c>
      <c r="G980" s="4">
        <v>3670</v>
      </c>
      <c r="H980" s="22">
        <v>4</v>
      </c>
    </row>
    <row r="981" spans="1:8" x14ac:dyDescent="0.25">
      <c r="A981" s="14">
        <v>45134.394708217595</v>
      </c>
      <c r="B981" s="2" t="s">
        <v>22</v>
      </c>
      <c r="C981" s="22" t="s">
        <v>730</v>
      </c>
      <c r="D981" s="111" t="s">
        <v>95</v>
      </c>
      <c r="E981" s="18" t="s">
        <v>731</v>
      </c>
      <c r="F981" s="4" t="str">
        <f t="shared" si="45"/>
        <v>EUB09D700838</v>
      </c>
      <c r="G981" s="4">
        <v>1581</v>
      </c>
      <c r="H981" s="22">
        <v>2</v>
      </c>
    </row>
    <row r="982" spans="1:8" x14ac:dyDescent="0.25">
      <c r="A982" s="14">
        <v>45134.394151851855</v>
      </c>
      <c r="B982" s="2" t="s">
        <v>78</v>
      </c>
      <c r="C982" s="22" t="s">
        <v>728</v>
      </c>
      <c r="D982" s="111" t="s">
        <v>95</v>
      </c>
      <c r="E982" s="18" t="s">
        <v>729</v>
      </c>
      <c r="F982" s="4" t="str">
        <f t="shared" si="45"/>
        <v>PTP200R239152</v>
      </c>
      <c r="G982" s="4">
        <v>1182</v>
      </c>
      <c r="H982" s="22">
        <v>3</v>
      </c>
    </row>
    <row r="983" spans="1:8" x14ac:dyDescent="0.25">
      <c r="A983" s="14">
        <v>45134.393507175926</v>
      </c>
      <c r="B983" s="2" t="s">
        <v>79</v>
      </c>
      <c r="C983" s="22" t="s">
        <v>726</v>
      </c>
      <c r="D983" s="111" t="s">
        <v>95</v>
      </c>
      <c r="E983" s="18" t="s">
        <v>727</v>
      </c>
      <c r="F983" s="4" t="str">
        <f t="shared" si="45"/>
        <v>PTP200R239153</v>
      </c>
      <c r="G983" s="4">
        <v>920</v>
      </c>
      <c r="H983" s="22">
        <v>1</v>
      </c>
    </row>
    <row r="984" spans="1:8" x14ac:dyDescent="0.25">
      <c r="A984" s="14">
        <v>45134.392892824071</v>
      </c>
      <c r="B984" s="2" t="s">
        <v>80</v>
      </c>
      <c r="C984" s="22" t="s">
        <v>724</v>
      </c>
      <c r="D984" s="111" t="s">
        <v>95</v>
      </c>
      <c r="E984" s="18" t="s">
        <v>725</v>
      </c>
      <c r="F984" s="4" t="str">
        <f t="shared" si="45"/>
        <v>PTP200R239154</v>
      </c>
      <c r="G984" s="4">
        <v>198</v>
      </c>
      <c r="H984" s="22">
        <v>1</v>
      </c>
    </row>
    <row r="985" spans="1:8" x14ac:dyDescent="0.25">
      <c r="A985" s="14">
        <v>45134.390093981485</v>
      </c>
      <c r="B985" s="2" t="s">
        <v>80</v>
      </c>
      <c r="C985" s="22" t="s">
        <v>722</v>
      </c>
      <c r="D985" s="111" t="s">
        <v>95</v>
      </c>
      <c r="E985" s="18" t="s">
        <v>723</v>
      </c>
      <c r="F985" s="4" t="str">
        <f t="shared" si="45"/>
        <v>PTP200R239154</v>
      </c>
      <c r="G985" s="4">
        <v>178</v>
      </c>
      <c r="H985" s="22">
        <v>1</v>
      </c>
    </row>
    <row r="986" spans="1:8" x14ac:dyDescent="0.25">
      <c r="A986" s="14">
        <v>45134.389164236112</v>
      </c>
      <c r="B986" s="2" t="s">
        <v>16</v>
      </c>
      <c r="C986" s="22" t="s">
        <v>719</v>
      </c>
      <c r="D986" s="111" t="s">
        <v>95</v>
      </c>
      <c r="E986" s="18" t="s">
        <v>720</v>
      </c>
      <c r="F986" s="4" t="str">
        <f t="shared" si="45"/>
        <v>EUB09D700851</v>
      </c>
      <c r="G986" s="4">
        <v>2909</v>
      </c>
      <c r="H986" s="22">
        <v>3</v>
      </c>
    </row>
    <row r="987" spans="1:8" x14ac:dyDescent="0.25">
      <c r="A987" s="14">
        <v>45134.388216087966</v>
      </c>
      <c r="B987" s="2" t="s">
        <v>23</v>
      </c>
      <c r="C987" s="22" t="s">
        <v>717</v>
      </c>
      <c r="D987" s="111" t="s">
        <v>95</v>
      </c>
      <c r="E987" s="18" t="s">
        <v>718</v>
      </c>
      <c r="F987" s="4" t="str">
        <f t="shared" si="45"/>
        <v>EUB09D700740</v>
      </c>
      <c r="G987" s="4">
        <v>1395</v>
      </c>
      <c r="H987" s="22">
        <v>1</v>
      </c>
    </row>
    <row r="988" spans="1:8" x14ac:dyDescent="0.25">
      <c r="A988" s="14">
        <v>45134.387578125003</v>
      </c>
      <c r="B988" s="2" t="s">
        <v>15</v>
      </c>
      <c r="C988" s="22" t="s">
        <v>715</v>
      </c>
      <c r="D988" s="111" t="s">
        <v>95</v>
      </c>
      <c r="E988" s="18" t="s">
        <v>716</v>
      </c>
      <c r="F988" s="4" t="str">
        <f t="shared" si="45"/>
        <v>EUB09D700705</v>
      </c>
      <c r="G988" s="4">
        <v>929</v>
      </c>
      <c r="H988" s="22">
        <v>3</v>
      </c>
    </row>
    <row r="989" spans="1:8" x14ac:dyDescent="0.25">
      <c r="A989" s="14">
        <v>45134.387262384262</v>
      </c>
      <c r="B989" s="2" t="s">
        <v>545</v>
      </c>
      <c r="C989" s="22" t="s">
        <v>542</v>
      </c>
      <c r="D989" s="111" t="s">
        <v>95</v>
      </c>
      <c r="E989" s="18" t="s">
        <v>714</v>
      </c>
      <c r="F989" s="4" t="str">
        <f t="shared" si="45"/>
        <v>G1Q2E710805</v>
      </c>
      <c r="G989" s="4">
        <v>7636</v>
      </c>
      <c r="H989" s="22">
        <v>1</v>
      </c>
    </row>
    <row r="990" spans="1:8" x14ac:dyDescent="0.25">
      <c r="A990" s="14">
        <v>45134.386098958334</v>
      </c>
      <c r="B990" s="2" t="s">
        <v>20</v>
      </c>
      <c r="C990" s="22" t="s">
        <v>712</v>
      </c>
      <c r="D990" s="111" t="s">
        <v>95</v>
      </c>
      <c r="E990" s="18" t="s">
        <v>713</v>
      </c>
      <c r="F990" s="4" t="str">
        <f t="shared" si="45"/>
        <v>EUB09D700832</v>
      </c>
      <c r="G990" s="4">
        <v>2545</v>
      </c>
      <c r="H990" s="22">
        <v>3</v>
      </c>
    </row>
    <row r="991" spans="1:8" x14ac:dyDescent="0.25">
      <c r="A991" s="14">
        <v>45131.516529398148</v>
      </c>
      <c r="B991" s="2" t="s">
        <v>20</v>
      </c>
      <c r="C991" s="22" t="s">
        <v>711</v>
      </c>
      <c r="D991" s="111" t="s">
        <v>95</v>
      </c>
      <c r="E991" s="18" t="s">
        <v>721</v>
      </c>
      <c r="F991" s="4" t="str">
        <f t="shared" si="45"/>
        <v>EUB09D700832</v>
      </c>
      <c r="G991" s="4">
        <v>2546</v>
      </c>
      <c r="H991" s="22">
        <v>2</v>
      </c>
    </row>
    <row r="992" spans="1:8" x14ac:dyDescent="0.25">
      <c r="A992" s="14">
        <v>45131.516265972219</v>
      </c>
      <c r="B992" s="2" t="s">
        <v>25</v>
      </c>
      <c r="C992" s="22" t="s">
        <v>783</v>
      </c>
      <c r="D992" s="111" t="s">
        <v>95</v>
      </c>
      <c r="E992" s="18" t="s">
        <v>795</v>
      </c>
      <c r="F992" s="4" t="str">
        <f t="shared" si="45"/>
        <v>EUB09D700741</v>
      </c>
      <c r="G992" s="4">
        <v>1397</v>
      </c>
      <c r="H992" s="22">
        <v>1</v>
      </c>
    </row>
    <row r="993" spans="1:8" x14ac:dyDescent="0.25">
      <c r="A993" s="14">
        <v>45126.431397106484</v>
      </c>
      <c r="B993" s="2" t="s">
        <v>158</v>
      </c>
      <c r="C993" s="22" t="s">
        <v>708</v>
      </c>
      <c r="D993" s="111" t="s">
        <v>95</v>
      </c>
      <c r="E993" s="18" t="s">
        <v>709</v>
      </c>
      <c r="F993" s="4" t="str">
        <f t="shared" si="45"/>
        <v>F24537B00022</v>
      </c>
      <c r="G993" s="4">
        <v>2793</v>
      </c>
      <c r="H993" s="22">
        <v>3</v>
      </c>
    </row>
    <row r="994" spans="1:8" x14ac:dyDescent="0.25">
      <c r="A994" s="14">
        <v>45126.430310532407</v>
      </c>
      <c r="B994" s="2" t="s">
        <v>17</v>
      </c>
      <c r="C994" s="22" t="s">
        <v>667</v>
      </c>
      <c r="D994" s="111" t="s">
        <v>95</v>
      </c>
      <c r="E994" s="18" t="s">
        <v>707</v>
      </c>
      <c r="F994" s="4" t="str">
        <f t="shared" si="45"/>
        <v>EUB09D700852</v>
      </c>
      <c r="G994" s="4">
        <v>2821</v>
      </c>
      <c r="H994" s="22">
        <v>1</v>
      </c>
    </row>
    <row r="995" spans="1:8" x14ac:dyDescent="0.25">
      <c r="A995" s="14">
        <v>45126.429200231483</v>
      </c>
      <c r="B995" s="2" t="s">
        <v>16</v>
      </c>
      <c r="C995" s="22" t="s">
        <v>705</v>
      </c>
      <c r="D995" s="111" t="s">
        <v>95</v>
      </c>
      <c r="E995" s="18" t="s">
        <v>706</v>
      </c>
      <c r="F995" s="4" t="str">
        <f t="shared" si="45"/>
        <v>EUB09D700851</v>
      </c>
      <c r="G995" s="4">
        <v>2892</v>
      </c>
      <c r="H995" s="22">
        <v>1</v>
      </c>
    </row>
    <row r="996" spans="1:8" x14ac:dyDescent="0.25">
      <c r="A996" s="14">
        <v>45126.42879351852</v>
      </c>
      <c r="B996" s="2" t="s">
        <v>19</v>
      </c>
      <c r="C996" s="22" t="s">
        <v>703</v>
      </c>
      <c r="D996" s="111" t="s">
        <v>95</v>
      </c>
      <c r="E996" s="18" t="s">
        <v>704</v>
      </c>
      <c r="F996" s="4" t="str">
        <f t="shared" si="45"/>
        <v>EUB09D700836</v>
      </c>
      <c r="G996" s="4">
        <v>3375</v>
      </c>
      <c r="H996" s="22">
        <v>1</v>
      </c>
    </row>
    <row r="997" spans="1:8" x14ac:dyDescent="0.25">
      <c r="A997" s="14">
        <v>45126.428090393521</v>
      </c>
      <c r="B997" s="2" t="s">
        <v>17</v>
      </c>
      <c r="C997" s="22" t="s">
        <v>701</v>
      </c>
      <c r="D997" s="111" t="s">
        <v>95</v>
      </c>
      <c r="E997" s="18" t="s">
        <v>702</v>
      </c>
      <c r="F997" s="4" t="str">
        <f t="shared" si="45"/>
        <v>EUB09D700852</v>
      </c>
      <c r="G997" s="4">
        <v>2821</v>
      </c>
      <c r="H997" s="22">
        <v>3</v>
      </c>
    </row>
    <row r="998" spans="1:8" x14ac:dyDescent="0.25">
      <c r="A998" s="14">
        <v>45126.427722453707</v>
      </c>
      <c r="B998" s="2" t="s">
        <v>79</v>
      </c>
      <c r="C998" s="22" t="s">
        <v>767</v>
      </c>
      <c r="D998" s="111" t="s">
        <v>95</v>
      </c>
      <c r="E998" s="18" t="s">
        <v>700</v>
      </c>
      <c r="F998" s="4" t="str">
        <f t="shared" si="45"/>
        <v>PTP200R239153</v>
      </c>
      <c r="G998" s="4">
        <v>909</v>
      </c>
      <c r="H998" s="22">
        <v>5</v>
      </c>
    </row>
    <row r="999" spans="1:8" ht="30" x14ac:dyDescent="0.25">
      <c r="A999" s="14">
        <v>45126.427245370367</v>
      </c>
      <c r="B999" s="2" t="s">
        <v>80</v>
      </c>
      <c r="C999" s="35" t="s">
        <v>766</v>
      </c>
      <c r="D999" s="111" t="s">
        <v>95</v>
      </c>
      <c r="E999" s="18" t="s">
        <v>699</v>
      </c>
      <c r="F999" s="4" t="str">
        <f t="shared" si="45"/>
        <v>PTP200R239154</v>
      </c>
      <c r="G999" s="4">
        <v>158</v>
      </c>
      <c r="H999" s="22">
        <v>2</v>
      </c>
    </row>
    <row r="1000" spans="1:8" x14ac:dyDescent="0.25">
      <c r="A1000" s="14">
        <v>45126.426088078704</v>
      </c>
      <c r="B1000" s="2" t="s">
        <v>15</v>
      </c>
      <c r="C1000" s="22" t="s">
        <v>696</v>
      </c>
      <c r="D1000" s="111" t="s">
        <v>95</v>
      </c>
      <c r="E1000" s="18" t="s">
        <v>697</v>
      </c>
      <c r="F1000" s="4" t="str">
        <f t="shared" si="45"/>
        <v>EUB09D700705</v>
      </c>
      <c r="G1000" s="4">
        <v>922</v>
      </c>
      <c r="H1000" s="22">
        <v>3</v>
      </c>
    </row>
    <row r="1001" spans="1:8" x14ac:dyDescent="0.25">
      <c r="A1001" s="14">
        <v>45126.425573958331</v>
      </c>
      <c r="B1001" s="2" t="s">
        <v>66</v>
      </c>
      <c r="C1001" s="22" t="s">
        <v>284</v>
      </c>
      <c r="D1001" s="111" t="s">
        <v>95</v>
      </c>
      <c r="E1001" s="18" t="s">
        <v>695</v>
      </c>
      <c r="F1001" s="4" t="str">
        <f t="shared" si="45"/>
        <v>Nincs Adat</v>
      </c>
      <c r="G1001" s="4"/>
      <c r="H1001" s="22">
        <v>1</v>
      </c>
    </row>
    <row r="1002" spans="1:8" x14ac:dyDescent="0.25">
      <c r="A1002" s="14">
        <v>45120.355618865739</v>
      </c>
      <c r="B1002" s="2" t="s">
        <v>78</v>
      </c>
      <c r="C1002" s="22" t="s">
        <v>623</v>
      </c>
      <c r="D1002" s="111" t="s">
        <v>95</v>
      </c>
      <c r="E1002" s="18" t="s">
        <v>694</v>
      </c>
      <c r="F1002" s="4" t="str">
        <f t="shared" si="45"/>
        <v>PTP200R239152</v>
      </c>
      <c r="G1002" s="4">
        <v>1127</v>
      </c>
      <c r="H1002" s="22">
        <v>2</v>
      </c>
    </row>
    <row r="1003" spans="1:8" x14ac:dyDescent="0.25">
      <c r="A1003" s="14">
        <v>45120.355159837964</v>
      </c>
      <c r="B1003" s="2" t="s">
        <v>77</v>
      </c>
      <c r="C1003" s="22" t="s">
        <v>692</v>
      </c>
      <c r="D1003" s="111" t="s">
        <v>95</v>
      </c>
      <c r="E1003" s="18" t="s">
        <v>693</v>
      </c>
      <c r="F1003" s="4" t="str">
        <f t="shared" si="45"/>
        <v>PTP200R239151</v>
      </c>
      <c r="G1003" s="4">
        <v>590</v>
      </c>
      <c r="H1003" s="22">
        <v>4</v>
      </c>
    </row>
    <row r="1004" spans="1:8" x14ac:dyDescent="0.25">
      <c r="A1004" s="14">
        <v>45120.354825000002</v>
      </c>
      <c r="B1004" s="2" t="s">
        <v>25</v>
      </c>
      <c r="C1004" s="22" t="s">
        <v>667</v>
      </c>
      <c r="D1004" s="111" t="s">
        <v>95</v>
      </c>
      <c r="E1004" s="18" t="s">
        <v>691</v>
      </c>
      <c r="F1004" s="4" t="str">
        <f t="shared" si="45"/>
        <v>EUB09D700741</v>
      </c>
      <c r="G1004" s="4">
        <v>1360</v>
      </c>
      <c r="H1004" s="22">
        <v>1</v>
      </c>
    </row>
    <row r="1005" spans="1:8" x14ac:dyDescent="0.25">
      <c r="A1005" s="14">
        <v>45120.354337962963</v>
      </c>
      <c r="B1005" s="2" t="s">
        <v>12</v>
      </c>
      <c r="C1005" s="22" t="s">
        <v>667</v>
      </c>
      <c r="D1005" s="111" t="s">
        <v>95</v>
      </c>
      <c r="E1005" s="18" t="s">
        <v>690</v>
      </c>
      <c r="F1005" s="4" t="str">
        <f t="shared" si="45"/>
        <v>EUB09D700267</v>
      </c>
      <c r="G1005" s="4">
        <v>1650</v>
      </c>
      <c r="H1005" s="22">
        <v>1</v>
      </c>
    </row>
    <row r="1006" spans="1:8" x14ac:dyDescent="0.25">
      <c r="A1006" s="14">
        <v>45120.353445601853</v>
      </c>
      <c r="B1006" s="2" t="s">
        <v>15</v>
      </c>
      <c r="C1006" s="22" t="s">
        <v>688</v>
      </c>
      <c r="D1006" s="111" t="s">
        <v>95</v>
      </c>
      <c r="E1006" s="18" t="s">
        <v>689</v>
      </c>
      <c r="F1006" s="4" t="str">
        <f t="shared" si="45"/>
        <v>EUB09D700705</v>
      </c>
      <c r="G1006" s="4">
        <v>890</v>
      </c>
      <c r="H1006" s="22">
        <v>1</v>
      </c>
    </row>
    <row r="1007" spans="1:8" x14ac:dyDescent="0.25">
      <c r="A1007" s="14">
        <v>45120.352652314818</v>
      </c>
      <c r="B1007" s="2" t="s">
        <v>25</v>
      </c>
      <c r="C1007" s="22" t="s">
        <v>686</v>
      </c>
      <c r="D1007" s="111" t="s">
        <v>95</v>
      </c>
      <c r="E1007" s="18" t="s">
        <v>687</v>
      </c>
      <c r="F1007" s="4" t="str">
        <f t="shared" si="45"/>
        <v>EUB09D700741</v>
      </c>
      <c r="G1007" s="4">
        <v>1360</v>
      </c>
      <c r="H1007" s="22">
        <v>1</v>
      </c>
    </row>
    <row r="1008" spans="1:8" x14ac:dyDescent="0.25">
      <c r="A1008" s="14">
        <v>45113.341033449076</v>
      </c>
      <c r="B1008" s="2" t="s">
        <v>10</v>
      </c>
      <c r="C1008" s="22" t="s">
        <v>679</v>
      </c>
      <c r="D1008" s="111" t="s">
        <v>95</v>
      </c>
      <c r="E1008" s="18" t="s">
        <v>680</v>
      </c>
      <c r="F1008" s="4" t="str">
        <f t="shared" si="45"/>
        <v>EUB09D700794</v>
      </c>
      <c r="G1008" s="4">
        <v>2947</v>
      </c>
      <c r="H1008" s="22">
        <v>3</v>
      </c>
    </row>
    <row r="1009" spans="1:9" x14ac:dyDescent="0.25">
      <c r="A1009" s="14">
        <v>45112.333208680553</v>
      </c>
      <c r="B1009" s="2" t="s">
        <v>78</v>
      </c>
      <c r="C1009" s="22" t="s">
        <v>677</v>
      </c>
      <c r="D1009" s="111" t="s">
        <v>95</v>
      </c>
      <c r="E1009" s="18" t="s">
        <v>683</v>
      </c>
      <c r="F1009" s="4" t="str">
        <f t="shared" si="45"/>
        <v>PTP200R239152</v>
      </c>
      <c r="G1009" s="4">
        <v>1120</v>
      </c>
      <c r="H1009" s="22">
        <v>1</v>
      </c>
      <c r="I1009" s="2">
        <v>3</v>
      </c>
    </row>
    <row r="1010" spans="1:9" x14ac:dyDescent="0.25">
      <c r="A1010" s="14">
        <v>45112.332331134261</v>
      </c>
      <c r="B1010" s="2" t="s">
        <v>81</v>
      </c>
      <c r="C1010" s="22" t="s">
        <v>676</v>
      </c>
      <c r="D1010" s="111" t="s">
        <v>95</v>
      </c>
      <c r="E1010" s="18" t="s">
        <v>675</v>
      </c>
      <c r="F1010" s="4" t="str">
        <f t="shared" si="45"/>
        <v>PTP200R239155</v>
      </c>
      <c r="G1010" s="4">
        <v>111</v>
      </c>
      <c r="H1010" s="22">
        <v>1</v>
      </c>
    </row>
    <row r="1011" spans="1:9" x14ac:dyDescent="0.25">
      <c r="A1011" s="14">
        <v>45112.331656249997</v>
      </c>
      <c r="B1011" s="2" t="s">
        <v>78</v>
      </c>
      <c r="C1011" s="22" t="s">
        <v>673</v>
      </c>
      <c r="D1011" s="111" t="s">
        <v>95</v>
      </c>
      <c r="E1011" s="18" t="s">
        <v>674</v>
      </c>
      <c r="F1011" s="4" t="str">
        <f t="shared" si="45"/>
        <v>PTP200R239152</v>
      </c>
      <c r="G1011" s="4">
        <v>1119</v>
      </c>
      <c r="H1011" s="22">
        <v>1</v>
      </c>
      <c r="I1011" s="2">
        <v>3</v>
      </c>
    </row>
    <row r="1012" spans="1:9" x14ac:dyDescent="0.25">
      <c r="A1012" s="14">
        <v>45112.330979861108</v>
      </c>
      <c r="B1012" s="2" t="s">
        <v>8</v>
      </c>
      <c r="C1012" s="22" t="s">
        <v>671</v>
      </c>
      <c r="D1012" s="111" t="s">
        <v>95</v>
      </c>
      <c r="E1012" s="18" t="s">
        <v>672</v>
      </c>
      <c r="F1012" s="4" t="str">
        <f t="shared" si="45"/>
        <v>EUB09D700744</v>
      </c>
      <c r="G1012" s="4">
        <v>2884</v>
      </c>
      <c r="H1012" s="22">
        <v>4</v>
      </c>
    </row>
    <row r="1013" spans="1:9" x14ac:dyDescent="0.25">
      <c r="A1013" s="14">
        <v>45112.329933680558</v>
      </c>
      <c r="B1013" s="2" t="s">
        <v>77</v>
      </c>
      <c r="C1013" s="22" t="s">
        <v>669</v>
      </c>
      <c r="D1013" s="111" t="s">
        <v>95</v>
      </c>
      <c r="E1013" s="18" t="s">
        <v>670</v>
      </c>
      <c r="F1013" s="4" t="str">
        <f t="shared" si="45"/>
        <v>PTP200R239151</v>
      </c>
      <c r="G1013" s="4">
        <v>553</v>
      </c>
      <c r="H1013" s="22">
        <v>2</v>
      </c>
    </row>
    <row r="1014" spans="1:9" x14ac:dyDescent="0.25">
      <c r="A1014" s="14">
        <v>45112.329665972225</v>
      </c>
      <c r="B1014" s="2" t="s">
        <v>15</v>
      </c>
      <c r="C1014" s="22" t="s">
        <v>667</v>
      </c>
      <c r="D1014" s="111" t="s">
        <v>95</v>
      </c>
      <c r="E1014" s="18" t="s">
        <v>668</v>
      </c>
      <c r="F1014" s="4" t="str">
        <f t="shared" si="45"/>
        <v>EUB09D700705</v>
      </c>
      <c r="G1014" s="4">
        <v>889</v>
      </c>
      <c r="H1014" s="22">
        <v>1</v>
      </c>
    </row>
    <row r="1015" spans="1:9" x14ac:dyDescent="0.25">
      <c r="A1015" s="14">
        <v>45112.328954976852</v>
      </c>
      <c r="B1015" s="2" t="s">
        <v>7</v>
      </c>
      <c r="C1015" s="22" t="s">
        <v>665</v>
      </c>
      <c r="D1015" s="111" t="s">
        <v>95</v>
      </c>
      <c r="E1015" s="18" t="s">
        <v>666</v>
      </c>
      <c r="F1015" s="4" t="str">
        <f t="shared" si="45"/>
        <v>EUB09D700743</v>
      </c>
      <c r="G1015" s="4">
        <v>2873</v>
      </c>
      <c r="H1015" s="22">
        <v>4</v>
      </c>
    </row>
    <row r="1016" spans="1:9" x14ac:dyDescent="0.25">
      <c r="A1016" s="14">
        <v>45110.502187500002</v>
      </c>
      <c r="B1016" s="2" t="s">
        <v>9</v>
      </c>
      <c r="C1016" s="22" t="s">
        <v>663</v>
      </c>
      <c r="D1016" s="111" t="s">
        <v>95</v>
      </c>
      <c r="E1016" s="18" t="s">
        <v>664</v>
      </c>
      <c r="F1016" s="4" t="str">
        <f t="shared" si="45"/>
        <v>EUB09D700745</v>
      </c>
      <c r="G1016" s="4">
        <v>3087</v>
      </c>
      <c r="H1016" s="22">
        <v>4</v>
      </c>
    </row>
    <row r="1017" spans="1:9" x14ac:dyDescent="0.25">
      <c r="A1017" s="14">
        <v>45110.501020138887</v>
      </c>
      <c r="B1017" s="2" t="s">
        <v>6</v>
      </c>
      <c r="C1017" s="22" t="s">
        <v>661</v>
      </c>
      <c r="D1017" s="111" t="s">
        <v>95</v>
      </c>
      <c r="E1017" s="18" t="s">
        <v>662</v>
      </c>
      <c r="F1017" s="4" t="str">
        <f t="shared" si="45"/>
        <v>EUB09D700742</v>
      </c>
      <c r="G1017" s="4">
        <v>3143</v>
      </c>
      <c r="H1017" s="22">
        <v>3</v>
      </c>
    </row>
    <row r="1018" spans="1:9" x14ac:dyDescent="0.25">
      <c r="A1018" s="14">
        <v>45110.500594328703</v>
      </c>
      <c r="B1018" s="2" t="s">
        <v>16</v>
      </c>
      <c r="C1018" s="22" t="s">
        <v>659</v>
      </c>
      <c r="D1018" s="111" t="s">
        <v>95</v>
      </c>
      <c r="E1018" s="18" t="s">
        <v>660</v>
      </c>
      <c r="F1018" s="4" t="str">
        <f t="shared" si="45"/>
        <v>EUB09D700851</v>
      </c>
      <c r="G1018" s="4">
        <v>2685</v>
      </c>
      <c r="H1018" s="22">
        <v>6</v>
      </c>
    </row>
    <row r="1019" spans="1:9" x14ac:dyDescent="0.25">
      <c r="A1019" s="14">
        <v>45110.500087499997</v>
      </c>
      <c r="B1019" s="2" t="s">
        <v>15</v>
      </c>
      <c r="C1019" s="22" t="s">
        <v>657</v>
      </c>
      <c r="D1019" s="111" t="s">
        <v>95</v>
      </c>
      <c r="E1019" s="18" t="s">
        <v>658</v>
      </c>
      <c r="F1019" s="4" t="str">
        <f t="shared" si="45"/>
        <v>EUB09D700705</v>
      </c>
      <c r="G1019" s="4">
        <v>889</v>
      </c>
      <c r="H1019" s="22">
        <v>1</v>
      </c>
    </row>
    <row r="1020" spans="1:9" x14ac:dyDescent="0.25">
      <c r="A1020" s="14">
        <v>45110.33869733796</v>
      </c>
      <c r="B1020" s="2" t="s">
        <v>25</v>
      </c>
      <c r="C1020" s="22" t="s">
        <v>655</v>
      </c>
      <c r="D1020" s="111" t="s">
        <v>95</v>
      </c>
      <c r="E1020" s="18" t="s">
        <v>698</v>
      </c>
      <c r="F1020" s="4" t="str">
        <f t="shared" si="45"/>
        <v>EUB09D700741</v>
      </c>
      <c r="G1020" s="4">
        <v>1360</v>
      </c>
      <c r="H1020" s="22">
        <v>2</v>
      </c>
    </row>
    <row r="1021" spans="1:9" x14ac:dyDescent="0.25">
      <c r="A1021" s="14">
        <v>45106.533655439816</v>
      </c>
      <c r="B1021" s="2" t="s">
        <v>545</v>
      </c>
      <c r="C1021" s="22" t="s">
        <v>652</v>
      </c>
      <c r="D1021" s="111" t="s">
        <v>95</v>
      </c>
      <c r="E1021" s="18" t="s">
        <v>653</v>
      </c>
      <c r="F1021" s="4" t="str">
        <f t="shared" si="45"/>
        <v>G1Q2E710805</v>
      </c>
      <c r="G1021" s="4">
        <v>7581</v>
      </c>
      <c r="H1021" s="22">
        <v>1</v>
      </c>
    </row>
    <row r="1022" spans="1:9" x14ac:dyDescent="0.25">
      <c r="A1022" s="14">
        <v>45106.526449305558</v>
      </c>
      <c r="B1022" s="2" t="s">
        <v>22</v>
      </c>
      <c r="C1022" s="22" t="s">
        <v>651</v>
      </c>
      <c r="D1022" s="111" t="s">
        <v>95</v>
      </c>
      <c r="E1022" s="18"/>
      <c r="F1022" s="4" t="str">
        <f t="shared" si="45"/>
        <v>EUB09D700838</v>
      </c>
      <c r="G1022" s="4">
        <v>1481</v>
      </c>
      <c r="H1022" s="22">
        <v>0</v>
      </c>
    </row>
    <row r="1023" spans="1:9" x14ac:dyDescent="0.25">
      <c r="A1023" s="14">
        <v>45106.525942708337</v>
      </c>
      <c r="B1023" s="2" t="s">
        <v>7</v>
      </c>
      <c r="C1023" s="22" t="s">
        <v>649</v>
      </c>
      <c r="D1023" s="111" t="s">
        <v>95</v>
      </c>
      <c r="E1023" s="18" t="s">
        <v>650</v>
      </c>
      <c r="F1023" s="4" t="str">
        <f t="shared" si="45"/>
        <v>EUB09D700743</v>
      </c>
      <c r="G1023" s="4">
        <v>2883</v>
      </c>
      <c r="H1023" s="22">
        <v>1</v>
      </c>
    </row>
    <row r="1024" spans="1:9" x14ac:dyDescent="0.25">
      <c r="A1024" s="14">
        <v>45104.620932291669</v>
      </c>
      <c r="B1024" s="2" t="s">
        <v>89</v>
      </c>
      <c r="C1024" s="22" t="s">
        <v>648</v>
      </c>
      <c r="D1024" s="111" t="s">
        <v>95</v>
      </c>
      <c r="E1024" s="18"/>
      <c r="F1024" s="4" t="str">
        <f t="shared" si="45"/>
        <v>Nincs Adat</v>
      </c>
      <c r="G1024" s="4"/>
      <c r="H1024" s="22">
        <v>0</v>
      </c>
    </row>
    <row r="1025" spans="1:8" x14ac:dyDescent="0.25">
      <c r="A1025" s="14">
        <v>45104.394759143521</v>
      </c>
      <c r="B1025" s="2" t="s">
        <v>20</v>
      </c>
      <c r="C1025" s="22" t="s">
        <v>616</v>
      </c>
      <c r="D1025" s="111" t="s">
        <v>95</v>
      </c>
      <c r="E1025" s="18" t="s">
        <v>643</v>
      </c>
      <c r="F1025" s="4" t="str">
        <f t="shared" si="45"/>
        <v>EUB09D700832</v>
      </c>
      <c r="G1025" s="4">
        <v>2359</v>
      </c>
      <c r="H1025" s="22">
        <v>0.5</v>
      </c>
    </row>
    <row r="1026" spans="1:8" x14ac:dyDescent="0.25">
      <c r="A1026" s="14">
        <v>45104.394084259256</v>
      </c>
      <c r="B1026" s="4" t="s">
        <v>16</v>
      </c>
      <c r="C1026" s="22" t="s">
        <v>616</v>
      </c>
      <c r="D1026" s="111" t="s">
        <v>95</v>
      </c>
      <c r="E1026" s="18" t="s">
        <v>642</v>
      </c>
      <c r="F1026" s="4" t="str">
        <f t="shared" si="45"/>
        <v>EUB09D700851</v>
      </c>
      <c r="G1026" s="4">
        <v>2615</v>
      </c>
      <c r="H1026" s="22">
        <v>0.5</v>
      </c>
    </row>
    <row r="1027" spans="1:8" x14ac:dyDescent="0.25">
      <c r="A1027" s="14">
        <v>45104.39352986111</v>
      </c>
      <c r="B1027" s="2" t="s">
        <v>9</v>
      </c>
      <c r="C1027" s="22" t="s">
        <v>163</v>
      </c>
      <c r="D1027" s="111" t="s">
        <v>95</v>
      </c>
      <c r="E1027" s="18" t="s">
        <v>641</v>
      </c>
      <c r="F1027" s="4" t="str">
        <f t="shared" ref="F1027:F1090" si="46">IFERROR(VLOOKUP(B1027,targlist02,3,0),"Nincs Adat")</f>
        <v>EUB09D700745</v>
      </c>
      <c r="G1027" s="4">
        <v>3040</v>
      </c>
      <c r="H1027" s="22">
        <v>1</v>
      </c>
    </row>
    <row r="1028" spans="1:8" x14ac:dyDescent="0.25">
      <c r="A1028" s="14">
        <v>45104.392637847224</v>
      </c>
      <c r="B1028" s="2" t="s">
        <v>10</v>
      </c>
      <c r="C1028" s="22" t="s">
        <v>616</v>
      </c>
      <c r="D1028" s="111" t="s">
        <v>95</v>
      </c>
      <c r="E1028" s="18" t="s">
        <v>639</v>
      </c>
      <c r="F1028" s="4" t="str">
        <f t="shared" si="46"/>
        <v>EUB09D700794</v>
      </c>
      <c r="G1028" s="43">
        <v>2930</v>
      </c>
      <c r="H1028" s="22">
        <v>0.5</v>
      </c>
    </row>
    <row r="1029" spans="1:8" x14ac:dyDescent="0.25">
      <c r="A1029" s="14">
        <v>45103.608486574078</v>
      </c>
      <c r="B1029" s="2" t="s">
        <v>9</v>
      </c>
      <c r="C1029" s="22" t="s">
        <v>626</v>
      </c>
      <c r="D1029" s="111" t="s">
        <v>95</v>
      </c>
      <c r="E1029" s="18" t="s">
        <v>763</v>
      </c>
      <c r="F1029" s="4" t="str">
        <f t="shared" si="46"/>
        <v>EUB09D700745</v>
      </c>
      <c r="G1029" s="4">
        <v>3478</v>
      </c>
      <c r="H1029" s="22">
        <v>4</v>
      </c>
    </row>
    <row r="1030" spans="1:8" x14ac:dyDescent="0.25">
      <c r="A1030" s="14">
        <v>45100.332334375002</v>
      </c>
      <c r="B1030" s="2" t="s">
        <v>80</v>
      </c>
      <c r="C1030" s="22" t="s">
        <v>647</v>
      </c>
      <c r="D1030" s="111" t="s">
        <v>95</v>
      </c>
      <c r="E1030" s="18" t="s">
        <v>646</v>
      </c>
      <c r="F1030" s="4" t="str">
        <f t="shared" si="46"/>
        <v>PTP200R239154</v>
      </c>
      <c r="G1030" s="4">
        <v>77</v>
      </c>
      <c r="H1030" s="22">
        <v>1</v>
      </c>
    </row>
    <row r="1031" spans="1:8" x14ac:dyDescent="0.25">
      <c r="A1031" s="14">
        <v>45100.332109027775</v>
      </c>
      <c r="B1031" s="2" t="s">
        <v>19</v>
      </c>
      <c r="C1031" s="22" t="s">
        <v>644</v>
      </c>
      <c r="D1031" s="111" t="s">
        <v>95</v>
      </c>
      <c r="E1031" s="18" t="s">
        <v>645</v>
      </c>
      <c r="F1031" s="4" t="str">
        <f t="shared" si="46"/>
        <v>EUB09D700836</v>
      </c>
      <c r="G1031" s="4">
        <v>3153</v>
      </c>
      <c r="H1031" s="22">
        <v>1</v>
      </c>
    </row>
    <row r="1032" spans="1:8" x14ac:dyDescent="0.25">
      <c r="A1032" s="14">
        <v>45100.331880324076</v>
      </c>
      <c r="B1032" s="2" t="s">
        <v>17</v>
      </c>
      <c r="C1032" s="22" t="s">
        <v>635</v>
      </c>
      <c r="D1032" s="111" t="s">
        <v>95</v>
      </c>
      <c r="E1032" s="18"/>
      <c r="F1032" s="4" t="str">
        <f t="shared" si="46"/>
        <v>EUB09D700852</v>
      </c>
      <c r="G1032" s="4"/>
      <c r="H1032" s="22"/>
    </row>
    <row r="1033" spans="1:8" x14ac:dyDescent="0.25">
      <c r="A1033" s="14">
        <v>45100.3303787037</v>
      </c>
      <c r="B1033" s="2" t="s">
        <v>13</v>
      </c>
      <c r="C1033" s="22" t="s">
        <v>636</v>
      </c>
      <c r="D1033" s="111" t="s">
        <v>95</v>
      </c>
      <c r="E1033" s="18" t="s">
        <v>633</v>
      </c>
      <c r="F1033" s="4" t="str">
        <f t="shared" si="46"/>
        <v>EUB09D700268</v>
      </c>
      <c r="G1033" s="4">
        <v>1578</v>
      </c>
      <c r="H1033" s="22">
        <v>1</v>
      </c>
    </row>
    <row r="1034" spans="1:8" x14ac:dyDescent="0.25">
      <c r="A1034" s="14">
        <v>45100.329364699071</v>
      </c>
      <c r="B1034" s="2" t="s">
        <v>77</v>
      </c>
      <c r="C1034" s="22" t="s">
        <v>630</v>
      </c>
      <c r="D1034" s="111" t="s">
        <v>95</v>
      </c>
      <c r="E1034" s="18" t="s">
        <v>631</v>
      </c>
      <c r="F1034" s="4" t="str">
        <f t="shared" si="46"/>
        <v>PTP200R239151</v>
      </c>
      <c r="G1034" s="4">
        <v>516</v>
      </c>
      <c r="H1034" s="22">
        <v>1</v>
      </c>
    </row>
    <row r="1035" spans="1:8" x14ac:dyDescent="0.25">
      <c r="A1035" s="14">
        <v>45100.327714004627</v>
      </c>
      <c r="B1035" s="2" t="s">
        <v>19</v>
      </c>
      <c r="C1035" s="22" t="s">
        <v>628</v>
      </c>
      <c r="D1035" s="111" t="s">
        <v>95</v>
      </c>
      <c r="E1035" s="18" t="s">
        <v>629</v>
      </c>
      <c r="F1035" s="4" t="str">
        <f t="shared" si="46"/>
        <v>EUB09D700836</v>
      </c>
      <c r="G1035" s="43">
        <v>3153</v>
      </c>
      <c r="H1035" s="22">
        <v>3</v>
      </c>
    </row>
    <row r="1036" spans="1:8" x14ac:dyDescent="0.25">
      <c r="A1036" s="14">
        <v>45098.390229629629</v>
      </c>
      <c r="B1036" s="2" t="s">
        <v>19</v>
      </c>
      <c r="C1036" s="22" t="s">
        <v>637</v>
      </c>
      <c r="D1036" s="111" t="s">
        <v>95</v>
      </c>
      <c r="E1036" s="18"/>
      <c r="F1036" s="4" t="str">
        <f t="shared" si="46"/>
        <v>EUB09D700836</v>
      </c>
      <c r="G1036" s="4"/>
      <c r="H1036" s="22"/>
    </row>
    <row r="1037" spans="1:8" x14ac:dyDescent="0.25">
      <c r="A1037" s="14">
        <v>45098.390080324076</v>
      </c>
      <c r="B1037" s="2" t="s">
        <v>7</v>
      </c>
      <c r="C1037" s="22" t="s">
        <v>626</v>
      </c>
      <c r="D1037" s="111" t="s">
        <v>95</v>
      </c>
      <c r="E1037" s="18" t="s">
        <v>762</v>
      </c>
      <c r="F1037" s="4" t="str">
        <f t="shared" si="46"/>
        <v>EUB09D700743</v>
      </c>
      <c r="G1037" s="4">
        <v>3160</v>
      </c>
      <c r="H1037" s="22">
        <v>3</v>
      </c>
    </row>
    <row r="1038" spans="1:8" x14ac:dyDescent="0.25">
      <c r="A1038" s="14">
        <v>45098.389957754633</v>
      </c>
      <c r="B1038" s="2" t="s">
        <v>6</v>
      </c>
      <c r="C1038" s="22" t="s">
        <v>626</v>
      </c>
      <c r="D1038" s="111" t="s">
        <v>95</v>
      </c>
      <c r="E1038" s="18" t="s">
        <v>817</v>
      </c>
      <c r="F1038" s="4" t="str">
        <f t="shared" si="46"/>
        <v>EUB09D700742</v>
      </c>
      <c r="G1038" s="4"/>
      <c r="H1038" s="22">
        <v>1</v>
      </c>
    </row>
    <row r="1039" spans="1:8" x14ac:dyDescent="0.25">
      <c r="A1039" s="14">
        <v>45098.332826041667</v>
      </c>
      <c r="B1039" s="2" t="s">
        <v>80</v>
      </c>
      <c r="C1039" s="22" t="s">
        <v>623</v>
      </c>
      <c r="D1039" s="111" t="s">
        <v>95</v>
      </c>
      <c r="E1039" s="18" t="s">
        <v>634</v>
      </c>
      <c r="F1039" s="4" t="str">
        <f t="shared" si="46"/>
        <v>PTP200R239154</v>
      </c>
      <c r="G1039" s="4">
        <v>70</v>
      </c>
      <c r="H1039" s="22">
        <v>2</v>
      </c>
    </row>
    <row r="1040" spans="1:8" x14ac:dyDescent="0.25">
      <c r="A1040" s="14">
        <v>45098.33067638889</v>
      </c>
      <c r="B1040" s="2" t="s">
        <v>24</v>
      </c>
      <c r="C1040" s="22" t="s">
        <v>618</v>
      </c>
      <c r="D1040" s="111" t="s">
        <v>95</v>
      </c>
      <c r="E1040" s="18" t="s">
        <v>619</v>
      </c>
      <c r="F1040" s="4" t="str">
        <f t="shared" si="46"/>
        <v>EUB09D700704</v>
      </c>
      <c r="G1040" s="4">
        <v>2030</v>
      </c>
      <c r="H1040" s="22">
        <v>1</v>
      </c>
    </row>
    <row r="1041" spans="1:8" x14ac:dyDescent="0.25">
      <c r="A1041" s="14">
        <v>45093.5406806713</v>
      </c>
      <c r="B1041" s="2" t="s">
        <v>81</v>
      </c>
      <c r="C1041" s="22" t="s">
        <v>617</v>
      </c>
      <c r="D1041" s="111" t="s">
        <v>95</v>
      </c>
      <c r="E1041" s="18"/>
      <c r="F1041" s="4" t="str">
        <f t="shared" si="46"/>
        <v>PTP200R239155</v>
      </c>
      <c r="G1041" s="4"/>
      <c r="H1041" s="22"/>
    </row>
    <row r="1042" spans="1:8" x14ac:dyDescent="0.25">
      <c r="A1042" s="14">
        <v>45093.53979328704</v>
      </c>
      <c r="B1042" s="2" t="s">
        <v>17</v>
      </c>
      <c r="C1042" s="22" t="s">
        <v>616</v>
      </c>
      <c r="D1042" s="111" t="s">
        <v>95</v>
      </c>
      <c r="E1042" s="18" t="s">
        <v>621</v>
      </c>
      <c r="F1042" s="4" t="str">
        <f t="shared" si="46"/>
        <v>EUB09D700852</v>
      </c>
      <c r="G1042" s="4">
        <v>2651</v>
      </c>
      <c r="H1042" s="22">
        <v>1</v>
      </c>
    </row>
    <row r="1043" spans="1:8" x14ac:dyDescent="0.25">
      <c r="A1043" s="14">
        <v>45093.539623263889</v>
      </c>
      <c r="B1043" s="2" t="s">
        <v>21</v>
      </c>
      <c r="C1043" s="22" t="s">
        <v>616</v>
      </c>
      <c r="D1043" s="111" t="s">
        <v>95</v>
      </c>
      <c r="E1043" s="18" t="s">
        <v>622</v>
      </c>
      <c r="F1043" s="4" t="str">
        <f t="shared" si="46"/>
        <v>EUB09D700842</v>
      </c>
      <c r="G1043" s="4">
        <v>2152</v>
      </c>
      <c r="H1043" s="22">
        <v>1</v>
      </c>
    </row>
    <row r="1044" spans="1:8" x14ac:dyDescent="0.25">
      <c r="A1044" s="14">
        <v>45092.80885775463</v>
      </c>
      <c r="B1044" s="2" t="s">
        <v>25</v>
      </c>
      <c r="C1044" s="22" t="s">
        <v>624</v>
      </c>
      <c r="D1044" s="111" t="s">
        <v>95</v>
      </c>
      <c r="E1044" s="18" t="s">
        <v>752</v>
      </c>
      <c r="F1044" s="4" t="str">
        <f t="shared" si="46"/>
        <v>EUB09D700741</v>
      </c>
      <c r="G1044" s="4"/>
      <c r="H1044" s="22">
        <v>2</v>
      </c>
    </row>
    <row r="1045" spans="1:8" x14ac:dyDescent="0.25">
      <c r="A1045" s="14">
        <v>45092.806073842592</v>
      </c>
      <c r="B1045" s="2" t="s">
        <v>10</v>
      </c>
      <c r="C1045" s="22" t="s">
        <v>166</v>
      </c>
      <c r="D1045" s="111" t="s">
        <v>95</v>
      </c>
      <c r="E1045" s="18" t="s">
        <v>654</v>
      </c>
      <c r="F1045" s="4" t="str">
        <f t="shared" si="46"/>
        <v>EUB09D700794</v>
      </c>
      <c r="G1045" s="4">
        <v>2930</v>
      </c>
      <c r="H1045" s="22">
        <v>4</v>
      </c>
    </row>
    <row r="1046" spans="1:8" x14ac:dyDescent="0.25">
      <c r="A1046" s="14">
        <v>45092.805470486113</v>
      </c>
      <c r="B1046" s="2" t="s">
        <v>12</v>
      </c>
      <c r="C1046" s="22" t="s">
        <v>542</v>
      </c>
      <c r="D1046" s="111" t="s">
        <v>95</v>
      </c>
      <c r="E1046" s="18" t="s">
        <v>640</v>
      </c>
      <c r="F1046" s="4" t="str">
        <f t="shared" si="46"/>
        <v>EUB09D700267</v>
      </c>
      <c r="G1046" s="4">
        <v>1488</v>
      </c>
      <c r="H1046" s="22">
        <v>1</v>
      </c>
    </row>
    <row r="1047" spans="1:8" x14ac:dyDescent="0.25">
      <c r="A1047" s="14">
        <v>45092.804496874996</v>
      </c>
      <c r="B1047" s="2" t="s">
        <v>158</v>
      </c>
      <c r="C1047" s="22" t="s">
        <v>613</v>
      </c>
      <c r="D1047" s="111" t="s">
        <v>95</v>
      </c>
      <c r="E1047" s="18" t="s">
        <v>614</v>
      </c>
      <c r="F1047" s="4" t="str">
        <f t="shared" si="46"/>
        <v>F24537B00022</v>
      </c>
      <c r="G1047" s="4">
        <v>2779</v>
      </c>
      <c r="H1047" s="22">
        <v>3</v>
      </c>
    </row>
    <row r="1048" spans="1:8" x14ac:dyDescent="0.25">
      <c r="A1048" s="14">
        <v>45092.803660300924</v>
      </c>
      <c r="B1048" s="2" t="s">
        <v>13</v>
      </c>
      <c r="C1048" s="22" t="s">
        <v>615</v>
      </c>
      <c r="D1048" s="111" t="s">
        <v>95</v>
      </c>
      <c r="E1048" s="18" t="s">
        <v>611</v>
      </c>
      <c r="F1048" s="4" t="str">
        <f t="shared" si="46"/>
        <v>EUB09D700268</v>
      </c>
      <c r="G1048" s="4">
        <v>1520</v>
      </c>
      <c r="H1048" s="22">
        <v>1</v>
      </c>
    </row>
    <row r="1049" spans="1:8" x14ac:dyDescent="0.25">
      <c r="A1049" s="14">
        <v>45092.803171990738</v>
      </c>
      <c r="B1049" s="2" t="s">
        <v>78</v>
      </c>
      <c r="C1049" s="22" t="s">
        <v>609</v>
      </c>
      <c r="D1049" s="111" t="s">
        <v>95</v>
      </c>
      <c r="E1049" s="18" t="s">
        <v>610</v>
      </c>
      <c r="F1049" s="4" t="str">
        <f t="shared" si="46"/>
        <v>PTP200R239152</v>
      </c>
      <c r="G1049" s="4">
        <v>1079</v>
      </c>
      <c r="H1049" s="22">
        <v>1</v>
      </c>
    </row>
    <row r="1050" spans="1:8" ht="45" x14ac:dyDescent="0.25">
      <c r="A1050" s="14">
        <v>45092.612750810185</v>
      </c>
      <c r="B1050" s="2" t="s">
        <v>77</v>
      </c>
      <c r="C1050" s="35" t="s">
        <v>608</v>
      </c>
      <c r="D1050" s="111" t="s">
        <v>95</v>
      </c>
      <c r="E1050" s="18" t="s">
        <v>601</v>
      </c>
      <c r="F1050" s="4" t="str">
        <f t="shared" si="46"/>
        <v>PTP200R239151</v>
      </c>
      <c r="G1050" s="4"/>
      <c r="H1050" s="22">
        <v>3</v>
      </c>
    </row>
    <row r="1051" spans="1:8" x14ac:dyDescent="0.25">
      <c r="A1051" s="14">
        <v>45089.558181712964</v>
      </c>
      <c r="B1051" s="2" t="s">
        <v>14</v>
      </c>
      <c r="C1051" s="22" t="s">
        <v>597</v>
      </c>
      <c r="D1051" s="111" t="s">
        <v>95</v>
      </c>
      <c r="E1051" s="18" t="s">
        <v>632</v>
      </c>
      <c r="F1051" s="4" t="str">
        <f t="shared" si="46"/>
        <v>EUB09D700269</v>
      </c>
      <c r="G1051" s="4">
        <v>1811</v>
      </c>
      <c r="H1051" s="22">
        <v>1</v>
      </c>
    </row>
    <row r="1052" spans="1:8" x14ac:dyDescent="0.25">
      <c r="A1052" s="14">
        <v>45089.498896643519</v>
      </c>
      <c r="B1052" s="2" t="s">
        <v>13</v>
      </c>
      <c r="C1052" s="22" t="s">
        <v>607</v>
      </c>
      <c r="D1052" s="111" t="s">
        <v>95</v>
      </c>
      <c r="E1052" s="117">
        <v>45092</v>
      </c>
      <c r="F1052" s="4" t="str">
        <f t="shared" si="46"/>
        <v>EUB09D700268</v>
      </c>
      <c r="G1052" s="4"/>
      <c r="H1052" s="22">
        <v>0</v>
      </c>
    </row>
    <row r="1053" spans="1:8" x14ac:dyDescent="0.25">
      <c r="A1053" s="14">
        <v>45089.43573125</v>
      </c>
      <c r="B1053" s="2" t="s">
        <v>14</v>
      </c>
      <c r="C1053" s="22" t="s">
        <v>596</v>
      </c>
      <c r="D1053" s="111" t="s">
        <v>95</v>
      </c>
      <c r="E1053" s="18" t="s">
        <v>685</v>
      </c>
      <c r="F1053" s="4" t="str">
        <f t="shared" si="46"/>
        <v>EUB09D700269</v>
      </c>
      <c r="G1053" s="4">
        <v>1971</v>
      </c>
      <c r="H1053" s="22">
        <v>5</v>
      </c>
    </row>
    <row r="1054" spans="1:8" ht="30" x14ac:dyDescent="0.25">
      <c r="A1054" s="14">
        <v>45089.432907638889</v>
      </c>
      <c r="B1054" s="2" t="s">
        <v>79</v>
      </c>
      <c r="C1054" s="35" t="s">
        <v>602</v>
      </c>
      <c r="D1054" s="111" t="s">
        <v>95</v>
      </c>
      <c r="E1054" s="18" t="s">
        <v>603</v>
      </c>
      <c r="F1054" s="4" t="str">
        <f t="shared" si="46"/>
        <v>PTP200R239153</v>
      </c>
      <c r="G1054" s="4"/>
      <c r="H1054" s="22">
        <v>3</v>
      </c>
    </row>
    <row r="1055" spans="1:8" x14ac:dyDescent="0.25">
      <c r="A1055" s="14">
        <v>45089.33443865741</v>
      </c>
      <c r="B1055" s="2" t="s">
        <v>79</v>
      </c>
      <c r="C1055" s="22" t="s">
        <v>1444</v>
      </c>
      <c r="D1055" s="111" t="s">
        <v>95</v>
      </c>
      <c r="E1055" s="18" t="s">
        <v>599</v>
      </c>
      <c r="F1055" s="4" t="str">
        <f t="shared" si="46"/>
        <v>PTP200R239153</v>
      </c>
      <c r="G1055" s="4">
        <v>770</v>
      </c>
      <c r="H1055" s="22">
        <v>6</v>
      </c>
    </row>
    <row r="1056" spans="1:8" x14ac:dyDescent="0.25">
      <c r="A1056" s="14">
        <v>45089.333991550928</v>
      </c>
      <c r="B1056" s="2" t="s">
        <v>24</v>
      </c>
      <c r="C1056" s="22" t="s">
        <v>578</v>
      </c>
      <c r="D1056" s="111" t="s">
        <v>95</v>
      </c>
      <c r="E1056" s="18" t="s">
        <v>604</v>
      </c>
      <c r="F1056" s="4" t="str">
        <f t="shared" si="46"/>
        <v>EUB09D700704</v>
      </c>
      <c r="G1056" s="4">
        <v>1995</v>
      </c>
      <c r="H1056" s="22">
        <v>3</v>
      </c>
    </row>
    <row r="1057" spans="1:8" x14ac:dyDescent="0.25">
      <c r="A1057" s="14">
        <v>45089.333539930558</v>
      </c>
      <c r="B1057" s="2" t="s">
        <v>79</v>
      </c>
      <c r="C1057" s="22" t="s">
        <v>577</v>
      </c>
      <c r="D1057" s="111" t="s">
        <v>95</v>
      </c>
      <c r="E1057" s="18"/>
      <c r="F1057" s="4" t="str">
        <f t="shared" si="46"/>
        <v>PTP200R239153</v>
      </c>
      <c r="G1057" s="4"/>
      <c r="H1057" s="22">
        <v>0</v>
      </c>
    </row>
    <row r="1058" spans="1:8" ht="30" x14ac:dyDescent="0.25">
      <c r="A1058" s="14">
        <v>45089.332429050926</v>
      </c>
      <c r="B1058" s="2" t="s">
        <v>12</v>
      </c>
      <c r="C1058" s="35" t="s">
        <v>574</v>
      </c>
      <c r="D1058" s="111" t="s">
        <v>95</v>
      </c>
      <c r="E1058" s="18" t="s">
        <v>575</v>
      </c>
      <c r="F1058" s="4" t="str">
        <f t="shared" si="46"/>
        <v>EUB09D700267</v>
      </c>
      <c r="G1058" s="4">
        <v>1304</v>
      </c>
      <c r="H1058" s="22">
        <v>2</v>
      </c>
    </row>
    <row r="1059" spans="1:8" x14ac:dyDescent="0.25">
      <c r="A1059" s="14">
        <v>45089.331425231481</v>
      </c>
      <c r="B1059" s="2" t="s">
        <v>8</v>
      </c>
      <c r="C1059" s="22" t="s">
        <v>572</v>
      </c>
      <c r="D1059" s="111" t="s">
        <v>95</v>
      </c>
      <c r="E1059" s="18" t="s">
        <v>600</v>
      </c>
      <c r="F1059" s="4" t="str">
        <f t="shared" si="46"/>
        <v>EUB09D700744</v>
      </c>
      <c r="G1059" s="4">
        <v>2619</v>
      </c>
      <c r="H1059" s="22">
        <v>1</v>
      </c>
    </row>
    <row r="1060" spans="1:8" x14ac:dyDescent="0.25">
      <c r="A1060" s="14">
        <v>45085.42174085648</v>
      </c>
      <c r="B1060" s="2" t="s">
        <v>79</v>
      </c>
      <c r="C1060" s="22" t="s">
        <v>570</v>
      </c>
      <c r="D1060" s="111" t="s">
        <v>95</v>
      </c>
      <c r="E1060" s="18" t="s">
        <v>571</v>
      </c>
      <c r="F1060" s="4" t="str">
        <f t="shared" si="46"/>
        <v>PTP200R239153</v>
      </c>
      <c r="G1060" s="4"/>
      <c r="H1060" s="22">
        <v>2</v>
      </c>
    </row>
    <row r="1061" spans="1:8" ht="30" x14ac:dyDescent="0.25">
      <c r="A1061" s="14">
        <v>45085.419661689812</v>
      </c>
      <c r="B1061" s="2" t="s">
        <v>78</v>
      </c>
      <c r="C1061" s="35" t="s">
        <v>568</v>
      </c>
      <c r="D1061" s="111" t="s">
        <v>95</v>
      </c>
      <c r="E1061" s="18" t="s">
        <v>569</v>
      </c>
      <c r="F1061" s="4" t="str">
        <f t="shared" si="46"/>
        <v>PTP200R239152</v>
      </c>
      <c r="G1061" s="4">
        <v>1051</v>
      </c>
      <c r="H1061" s="22">
        <v>1</v>
      </c>
    </row>
    <row r="1062" spans="1:8" ht="45" x14ac:dyDescent="0.25">
      <c r="A1062" s="14">
        <v>45085.418390393519</v>
      </c>
      <c r="B1062" s="2" t="s">
        <v>81</v>
      </c>
      <c r="C1062" s="35" t="s">
        <v>566</v>
      </c>
      <c r="D1062" s="111" t="s">
        <v>95</v>
      </c>
      <c r="E1062" s="18" t="s">
        <v>567</v>
      </c>
      <c r="F1062" s="4" t="str">
        <f t="shared" si="46"/>
        <v>PTP200R239155</v>
      </c>
      <c r="G1062" s="4">
        <v>12</v>
      </c>
      <c r="H1062" s="22">
        <v>5</v>
      </c>
    </row>
    <row r="1063" spans="1:8" x14ac:dyDescent="0.25">
      <c r="A1063" s="14">
        <v>45084.66795451389</v>
      </c>
      <c r="B1063" s="2" t="s">
        <v>81</v>
      </c>
      <c r="C1063" s="22" t="s">
        <v>565</v>
      </c>
      <c r="D1063" s="111" t="s">
        <v>95</v>
      </c>
      <c r="E1063" s="18" t="s">
        <v>605</v>
      </c>
      <c r="F1063" s="4" t="str">
        <f t="shared" si="46"/>
        <v>PTP200R239155</v>
      </c>
      <c r="G1063" s="4">
        <v>66</v>
      </c>
      <c r="H1063" s="22">
        <v>1.5</v>
      </c>
    </row>
    <row r="1064" spans="1:8" x14ac:dyDescent="0.25">
      <c r="A1064" s="14">
        <v>45084.667863773146</v>
      </c>
      <c r="B1064" s="2" t="s">
        <v>79</v>
      </c>
      <c r="C1064" s="22" t="s">
        <v>565</v>
      </c>
      <c r="D1064" s="111" t="s">
        <v>95</v>
      </c>
      <c r="E1064" s="18"/>
      <c r="F1064" s="4" t="str">
        <f t="shared" si="46"/>
        <v>PTP200R239153</v>
      </c>
      <c r="G1064" s="4"/>
      <c r="H1064" s="22">
        <v>0</v>
      </c>
    </row>
    <row r="1065" spans="1:8" x14ac:dyDescent="0.25">
      <c r="A1065" s="14">
        <v>45084.667749074077</v>
      </c>
      <c r="B1065" s="2" t="s">
        <v>78</v>
      </c>
      <c r="C1065" s="22" t="s">
        <v>565</v>
      </c>
      <c r="D1065" s="111" t="s">
        <v>95</v>
      </c>
      <c r="E1065" s="18" t="s">
        <v>606</v>
      </c>
      <c r="F1065" s="4" t="str">
        <f t="shared" si="46"/>
        <v>PTP200R239152</v>
      </c>
      <c r="G1065" s="4">
        <v>1071</v>
      </c>
      <c r="H1065" s="22">
        <v>1.5</v>
      </c>
    </row>
    <row r="1066" spans="1:8" x14ac:dyDescent="0.25">
      <c r="A1066" s="14">
        <v>45084.66756076389</v>
      </c>
      <c r="B1066" s="2" t="s">
        <v>77</v>
      </c>
      <c r="C1066" s="22" t="s">
        <v>565</v>
      </c>
      <c r="D1066" s="111" t="s">
        <v>95</v>
      </c>
      <c r="E1066" s="18" t="s">
        <v>576</v>
      </c>
      <c r="F1066" s="4" t="str">
        <f t="shared" si="46"/>
        <v>PTP200R239151</v>
      </c>
      <c r="G1066" s="4">
        <v>471</v>
      </c>
      <c r="H1066" s="22">
        <v>2</v>
      </c>
    </row>
    <row r="1067" spans="1:8" x14ac:dyDescent="0.25">
      <c r="A1067" s="14">
        <v>45084.646144791666</v>
      </c>
      <c r="B1067" s="2" t="s">
        <v>2</v>
      </c>
      <c r="C1067" s="22" t="s">
        <v>564</v>
      </c>
      <c r="D1067" s="111" t="s">
        <v>95</v>
      </c>
      <c r="E1067" s="18"/>
      <c r="F1067" s="4" t="str">
        <f t="shared" si="46"/>
        <v>JA2N1E700427</v>
      </c>
      <c r="G1067" s="4"/>
      <c r="H1067" s="22">
        <v>0</v>
      </c>
    </row>
    <row r="1068" spans="1:8" ht="30" x14ac:dyDescent="0.25">
      <c r="A1068" s="14">
        <v>45084.644559837965</v>
      </c>
      <c r="B1068" s="2" t="s">
        <v>80</v>
      </c>
      <c r="C1068" s="22" t="s">
        <v>562</v>
      </c>
      <c r="D1068" s="111" t="s">
        <v>95</v>
      </c>
      <c r="E1068" s="107" t="s">
        <v>1146</v>
      </c>
      <c r="F1068" s="4" t="str">
        <f t="shared" si="46"/>
        <v>PTP200R239154</v>
      </c>
      <c r="G1068" s="4"/>
      <c r="H1068" s="22">
        <v>0</v>
      </c>
    </row>
    <row r="1069" spans="1:8" x14ac:dyDescent="0.25">
      <c r="A1069" s="14">
        <v>45084.643924305557</v>
      </c>
      <c r="B1069" s="2" t="s">
        <v>81</v>
      </c>
      <c r="C1069" s="22" t="s">
        <v>562</v>
      </c>
      <c r="D1069" s="111" t="s">
        <v>96</v>
      </c>
      <c r="E1069" s="18"/>
      <c r="F1069" s="4" t="str">
        <f t="shared" si="46"/>
        <v>PTP200R239155</v>
      </c>
      <c r="G1069" s="4"/>
      <c r="H1069" s="22">
        <v>0</v>
      </c>
    </row>
    <row r="1070" spans="1:8" x14ac:dyDescent="0.25">
      <c r="A1070" s="14">
        <v>45084.64241782407</v>
      </c>
      <c r="B1070" s="2" t="s">
        <v>78</v>
      </c>
      <c r="C1070" s="22" t="s">
        <v>552</v>
      </c>
      <c r="D1070" s="111" t="s">
        <v>95</v>
      </c>
      <c r="E1070" s="117">
        <v>45092</v>
      </c>
      <c r="F1070" s="4" t="str">
        <f t="shared" si="46"/>
        <v>PTP200R239152</v>
      </c>
      <c r="G1070" s="4"/>
      <c r="H1070" s="22">
        <v>0</v>
      </c>
    </row>
    <row r="1071" spans="1:8" x14ac:dyDescent="0.25">
      <c r="A1071" s="14">
        <v>45084.641204629632</v>
      </c>
      <c r="B1071" s="2" t="s">
        <v>24</v>
      </c>
      <c r="C1071" s="22" t="s">
        <v>561</v>
      </c>
      <c r="D1071" s="111" t="s">
        <v>95</v>
      </c>
      <c r="E1071" s="18"/>
      <c r="F1071" s="4" t="str">
        <f t="shared" si="46"/>
        <v>EUB09D700704</v>
      </c>
      <c r="G1071" s="4"/>
      <c r="H1071" s="22">
        <v>0</v>
      </c>
    </row>
    <row r="1072" spans="1:8" x14ac:dyDescent="0.25">
      <c r="A1072" s="14">
        <v>45084.640625347223</v>
      </c>
      <c r="B1072" s="2" t="s">
        <v>24</v>
      </c>
      <c r="C1072" s="22" t="s">
        <v>560</v>
      </c>
      <c r="D1072" s="111" t="s">
        <v>95</v>
      </c>
      <c r="E1072" s="117">
        <v>45092</v>
      </c>
      <c r="F1072" s="4" t="str">
        <f t="shared" si="46"/>
        <v>EUB09D700704</v>
      </c>
      <c r="G1072" s="4"/>
      <c r="H1072" s="22">
        <v>0</v>
      </c>
    </row>
    <row r="1073" spans="1:9" x14ac:dyDescent="0.25">
      <c r="A1073" s="14">
        <v>45084.63958761574</v>
      </c>
      <c r="B1073" s="2" t="s">
        <v>18</v>
      </c>
      <c r="C1073" s="22" t="s">
        <v>559</v>
      </c>
      <c r="D1073" s="111" t="s">
        <v>95</v>
      </c>
      <c r="E1073" s="117">
        <v>45092</v>
      </c>
      <c r="F1073" s="4" t="str">
        <f t="shared" si="46"/>
        <v>EUB09D700992</v>
      </c>
      <c r="G1073" s="4"/>
      <c r="H1073" s="22">
        <v>0</v>
      </c>
    </row>
    <row r="1074" spans="1:9" x14ac:dyDescent="0.25">
      <c r="A1074" s="14">
        <v>45084.639334259256</v>
      </c>
      <c r="B1074" s="2" t="s">
        <v>18</v>
      </c>
      <c r="C1074" s="22" t="s">
        <v>558</v>
      </c>
      <c r="D1074" s="111" t="s">
        <v>95</v>
      </c>
      <c r="E1074" s="18" t="s">
        <v>612</v>
      </c>
      <c r="F1074" s="4" t="str">
        <f t="shared" si="46"/>
        <v>EUB09D700992</v>
      </c>
      <c r="G1074" s="4">
        <v>3567</v>
      </c>
      <c r="H1074" s="22">
        <v>1</v>
      </c>
    </row>
    <row r="1075" spans="1:9" x14ac:dyDescent="0.25">
      <c r="A1075" s="14">
        <v>45084.639170254632</v>
      </c>
      <c r="B1075" s="2" t="s">
        <v>18</v>
      </c>
      <c r="C1075" s="22" t="s">
        <v>557</v>
      </c>
      <c r="D1075" s="111" t="s">
        <v>95</v>
      </c>
      <c r="E1075" s="18" t="s">
        <v>890</v>
      </c>
      <c r="F1075" s="4" t="str">
        <f t="shared" si="46"/>
        <v>EUB09D700992</v>
      </c>
      <c r="G1075" s="4">
        <v>4216</v>
      </c>
      <c r="H1075" s="22">
        <v>1</v>
      </c>
    </row>
    <row r="1076" spans="1:9" x14ac:dyDescent="0.25">
      <c r="A1076" s="14">
        <v>45084.63865173611</v>
      </c>
      <c r="B1076" s="2" t="s">
        <v>18</v>
      </c>
      <c r="C1076" s="22" t="s">
        <v>556</v>
      </c>
      <c r="D1076" s="111" t="s">
        <v>95</v>
      </c>
      <c r="E1076" s="18" t="s">
        <v>627</v>
      </c>
      <c r="F1076" s="4" t="str">
        <f t="shared" si="46"/>
        <v>EUB09D700992</v>
      </c>
      <c r="G1076" s="4">
        <v>3672</v>
      </c>
      <c r="H1076" s="22">
        <v>2</v>
      </c>
    </row>
    <row r="1077" spans="1:9" x14ac:dyDescent="0.25">
      <c r="A1077" s="14">
        <v>45084.638491666665</v>
      </c>
      <c r="B1077" s="2" t="s">
        <v>15</v>
      </c>
      <c r="C1077" s="22" t="s">
        <v>555</v>
      </c>
      <c r="D1077" s="111" t="s">
        <v>95</v>
      </c>
      <c r="E1077" s="18" t="s">
        <v>620</v>
      </c>
      <c r="F1077" s="4" t="str">
        <f t="shared" si="46"/>
        <v>EUB09D700705</v>
      </c>
      <c r="G1077" s="4">
        <v>851</v>
      </c>
      <c r="H1077" s="22">
        <v>1</v>
      </c>
    </row>
    <row r="1078" spans="1:9" x14ac:dyDescent="0.25">
      <c r="A1078" s="14">
        <v>45084.637909606485</v>
      </c>
      <c r="B1078" s="2" t="s">
        <v>10</v>
      </c>
      <c r="C1078" s="22" t="s">
        <v>554</v>
      </c>
      <c r="D1078" s="111" t="s">
        <v>95</v>
      </c>
      <c r="E1078" s="18" t="s">
        <v>573</v>
      </c>
      <c r="F1078" s="4" t="str">
        <f t="shared" si="46"/>
        <v>EUB09D700794</v>
      </c>
      <c r="G1078" s="4">
        <v>2885</v>
      </c>
      <c r="H1078" s="22">
        <v>3</v>
      </c>
    </row>
    <row r="1079" spans="1:9" x14ac:dyDescent="0.25">
      <c r="A1079" s="14">
        <v>45084.637412731485</v>
      </c>
      <c r="B1079" s="2" t="s">
        <v>9</v>
      </c>
      <c r="C1079" s="22" t="s">
        <v>553</v>
      </c>
      <c r="D1079" s="111" t="s">
        <v>95</v>
      </c>
      <c r="E1079" s="18"/>
      <c r="F1079" s="4" t="str">
        <f t="shared" si="46"/>
        <v>EUB09D700745</v>
      </c>
      <c r="G1079" s="4"/>
      <c r="H1079" s="22">
        <v>0</v>
      </c>
    </row>
    <row r="1080" spans="1:9" x14ac:dyDescent="0.25">
      <c r="A1080" s="14">
        <v>45084.637138541664</v>
      </c>
      <c r="B1080" s="2" t="s">
        <v>77</v>
      </c>
      <c r="C1080" s="22" t="s">
        <v>552</v>
      </c>
      <c r="D1080" s="111" t="s">
        <v>95</v>
      </c>
      <c r="E1080" s="18"/>
      <c r="F1080" s="4" t="str">
        <f t="shared" si="46"/>
        <v>PTP200R239151</v>
      </c>
      <c r="G1080" s="4"/>
      <c r="H1080" s="22">
        <v>0</v>
      </c>
    </row>
    <row r="1081" spans="1:9" x14ac:dyDescent="0.25">
      <c r="A1081" s="14">
        <v>45084.344522569445</v>
      </c>
      <c r="B1081" s="2" t="s">
        <v>9</v>
      </c>
      <c r="C1081" s="22" t="s">
        <v>550</v>
      </c>
      <c r="D1081" s="111" t="s">
        <v>95</v>
      </c>
      <c r="E1081" s="18" t="s">
        <v>551</v>
      </c>
      <c r="F1081" s="4" t="str">
        <f t="shared" si="46"/>
        <v>EUB09D700745</v>
      </c>
      <c r="G1081" s="4">
        <v>2824</v>
      </c>
      <c r="H1081" s="22">
        <v>1</v>
      </c>
    </row>
    <row r="1082" spans="1:9" ht="30" x14ac:dyDescent="0.25">
      <c r="A1082" s="14">
        <v>45084.343099189813</v>
      </c>
      <c r="B1082" s="2" t="s">
        <v>545</v>
      </c>
      <c r="C1082" s="35" t="s">
        <v>548</v>
      </c>
      <c r="D1082" s="111" t="s">
        <v>95</v>
      </c>
      <c r="E1082" s="18" t="s">
        <v>549</v>
      </c>
      <c r="F1082" s="4" t="str">
        <f t="shared" si="46"/>
        <v>G1Q2E710805</v>
      </c>
      <c r="G1082" s="4">
        <v>7513</v>
      </c>
      <c r="H1082" s="22">
        <v>2</v>
      </c>
    </row>
    <row r="1083" spans="1:9" x14ac:dyDescent="0.25">
      <c r="A1083" s="14">
        <v>45084.342232291667</v>
      </c>
      <c r="B1083" s="2" t="s">
        <v>12</v>
      </c>
      <c r="C1083" s="22" t="s">
        <v>544</v>
      </c>
      <c r="D1083" s="111" t="s">
        <v>95</v>
      </c>
      <c r="E1083" s="18" t="s">
        <v>543</v>
      </c>
      <c r="F1083" s="4" t="str">
        <f t="shared" si="46"/>
        <v>EUB09D700267</v>
      </c>
      <c r="G1083" s="4">
        <v>1984</v>
      </c>
      <c r="H1083" s="22">
        <v>1</v>
      </c>
    </row>
    <row r="1084" spans="1:9" x14ac:dyDescent="0.25">
      <c r="A1084" s="14">
        <v>45084.34184155093</v>
      </c>
      <c r="B1084" s="2" t="s">
        <v>24</v>
      </c>
      <c r="C1084" s="22" t="s">
        <v>540</v>
      </c>
      <c r="D1084" s="111" t="s">
        <v>95</v>
      </c>
      <c r="E1084" s="18" t="s">
        <v>541</v>
      </c>
      <c r="F1084" s="4" t="str">
        <f t="shared" si="46"/>
        <v>EUB09D700704</v>
      </c>
      <c r="G1084" s="4"/>
      <c r="H1084" s="22">
        <v>2</v>
      </c>
    </row>
    <row r="1085" spans="1:9" ht="30" x14ac:dyDescent="0.25">
      <c r="A1085" s="14">
        <v>45082.510483680555</v>
      </c>
      <c r="B1085" s="2" t="s">
        <v>81</v>
      </c>
      <c r="C1085" s="35" t="s">
        <v>538</v>
      </c>
      <c r="D1085" s="111" t="s">
        <v>95</v>
      </c>
      <c r="E1085" s="18" t="s">
        <v>539</v>
      </c>
      <c r="F1085" s="4" t="str">
        <f t="shared" si="46"/>
        <v>PTP200R239155</v>
      </c>
      <c r="G1085" s="4"/>
      <c r="H1085" s="22">
        <v>3.5</v>
      </c>
      <c r="I1085" s="2">
        <v>3</v>
      </c>
    </row>
    <row r="1086" spans="1:9" x14ac:dyDescent="0.25">
      <c r="A1086" s="14">
        <v>45082.495267824073</v>
      </c>
      <c r="B1086" s="2" t="s">
        <v>81</v>
      </c>
      <c r="C1086" s="22" t="s">
        <v>507</v>
      </c>
      <c r="D1086" s="111" t="s">
        <v>95</v>
      </c>
      <c r="E1086" s="18" t="s">
        <v>508</v>
      </c>
      <c r="F1086" s="4" t="str">
        <f t="shared" si="46"/>
        <v>PTP200R239155</v>
      </c>
      <c r="G1086" s="4">
        <v>378</v>
      </c>
      <c r="H1086" s="22">
        <v>1</v>
      </c>
    </row>
    <row r="1087" spans="1:9" x14ac:dyDescent="0.25">
      <c r="A1087" s="14">
        <v>45082.494359490738</v>
      </c>
      <c r="B1087" s="2" t="s">
        <v>4</v>
      </c>
      <c r="C1087" s="22" t="s">
        <v>505</v>
      </c>
      <c r="D1087" s="111" t="s">
        <v>95</v>
      </c>
      <c r="E1087" s="18" t="s">
        <v>506</v>
      </c>
      <c r="F1087" s="4" t="str">
        <f t="shared" si="46"/>
        <v>JAG2N1E701604</v>
      </c>
      <c r="G1087" s="4">
        <v>405</v>
      </c>
      <c r="H1087" s="22">
        <v>1</v>
      </c>
    </row>
    <row r="1088" spans="1:9" x14ac:dyDescent="0.25">
      <c r="A1088" s="14">
        <v>45079.59516261574</v>
      </c>
      <c r="B1088" s="2" t="s">
        <v>12</v>
      </c>
      <c r="C1088" s="22" t="s">
        <v>542</v>
      </c>
      <c r="D1088" s="111" t="s">
        <v>95</v>
      </c>
      <c r="E1088" s="18"/>
      <c r="F1088" s="4" t="str">
        <f t="shared" si="46"/>
        <v>EUB09D700267</v>
      </c>
      <c r="G1088" s="4"/>
      <c r="H1088" s="22"/>
    </row>
    <row r="1089" spans="1:8" ht="30" x14ac:dyDescent="0.25">
      <c r="A1089" s="14">
        <v>45079.506793981483</v>
      </c>
      <c r="B1089" s="2" t="s">
        <v>80</v>
      </c>
      <c r="C1089" s="35" t="s">
        <v>533</v>
      </c>
      <c r="D1089" s="111" t="s">
        <v>95</v>
      </c>
      <c r="E1089" s="18" t="s">
        <v>532</v>
      </c>
      <c r="F1089" s="4" t="str">
        <f t="shared" si="46"/>
        <v>PTP200R239154</v>
      </c>
      <c r="G1089" s="4"/>
      <c r="H1089" s="22">
        <v>3.5</v>
      </c>
    </row>
    <row r="1090" spans="1:8" x14ac:dyDescent="0.25">
      <c r="A1090" s="14">
        <v>45078.506793981483</v>
      </c>
      <c r="B1090" s="2" t="s">
        <v>78</v>
      </c>
      <c r="C1090" s="22" t="s">
        <v>537</v>
      </c>
      <c r="D1090" s="111" t="s">
        <v>95</v>
      </c>
      <c r="E1090" s="18" t="s">
        <v>536</v>
      </c>
      <c r="F1090" s="4" t="str">
        <f t="shared" si="46"/>
        <v>PTP200R239152</v>
      </c>
      <c r="G1090" s="4">
        <v>1010</v>
      </c>
      <c r="H1090" s="22">
        <v>4</v>
      </c>
    </row>
    <row r="1091" spans="1:8" ht="30" x14ac:dyDescent="0.25">
      <c r="A1091" s="14">
        <v>45078.506793981483</v>
      </c>
      <c r="B1091" s="2" t="s">
        <v>78</v>
      </c>
      <c r="C1091" s="35" t="s">
        <v>534</v>
      </c>
      <c r="D1091" s="111" t="s">
        <v>95</v>
      </c>
      <c r="E1091" s="18" t="s">
        <v>535</v>
      </c>
      <c r="F1091" s="4" t="str">
        <f t="shared" ref="F1091:F1127" si="47">IFERROR(VLOOKUP(B1091,targlist02,3,0),"Nincs Adat")</f>
        <v>PTP200R239152</v>
      </c>
      <c r="G1091" s="4">
        <v>1047</v>
      </c>
      <c r="H1091" s="22">
        <v>2</v>
      </c>
    </row>
    <row r="1092" spans="1:8" ht="30" x14ac:dyDescent="0.25">
      <c r="A1092" s="14">
        <v>45078.506793981483</v>
      </c>
      <c r="B1092" s="2" t="s">
        <v>81</v>
      </c>
      <c r="C1092" s="35" t="s">
        <v>530</v>
      </c>
      <c r="D1092" s="111" t="s">
        <v>95</v>
      </c>
      <c r="E1092" s="18" t="s">
        <v>531</v>
      </c>
      <c r="F1092" s="4" t="str">
        <f t="shared" si="47"/>
        <v>PTP200R239155</v>
      </c>
      <c r="G1092" s="4"/>
      <c r="H1092" s="22">
        <v>2</v>
      </c>
    </row>
    <row r="1093" spans="1:8" x14ac:dyDescent="0.25">
      <c r="A1093" s="14">
        <v>45076.500902777778</v>
      </c>
      <c r="B1093" s="2" t="s">
        <v>78</v>
      </c>
      <c r="C1093" s="22" t="s">
        <v>528</v>
      </c>
      <c r="D1093" s="111" t="s">
        <v>95</v>
      </c>
      <c r="E1093" s="18" t="s">
        <v>529</v>
      </c>
      <c r="F1093" s="4" t="str">
        <f t="shared" si="47"/>
        <v>PTP200R239152</v>
      </c>
      <c r="G1093" s="4">
        <v>1010</v>
      </c>
      <c r="H1093" s="22">
        <v>4</v>
      </c>
    </row>
    <row r="1094" spans="1:8" x14ac:dyDescent="0.25">
      <c r="A1094" s="14">
        <v>45076.500902777778</v>
      </c>
      <c r="B1094" s="2" t="s">
        <v>81</v>
      </c>
      <c r="C1094" s="22" t="s">
        <v>526</v>
      </c>
      <c r="D1094" s="111" t="s">
        <v>95</v>
      </c>
      <c r="E1094" s="18" t="s">
        <v>527</v>
      </c>
      <c r="F1094" s="4" t="str">
        <f t="shared" si="47"/>
        <v>PTP200R239155</v>
      </c>
      <c r="G1094" s="4">
        <v>738</v>
      </c>
      <c r="H1094" s="22">
        <v>1</v>
      </c>
    </row>
    <row r="1095" spans="1:8" x14ac:dyDescent="0.25">
      <c r="A1095" s="14">
        <v>45076.500902777778</v>
      </c>
      <c r="B1095" s="2" t="s">
        <v>9</v>
      </c>
      <c r="C1095" s="22" t="s">
        <v>524</v>
      </c>
      <c r="D1095" s="111" t="s">
        <v>95</v>
      </c>
      <c r="E1095" s="18" t="s">
        <v>525</v>
      </c>
      <c r="F1095" s="4" t="str">
        <f t="shared" si="47"/>
        <v>EUB09D700745</v>
      </c>
      <c r="G1095" s="4"/>
      <c r="H1095" s="22">
        <v>3</v>
      </c>
    </row>
    <row r="1096" spans="1:8" x14ac:dyDescent="0.25">
      <c r="A1096" s="14">
        <v>45076.500902777778</v>
      </c>
      <c r="B1096" s="2" t="s">
        <v>13</v>
      </c>
      <c r="C1096" s="22" t="s">
        <v>523</v>
      </c>
      <c r="D1096" s="111" t="s">
        <v>95</v>
      </c>
      <c r="E1096" s="18" t="s">
        <v>503</v>
      </c>
      <c r="F1096" s="4" t="str">
        <f t="shared" si="47"/>
        <v>EUB09D700268</v>
      </c>
      <c r="G1096" s="4">
        <v>1332</v>
      </c>
      <c r="H1096" s="22">
        <v>2</v>
      </c>
    </row>
    <row r="1097" spans="1:8" x14ac:dyDescent="0.25">
      <c r="A1097" s="14">
        <v>45072.467902777775</v>
      </c>
      <c r="B1097" s="2" t="s">
        <v>9</v>
      </c>
      <c r="C1097" s="22" t="s">
        <v>504</v>
      </c>
      <c r="D1097" s="111" t="s">
        <v>95</v>
      </c>
      <c r="E1097" s="18" t="s">
        <v>763</v>
      </c>
      <c r="F1097" s="4" t="str">
        <f t="shared" si="47"/>
        <v>EUB09D700745</v>
      </c>
      <c r="G1097" s="4">
        <v>3478</v>
      </c>
      <c r="H1097" s="22">
        <v>4</v>
      </c>
    </row>
    <row r="1098" spans="1:8" ht="30" x14ac:dyDescent="0.25">
      <c r="A1098" s="14">
        <v>45070.365509953706</v>
      </c>
      <c r="B1098" s="2" t="s">
        <v>13</v>
      </c>
      <c r="C1098" s="35" t="s">
        <v>502</v>
      </c>
      <c r="D1098" s="111" t="s">
        <v>95</v>
      </c>
      <c r="E1098" s="18" t="s">
        <v>503</v>
      </c>
      <c r="F1098" s="4" t="str">
        <f t="shared" si="47"/>
        <v>EUB09D700268</v>
      </c>
      <c r="G1098" s="4">
        <v>1332</v>
      </c>
      <c r="H1098" s="22">
        <v>2</v>
      </c>
    </row>
    <row r="1099" spans="1:8" x14ac:dyDescent="0.25">
      <c r="A1099" s="14">
        <v>45069.500902777778</v>
      </c>
      <c r="B1099" s="2" t="s">
        <v>19</v>
      </c>
      <c r="C1099" s="22" t="s">
        <v>522</v>
      </c>
      <c r="D1099" s="111" t="s">
        <v>95</v>
      </c>
      <c r="E1099" s="18" t="s">
        <v>501</v>
      </c>
      <c r="F1099" s="4" t="str">
        <f t="shared" si="47"/>
        <v>EUB09D700836</v>
      </c>
      <c r="G1099" s="4">
        <v>2787</v>
      </c>
      <c r="H1099" s="22">
        <v>1</v>
      </c>
    </row>
    <row r="1100" spans="1:8" x14ac:dyDescent="0.25">
      <c r="A1100" s="14">
        <v>45068.500902777778</v>
      </c>
      <c r="B1100" s="2" t="s">
        <v>15</v>
      </c>
      <c r="C1100" s="22" t="s">
        <v>520</v>
      </c>
      <c r="D1100" s="111" t="s">
        <v>95</v>
      </c>
      <c r="E1100" s="18" t="s">
        <v>521</v>
      </c>
      <c r="F1100" s="4" t="str">
        <f t="shared" si="47"/>
        <v>EUB09D700705</v>
      </c>
      <c r="G1100" s="4">
        <v>639</v>
      </c>
      <c r="H1100" s="22">
        <v>1</v>
      </c>
    </row>
    <row r="1101" spans="1:8" x14ac:dyDescent="0.25">
      <c r="A1101" s="14">
        <v>45068.500902777778</v>
      </c>
      <c r="B1101" s="2" t="s">
        <v>17</v>
      </c>
      <c r="C1101" s="22" t="s">
        <v>518</v>
      </c>
      <c r="D1101" s="111" t="s">
        <v>95</v>
      </c>
      <c r="E1101" s="18" t="s">
        <v>519</v>
      </c>
      <c r="F1101" s="4" t="str">
        <f t="shared" si="47"/>
        <v>EUB09D700852</v>
      </c>
      <c r="G1101" s="4">
        <v>2413</v>
      </c>
      <c r="H1101" s="22">
        <v>1</v>
      </c>
    </row>
    <row r="1102" spans="1:8" ht="30" x14ac:dyDescent="0.25">
      <c r="A1102" s="14">
        <v>45068.500902777778</v>
      </c>
      <c r="B1102" s="2" t="s">
        <v>80</v>
      </c>
      <c r="C1102" s="35" t="s">
        <v>516</v>
      </c>
      <c r="D1102" s="111" t="s">
        <v>95</v>
      </c>
      <c r="E1102" s="18" t="s">
        <v>517</v>
      </c>
      <c r="F1102" s="4" t="str">
        <f t="shared" si="47"/>
        <v>PTP200R239154</v>
      </c>
      <c r="G1102" s="4">
        <v>906</v>
      </c>
      <c r="H1102" s="22">
        <v>3</v>
      </c>
    </row>
    <row r="1103" spans="1:8" x14ac:dyDescent="0.25">
      <c r="A1103" s="14">
        <v>45065.639166666668</v>
      </c>
      <c r="B1103" s="2" t="s">
        <v>9</v>
      </c>
      <c r="C1103" s="22" t="s">
        <v>598</v>
      </c>
      <c r="D1103" s="111" t="s">
        <v>95</v>
      </c>
      <c r="E1103" s="18" t="s">
        <v>515</v>
      </c>
      <c r="F1103" s="4" t="str">
        <f t="shared" si="47"/>
        <v>EUB09D700745</v>
      </c>
      <c r="G1103" s="4">
        <v>2666</v>
      </c>
      <c r="H1103" s="22">
        <v>2</v>
      </c>
    </row>
    <row r="1104" spans="1:8" x14ac:dyDescent="0.25">
      <c r="A1104" s="14">
        <v>45065.606361226855</v>
      </c>
      <c r="B1104" s="2" t="s">
        <v>19</v>
      </c>
      <c r="C1104" s="22" t="s">
        <v>500</v>
      </c>
      <c r="D1104" s="111" t="s">
        <v>95</v>
      </c>
      <c r="E1104" s="18" t="s">
        <v>501</v>
      </c>
      <c r="F1104" s="4" t="str">
        <f t="shared" si="47"/>
        <v>EUB09D700836</v>
      </c>
      <c r="G1104" s="4">
        <v>2787</v>
      </c>
      <c r="H1104" s="22">
        <v>1</v>
      </c>
    </row>
    <row r="1105" spans="1:8" x14ac:dyDescent="0.25">
      <c r="A1105" s="14">
        <v>45065.496111111112</v>
      </c>
      <c r="B1105" s="2" t="s">
        <v>79</v>
      </c>
      <c r="C1105" s="22" t="s">
        <v>513</v>
      </c>
      <c r="D1105" s="111" t="s">
        <v>95</v>
      </c>
      <c r="E1105" s="18" t="s">
        <v>514</v>
      </c>
      <c r="F1105" s="4" t="str">
        <f t="shared" si="47"/>
        <v>PTP200R239153</v>
      </c>
      <c r="G1105" s="4"/>
      <c r="H1105" s="22">
        <v>3</v>
      </c>
    </row>
    <row r="1106" spans="1:8" x14ac:dyDescent="0.25">
      <c r="A1106" s="14">
        <v>45065.496111111112</v>
      </c>
      <c r="B1106" s="2" t="s">
        <v>51</v>
      </c>
      <c r="C1106" s="22" t="s">
        <v>511</v>
      </c>
      <c r="D1106" s="111" t="s">
        <v>95</v>
      </c>
      <c r="E1106" s="18" t="s">
        <v>512</v>
      </c>
      <c r="F1106" s="4" t="str">
        <f t="shared" si="47"/>
        <v>Nincs Adat</v>
      </c>
      <c r="G1106" s="4"/>
      <c r="H1106" s="22">
        <v>2</v>
      </c>
    </row>
    <row r="1107" spans="1:8" x14ac:dyDescent="0.25">
      <c r="A1107" s="14">
        <v>45065.496111111112</v>
      </c>
      <c r="B1107" s="2" t="s">
        <v>16</v>
      </c>
      <c r="C1107" s="22" t="s">
        <v>510</v>
      </c>
      <c r="D1107" s="111" t="s">
        <v>95</v>
      </c>
      <c r="E1107" s="18" t="s">
        <v>492</v>
      </c>
      <c r="F1107" s="4" t="str">
        <f t="shared" si="47"/>
        <v>EUB09D700851</v>
      </c>
      <c r="G1107" s="4">
        <v>2353</v>
      </c>
      <c r="H1107" s="22">
        <v>3</v>
      </c>
    </row>
    <row r="1108" spans="1:8" x14ac:dyDescent="0.25">
      <c r="A1108" s="14">
        <v>45065.325393749998</v>
      </c>
      <c r="B1108" s="2" t="s">
        <v>26</v>
      </c>
      <c r="C1108" s="35" t="s">
        <v>490</v>
      </c>
      <c r="D1108" s="111" t="s">
        <v>95</v>
      </c>
      <c r="E1108" s="18" t="s">
        <v>491</v>
      </c>
      <c r="F1108" s="4" t="str">
        <f t="shared" si="47"/>
        <v>EFC09D60002</v>
      </c>
      <c r="G1108" s="4">
        <v>5565</v>
      </c>
      <c r="H1108" s="22">
        <v>0</v>
      </c>
    </row>
    <row r="1109" spans="1:8" x14ac:dyDescent="0.25">
      <c r="A1109" s="14">
        <v>45065.325271759262</v>
      </c>
      <c r="B1109" s="2" t="s">
        <v>24</v>
      </c>
      <c r="C1109" s="35" t="s">
        <v>490</v>
      </c>
      <c r="D1109" s="111" t="s">
        <v>95</v>
      </c>
      <c r="E1109" s="18" t="s">
        <v>491</v>
      </c>
      <c r="F1109" s="4" t="str">
        <f t="shared" si="47"/>
        <v>EUB09D700704</v>
      </c>
      <c r="G1109" s="4">
        <v>1828</v>
      </c>
      <c r="H1109" s="22">
        <v>0</v>
      </c>
    </row>
    <row r="1110" spans="1:8" x14ac:dyDescent="0.25">
      <c r="A1110" s="14">
        <v>45065.325169560187</v>
      </c>
      <c r="B1110" s="2" t="s">
        <v>14</v>
      </c>
      <c r="C1110" s="35" t="s">
        <v>490</v>
      </c>
      <c r="D1110" s="111" t="s">
        <v>95</v>
      </c>
      <c r="E1110" s="18" t="s">
        <v>491</v>
      </c>
      <c r="F1110" s="4" t="str">
        <f t="shared" si="47"/>
        <v>EUB09D700269</v>
      </c>
      <c r="G1110" s="4">
        <v>1467</v>
      </c>
      <c r="H1110" s="22">
        <v>0</v>
      </c>
    </row>
    <row r="1111" spans="1:8" x14ac:dyDescent="0.25">
      <c r="A1111" s="14">
        <v>45065.324471874999</v>
      </c>
      <c r="B1111" s="2" t="s">
        <v>8</v>
      </c>
      <c r="C1111" s="35" t="s">
        <v>490</v>
      </c>
      <c r="D1111" s="111" t="s">
        <v>95</v>
      </c>
      <c r="E1111" s="18" t="s">
        <v>491</v>
      </c>
      <c r="F1111" s="4" t="str">
        <f t="shared" si="47"/>
        <v>EUB09D700744</v>
      </c>
      <c r="G1111" s="4">
        <v>2390</v>
      </c>
      <c r="H1111" s="22">
        <v>1</v>
      </c>
    </row>
    <row r="1112" spans="1:8" x14ac:dyDescent="0.25">
      <c r="A1112" s="14">
        <v>45063.91815972222</v>
      </c>
      <c r="B1112" s="2" t="s">
        <v>77</v>
      </c>
      <c r="C1112" s="35" t="s">
        <v>495</v>
      </c>
      <c r="D1112" s="111" t="s">
        <v>95</v>
      </c>
      <c r="E1112" s="18" t="s">
        <v>496</v>
      </c>
      <c r="F1112" s="4" t="str">
        <f t="shared" si="47"/>
        <v>PTP200R239151</v>
      </c>
      <c r="G1112" s="4">
        <v>350</v>
      </c>
      <c r="H1112" s="22">
        <v>1</v>
      </c>
    </row>
    <row r="1113" spans="1:8" x14ac:dyDescent="0.25">
      <c r="A1113" s="14">
        <v>45063.91815972222</v>
      </c>
      <c r="B1113" s="2" t="s">
        <v>78</v>
      </c>
      <c r="C1113" s="35" t="s">
        <v>494</v>
      </c>
      <c r="D1113" s="111" t="s">
        <v>95</v>
      </c>
      <c r="E1113" s="18" t="s">
        <v>493</v>
      </c>
      <c r="F1113" s="4" t="str">
        <f t="shared" si="47"/>
        <v>PTP200R239152</v>
      </c>
      <c r="G1113" s="4">
        <v>957</v>
      </c>
      <c r="H1113" s="22">
        <v>0</v>
      </c>
    </row>
    <row r="1114" spans="1:8" x14ac:dyDescent="0.25">
      <c r="A1114" s="14">
        <v>45063.496111111112</v>
      </c>
      <c r="B1114" s="2" t="s">
        <v>78</v>
      </c>
      <c r="C1114" s="22" t="s">
        <v>509</v>
      </c>
      <c r="D1114" s="111" t="s">
        <v>95</v>
      </c>
      <c r="E1114" s="18" t="s">
        <v>493</v>
      </c>
      <c r="F1114" s="4" t="str">
        <f t="shared" si="47"/>
        <v>PTP200R239152</v>
      </c>
      <c r="G1114" s="4">
        <v>957</v>
      </c>
      <c r="H1114" s="22">
        <v>1</v>
      </c>
    </row>
    <row r="1115" spans="1:8" x14ac:dyDescent="0.25">
      <c r="A1115" s="14">
        <v>45062.918161574074</v>
      </c>
      <c r="B1115" s="2" t="s">
        <v>16</v>
      </c>
      <c r="C1115" s="22" t="s">
        <v>489</v>
      </c>
      <c r="D1115" s="111" t="s">
        <v>95</v>
      </c>
      <c r="E1115" s="18" t="s">
        <v>492</v>
      </c>
      <c r="F1115" s="4" t="str">
        <f t="shared" si="47"/>
        <v>EUB09D700851</v>
      </c>
      <c r="G1115" s="4">
        <v>2353</v>
      </c>
      <c r="H1115" s="22">
        <v>3</v>
      </c>
    </row>
    <row r="1116" spans="1:8" x14ac:dyDescent="0.25">
      <c r="A1116" s="14">
        <v>45062.32207962963</v>
      </c>
      <c r="B1116" s="2" t="s">
        <v>17</v>
      </c>
      <c r="C1116" s="22" t="s">
        <v>484</v>
      </c>
      <c r="D1116" s="111" t="s">
        <v>95</v>
      </c>
      <c r="E1116" s="18" t="s">
        <v>485</v>
      </c>
      <c r="F1116" s="4" t="str">
        <f t="shared" si="47"/>
        <v>EUB09D700852</v>
      </c>
      <c r="G1116" s="4">
        <v>2370</v>
      </c>
      <c r="H1116" s="22">
        <v>1</v>
      </c>
    </row>
    <row r="1117" spans="1:8" x14ac:dyDescent="0.25">
      <c r="A1117" s="14">
        <v>45061</v>
      </c>
      <c r="B1117" s="2" t="s">
        <v>80</v>
      </c>
      <c r="C1117" s="35" t="s">
        <v>498</v>
      </c>
      <c r="D1117" s="111" t="s">
        <v>95</v>
      </c>
      <c r="E1117" s="18" t="s">
        <v>499</v>
      </c>
      <c r="F1117" s="2" t="str">
        <f t="shared" si="47"/>
        <v>PTP200R239154</v>
      </c>
      <c r="G1117" s="4">
        <v>1117</v>
      </c>
      <c r="H1117" s="22">
        <v>2</v>
      </c>
    </row>
    <row r="1118" spans="1:8" x14ac:dyDescent="0.25">
      <c r="A1118" s="14">
        <v>45057.566157407404</v>
      </c>
      <c r="B1118" s="2" t="s">
        <v>10</v>
      </c>
      <c r="C1118" s="22" t="s">
        <v>950</v>
      </c>
      <c r="D1118" s="111" t="s">
        <v>95</v>
      </c>
      <c r="E1118" s="18" t="s">
        <v>951</v>
      </c>
      <c r="F1118" s="4" t="str">
        <f t="shared" si="47"/>
        <v>EUB09D700794</v>
      </c>
      <c r="G1118" s="4">
        <v>2884</v>
      </c>
      <c r="H1118" s="22">
        <v>5</v>
      </c>
    </row>
    <row r="1119" spans="1:8" x14ac:dyDescent="0.25">
      <c r="A1119" s="14">
        <v>45056.565246759259</v>
      </c>
      <c r="B1119" s="2" t="s">
        <v>10</v>
      </c>
      <c r="C1119" s="22" t="s">
        <v>952</v>
      </c>
      <c r="D1119" s="111" t="s">
        <v>95</v>
      </c>
      <c r="E1119" s="18"/>
      <c r="F1119" s="4" t="str">
        <f t="shared" si="47"/>
        <v>EUB09D700794</v>
      </c>
      <c r="G1119" s="4"/>
      <c r="H1119" s="22"/>
    </row>
    <row r="1120" spans="1:8" x14ac:dyDescent="0.25">
      <c r="A1120" s="14">
        <v>45056.505549652778</v>
      </c>
      <c r="B1120" s="2" t="s">
        <v>78</v>
      </c>
      <c r="C1120" s="22" t="s">
        <v>483</v>
      </c>
      <c r="D1120" s="111" t="s">
        <v>95</v>
      </c>
      <c r="E1120" s="18" t="s">
        <v>488</v>
      </c>
      <c r="F1120" s="4" t="str">
        <f t="shared" si="47"/>
        <v>PTP200R239152</v>
      </c>
      <c r="G1120" s="4">
        <v>933</v>
      </c>
      <c r="H1120" s="22">
        <v>2</v>
      </c>
    </row>
    <row r="1121" spans="1:8" x14ac:dyDescent="0.25">
      <c r="A1121" s="14">
        <v>45055.455916087965</v>
      </c>
      <c r="B1121" s="2" t="s">
        <v>2</v>
      </c>
      <c r="C1121" s="22" t="s">
        <v>388</v>
      </c>
      <c r="D1121" s="111" t="s">
        <v>95</v>
      </c>
      <c r="E1121" s="18" t="s">
        <v>482</v>
      </c>
      <c r="F1121" s="4" t="str">
        <f t="shared" si="47"/>
        <v>JA2N1E700427</v>
      </c>
      <c r="G1121" s="4">
        <v>1023</v>
      </c>
      <c r="H1121" s="22">
        <v>1</v>
      </c>
    </row>
    <row r="1122" spans="1:8" x14ac:dyDescent="0.25">
      <c r="A1122" s="14">
        <v>45055.455678472223</v>
      </c>
      <c r="B1122" s="2" t="s">
        <v>21</v>
      </c>
      <c r="C1122" s="22" t="s">
        <v>479</v>
      </c>
      <c r="D1122" s="111" t="s">
        <v>95</v>
      </c>
      <c r="E1122" s="18" t="s">
        <v>480</v>
      </c>
      <c r="F1122" s="4" t="str">
        <f t="shared" si="47"/>
        <v>EUB09D700842</v>
      </c>
      <c r="G1122" s="4">
        <v>1811</v>
      </c>
      <c r="H1122" s="22">
        <v>1</v>
      </c>
    </row>
    <row r="1123" spans="1:8" x14ac:dyDescent="0.25">
      <c r="A1123" s="14">
        <v>45055.45482835648</v>
      </c>
      <c r="B1123" s="4" t="s">
        <v>77</v>
      </c>
      <c r="C1123" s="22" t="s">
        <v>476</v>
      </c>
      <c r="D1123" s="111" t="s">
        <v>95</v>
      </c>
      <c r="E1123" s="13" t="s">
        <v>477</v>
      </c>
      <c r="F1123" s="2" t="str">
        <f t="shared" si="47"/>
        <v>PTP200R239151</v>
      </c>
      <c r="G1123" s="4">
        <v>330</v>
      </c>
      <c r="H1123" s="22">
        <v>2</v>
      </c>
    </row>
    <row r="1124" spans="1:8" x14ac:dyDescent="0.25">
      <c r="A1124" s="14">
        <v>45054.322899305553</v>
      </c>
      <c r="B1124" s="2" t="s">
        <v>80</v>
      </c>
      <c r="C1124" s="22" t="s">
        <v>476</v>
      </c>
      <c r="D1124" s="111" t="s">
        <v>95</v>
      </c>
      <c r="E1124" s="13" t="s">
        <v>478</v>
      </c>
      <c r="F1124" s="2" t="str">
        <f t="shared" si="47"/>
        <v>PTP200R239154</v>
      </c>
      <c r="G1124" s="4">
        <v>1092</v>
      </c>
      <c r="H1124" s="22">
        <v>2</v>
      </c>
    </row>
    <row r="1125" spans="1:8" x14ac:dyDescent="0.25">
      <c r="A1125" s="14">
        <v>45054.321689699071</v>
      </c>
      <c r="B1125" s="2" t="s">
        <v>25</v>
      </c>
      <c r="C1125" s="22" t="s">
        <v>474</v>
      </c>
      <c r="D1125" s="111" t="s">
        <v>95</v>
      </c>
      <c r="E1125" s="13" t="s">
        <v>481</v>
      </c>
      <c r="F1125" s="2" t="str">
        <f t="shared" si="47"/>
        <v>EUB09D700741</v>
      </c>
      <c r="G1125" s="4">
        <v>915</v>
      </c>
      <c r="H1125" s="22">
        <v>2</v>
      </c>
    </row>
    <row r="1126" spans="1:8" x14ac:dyDescent="0.25">
      <c r="A1126" s="14">
        <v>45051.575132291669</v>
      </c>
      <c r="B1126" s="2" t="s">
        <v>13</v>
      </c>
      <c r="C1126" s="22" t="s">
        <v>475</v>
      </c>
      <c r="D1126" s="111" t="s">
        <v>95</v>
      </c>
      <c r="E1126" s="13"/>
      <c r="F1126" s="2" t="str">
        <f t="shared" si="47"/>
        <v>EUB09D700268</v>
      </c>
      <c r="G1126" s="4"/>
      <c r="H1126" s="22"/>
    </row>
    <row r="1127" spans="1:8" x14ac:dyDescent="0.25">
      <c r="A1127" s="14">
        <v>45051.572043287037</v>
      </c>
      <c r="B1127" s="2" t="s">
        <v>22</v>
      </c>
      <c r="C1127" s="22" t="s">
        <v>471</v>
      </c>
      <c r="D1127" s="111" t="s">
        <v>95</v>
      </c>
      <c r="E1127" s="13" t="s">
        <v>472</v>
      </c>
      <c r="F1127" s="2" t="str">
        <f t="shared" si="47"/>
        <v>EUB09D700838</v>
      </c>
      <c r="G1127" s="4">
        <v>1255</v>
      </c>
      <c r="H1127" s="22">
        <v>1</v>
      </c>
    </row>
    <row r="1128" spans="1:8" x14ac:dyDescent="0.25">
      <c r="A1128" s="14">
        <v>45050.421422800922</v>
      </c>
      <c r="B1128" s="2" t="s">
        <v>144</v>
      </c>
      <c r="C1128" s="22" t="s">
        <v>497</v>
      </c>
      <c r="D1128" s="111" t="s">
        <v>95</v>
      </c>
      <c r="E1128" s="13" t="s">
        <v>473</v>
      </c>
      <c r="F1128" s="112"/>
      <c r="G1128" s="4">
        <v>2544</v>
      </c>
      <c r="H1128" s="22">
        <v>3</v>
      </c>
    </row>
    <row r="1129" spans="1:8" x14ac:dyDescent="0.25">
      <c r="A1129" s="14">
        <v>45050.421422800922</v>
      </c>
      <c r="B1129" s="2" t="s">
        <v>77</v>
      </c>
      <c r="C1129" s="22" t="s">
        <v>469</v>
      </c>
      <c r="D1129" s="111" t="s">
        <v>95</v>
      </c>
      <c r="E1129" s="13" t="s">
        <v>470</v>
      </c>
      <c r="F1129" s="2" t="str">
        <f t="shared" ref="F1129:F1156" si="48">IFERROR(VLOOKUP(B1129,targlist02,3,0),"Nincs Adat")</f>
        <v>PTP200R239151</v>
      </c>
      <c r="G1129" s="4">
        <v>316</v>
      </c>
      <c r="H1129" s="22">
        <v>3</v>
      </c>
    </row>
    <row r="1130" spans="1:8" x14ac:dyDescent="0.25">
      <c r="A1130" s="14">
        <v>45049.432932060183</v>
      </c>
      <c r="B1130" s="2" t="s">
        <v>78</v>
      </c>
      <c r="C1130" s="22" t="s">
        <v>467</v>
      </c>
      <c r="D1130" s="111" t="s">
        <v>95</v>
      </c>
      <c r="E1130" s="13"/>
      <c r="F1130" s="2" t="str">
        <f t="shared" si="48"/>
        <v>PTP200R239152</v>
      </c>
      <c r="G1130" s="4"/>
      <c r="H1130" s="22"/>
    </row>
    <row r="1131" spans="1:8" x14ac:dyDescent="0.25">
      <c r="A1131" s="14">
        <v>45049.328921527776</v>
      </c>
      <c r="B1131" s="2" t="s">
        <v>11</v>
      </c>
      <c r="C1131" s="22" t="s">
        <v>464</v>
      </c>
      <c r="D1131" s="111" t="s">
        <v>95</v>
      </c>
      <c r="E1131" s="13" t="s">
        <v>465</v>
      </c>
      <c r="F1131" s="2" t="str">
        <f t="shared" si="48"/>
        <v>EUB09D700850</v>
      </c>
      <c r="G1131" s="4"/>
      <c r="H1131" s="22">
        <v>1</v>
      </c>
    </row>
    <row r="1132" spans="1:8" x14ac:dyDescent="0.25">
      <c r="A1132" s="14">
        <v>45044.460249074073</v>
      </c>
      <c r="B1132" s="2" t="s">
        <v>78</v>
      </c>
      <c r="C1132" s="22" t="s">
        <v>459</v>
      </c>
      <c r="D1132" s="111" t="s">
        <v>95</v>
      </c>
      <c r="E1132" s="18" t="s">
        <v>462</v>
      </c>
      <c r="F1132" s="4" t="str">
        <f t="shared" si="48"/>
        <v>PTP200R239152</v>
      </c>
      <c r="G1132" s="4"/>
      <c r="H1132" s="22">
        <v>2</v>
      </c>
    </row>
    <row r="1133" spans="1:8" x14ac:dyDescent="0.25">
      <c r="A1133" s="14">
        <v>45044.330822569442</v>
      </c>
      <c r="B1133" s="2" t="s">
        <v>8</v>
      </c>
      <c r="C1133" s="22" t="s">
        <v>457</v>
      </c>
      <c r="D1133" s="111" t="s">
        <v>95</v>
      </c>
      <c r="E1133" s="18" t="s">
        <v>466</v>
      </c>
      <c r="F1133" s="4" t="str">
        <f t="shared" si="48"/>
        <v>EUB09D700744</v>
      </c>
      <c r="G1133" s="4"/>
      <c r="H1133" s="22">
        <v>0</v>
      </c>
    </row>
    <row r="1134" spans="1:8" x14ac:dyDescent="0.25">
      <c r="A1134" s="14">
        <v>45044.325520370374</v>
      </c>
      <c r="B1134" s="2" t="s">
        <v>8</v>
      </c>
      <c r="C1134" s="22" t="s">
        <v>458</v>
      </c>
      <c r="D1134" s="111" t="s">
        <v>95</v>
      </c>
      <c r="E1134" s="18" t="s">
        <v>466</v>
      </c>
      <c r="F1134" s="4" t="str">
        <f t="shared" si="48"/>
        <v>EUB09D700744</v>
      </c>
      <c r="G1134" s="4"/>
      <c r="H1134" s="22">
        <v>2</v>
      </c>
    </row>
    <row r="1135" spans="1:8" x14ac:dyDescent="0.25">
      <c r="A1135" s="14">
        <v>45044.325292592592</v>
      </c>
      <c r="B1135" s="2" t="s">
        <v>33</v>
      </c>
      <c r="C1135" s="22" t="s">
        <v>455</v>
      </c>
      <c r="D1135" s="111" t="s">
        <v>95</v>
      </c>
      <c r="E1135" s="18" t="s">
        <v>461</v>
      </c>
      <c r="F1135" s="4" t="str">
        <f t="shared" si="48"/>
        <v>Nincs Adat</v>
      </c>
      <c r="G1135" s="4"/>
      <c r="H1135" s="22">
        <v>2</v>
      </c>
    </row>
    <row r="1136" spans="1:8" x14ac:dyDescent="0.25">
      <c r="A1136" s="14">
        <v>45043.397042592595</v>
      </c>
      <c r="B1136" s="2" t="s">
        <v>11</v>
      </c>
      <c r="C1136" s="22" t="s">
        <v>463</v>
      </c>
      <c r="D1136" s="111" t="s">
        <v>95</v>
      </c>
      <c r="E1136" s="18" t="s">
        <v>452</v>
      </c>
      <c r="F1136" s="4" t="str">
        <f t="shared" si="48"/>
        <v>EUB09D700850</v>
      </c>
      <c r="G1136" s="4">
        <v>2587</v>
      </c>
      <c r="H1136" s="22">
        <v>1</v>
      </c>
    </row>
    <row r="1137" spans="1:8" x14ac:dyDescent="0.25">
      <c r="A1137" s="14">
        <v>45041.315931365738</v>
      </c>
      <c r="B1137" s="2" t="s">
        <v>8</v>
      </c>
      <c r="C1137" s="22" t="s">
        <v>440</v>
      </c>
      <c r="D1137" s="111" t="s">
        <v>95</v>
      </c>
      <c r="E1137" s="18" t="s">
        <v>448</v>
      </c>
      <c r="F1137" s="4" t="str">
        <f t="shared" si="48"/>
        <v>EUB09D700744</v>
      </c>
      <c r="G1137" s="43">
        <v>2165</v>
      </c>
      <c r="H1137" s="22">
        <v>0</v>
      </c>
    </row>
    <row r="1138" spans="1:8" x14ac:dyDescent="0.25">
      <c r="A1138" s="14">
        <v>45041.314391782405</v>
      </c>
      <c r="B1138" s="2" t="s">
        <v>8</v>
      </c>
      <c r="C1138" s="22" t="s">
        <v>449</v>
      </c>
      <c r="D1138" s="111" t="s">
        <v>95</v>
      </c>
      <c r="E1138" s="18" t="s">
        <v>448</v>
      </c>
      <c r="F1138" s="4" t="str">
        <f t="shared" si="48"/>
        <v>EUB09D700744</v>
      </c>
      <c r="G1138" s="43">
        <v>2165</v>
      </c>
      <c r="H1138" s="22">
        <v>7</v>
      </c>
    </row>
    <row r="1139" spans="1:8" x14ac:dyDescent="0.25">
      <c r="A1139" s="14">
        <v>45041.313475115741</v>
      </c>
      <c r="B1139" s="2" t="s">
        <v>8</v>
      </c>
      <c r="C1139" s="22" t="s">
        <v>447</v>
      </c>
      <c r="D1139" s="111" t="s">
        <v>95</v>
      </c>
      <c r="E1139" s="18" t="s">
        <v>454</v>
      </c>
      <c r="F1139" s="4" t="str">
        <f t="shared" si="48"/>
        <v>EUB09D700744</v>
      </c>
      <c r="G1139" s="43">
        <v>2170</v>
      </c>
      <c r="H1139" s="22">
        <v>3</v>
      </c>
    </row>
    <row r="1140" spans="1:8" ht="45" x14ac:dyDescent="0.25">
      <c r="A1140" s="14">
        <v>45037.395752546297</v>
      </c>
      <c r="B1140" s="2" t="s">
        <v>20</v>
      </c>
      <c r="C1140" s="22" t="s">
        <v>444</v>
      </c>
      <c r="D1140" s="111" t="s">
        <v>95</v>
      </c>
      <c r="E1140" s="107" t="s">
        <v>450</v>
      </c>
      <c r="F1140" s="4" t="str">
        <f t="shared" si="48"/>
        <v>EUB09D700832</v>
      </c>
      <c r="G1140" s="4"/>
      <c r="H1140" s="22" t="s">
        <v>1047</v>
      </c>
    </row>
    <row r="1141" spans="1:8" x14ac:dyDescent="0.25">
      <c r="A1141" s="14">
        <v>45037.394459953706</v>
      </c>
      <c r="B1141" s="2" t="s">
        <v>19</v>
      </c>
      <c r="C1141" s="22" t="s">
        <v>440</v>
      </c>
      <c r="D1141" s="111" t="s">
        <v>95</v>
      </c>
      <c r="E1141" s="18" t="s">
        <v>443</v>
      </c>
      <c r="F1141" s="4" t="str">
        <f t="shared" si="48"/>
        <v>EUB09D700836</v>
      </c>
      <c r="G1141" s="4">
        <v>2467</v>
      </c>
      <c r="H1141" s="22">
        <v>3</v>
      </c>
    </row>
    <row r="1142" spans="1:8" x14ac:dyDescent="0.25">
      <c r="A1142" s="14">
        <v>45037.393516319447</v>
      </c>
      <c r="B1142" s="2" t="s">
        <v>22</v>
      </c>
      <c r="C1142" s="22" t="s">
        <v>440</v>
      </c>
      <c r="D1142" s="111" t="s">
        <v>95</v>
      </c>
      <c r="E1142" s="18" t="s">
        <v>442</v>
      </c>
      <c r="F1142" s="4" t="str">
        <f t="shared" si="48"/>
        <v>EUB09D700838</v>
      </c>
      <c r="G1142" s="4">
        <v>1196</v>
      </c>
      <c r="H1142" s="22">
        <v>2</v>
      </c>
    </row>
    <row r="1143" spans="1:8" x14ac:dyDescent="0.25">
      <c r="A1143" s="14">
        <v>45037.392795254629</v>
      </c>
      <c r="B1143" s="2" t="s">
        <v>25</v>
      </c>
      <c r="C1143" s="22" t="s">
        <v>440</v>
      </c>
      <c r="D1143" s="111" t="s">
        <v>95</v>
      </c>
      <c r="E1143" s="18" t="s">
        <v>441</v>
      </c>
      <c r="F1143" s="4" t="str">
        <f t="shared" si="48"/>
        <v>EUB09D700741</v>
      </c>
      <c r="G1143" s="4">
        <v>807</v>
      </c>
      <c r="H1143" s="22">
        <v>2</v>
      </c>
    </row>
    <row r="1144" spans="1:8" x14ac:dyDescent="0.25">
      <c r="A1144" s="14">
        <v>45037.391589120372</v>
      </c>
      <c r="B1144" s="2" t="s">
        <v>77</v>
      </c>
      <c r="C1144" s="22" t="s">
        <v>436</v>
      </c>
      <c r="D1144" s="111" t="s">
        <v>95</v>
      </c>
      <c r="E1144" s="18" t="s">
        <v>437</v>
      </c>
      <c r="F1144" s="4" t="str">
        <f t="shared" si="48"/>
        <v>PTP200R239151</v>
      </c>
      <c r="G1144" s="4">
        <v>259</v>
      </c>
      <c r="H1144" s="22">
        <v>3</v>
      </c>
    </row>
    <row r="1145" spans="1:8" x14ac:dyDescent="0.25">
      <c r="A1145" s="14">
        <v>45037.334097222221</v>
      </c>
      <c r="B1145" s="2" t="s">
        <v>6</v>
      </c>
      <c r="C1145" s="22" t="s">
        <v>625</v>
      </c>
      <c r="D1145" s="111" t="s">
        <v>95</v>
      </c>
      <c r="E1145" s="18"/>
      <c r="F1145" s="4" t="str">
        <f t="shared" si="48"/>
        <v>EUB09D700742</v>
      </c>
      <c r="G1145" s="4"/>
      <c r="H1145" s="22"/>
    </row>
    <row r="1146" spans="1:8" x14ac:dyDescent="0.25">
      <c r="A1146" s="14">
        <v>45036.392083333332</v>
      </c>
      <c r="B1146" s="2" t="s">
        <v>81</v>
      </c>
      <c r="C1146" s="22" t="s">
        <v>438</v>
      </c>
      <c r="D1146" s="111" t="s">
        <v>95</v>
      </c>
      <c r="E1146" s="18" t="s">
        <v>439</v>
      </c>
      <c r="F1146" s="4" t="str">
        <f t="shared" si="48"/>
        <v>PTP200R239155</v>
      </c>
      <c r="G1146" s="4">
        <v>653</v>
      </c>
      <c r="H1146" s="22">
        <v>1</v>
      </c>
    </row>
    <row r="1147" spans="1:8" x14ac:dyDescent="0.25">
      <c r="A1147" s="14">
        <v>45035.489425347223</v>
      </c>
      <c r="B1147" s="2" t="s">
        <v>12</v>
      </c>
      <c r="C1147" s="22" t="s">
        <v>388</v>
      </c>
      <c r="D1147" s="111" t="s">
        <v>95</v>
      </c>
      <c r="E1147" s="18" t="s">
        <v>434</v>
      </c>
      <c r="F1147" s="4" t="str">
        <f t="shared" si="48"/>
        <v>EUB09D700267</v>
      </c>
      <c r="G1147" s="4">
        <v>835</v>
      </c>
      <c r="H1147" s="22">
        <v>1</v>
      </c>
    </row>
    <row r="1148" spans="1:8" x14ac:dyDescent="0.25">
      <c r="A1148" s="14">
        <v>45035.487775810187</v>
      </c>
      <c r="B1148" s="2" t="s">
        <v>78</v>
      </c>
      <c r="C1148" s="22" t="s">
        <v>445</v>
      </c>
      <c r="D1148" s="111" t="s">
        <v>95</v>
      </c>
      <c r="E1148" s="18" t="s">
        <v>432</v>
      </c>
      <c r="F1148" s="4" t="str">
        <f t="shared" si="48"/>
        <v>PTP200R239152</v>
      </c>
      <c r="G1148" s="4">
        <v>856</v>
      </c>
      <c r="H1148" s="22">
        <v>0</v>
      </c>
    </row>
    <row r="1149" spans="1:8" x14ac:dyDescent="0.25">
      <c r="A1149" s="14">
        <v>45035.487775810187</v>
      </c>
      <c r="B1149" s="2" t="s">
        <v>78</v>
      </c>
      <c r="C1149" s="22" t="s">
        <v>431</v>
      </c>
      <c r="D1149" s="111" t="s">
        <v>95</v>
      </c>
      <c r="E1149" s="18" t="s">
        <v>432</v>
      </c>
      <c r="F1149" s="4" t="str">
        <f t="shared" si="48"/>
        <v>PTP200R239152</v>
      </c>
      <c r="G1149" s="4">
        <v>856</v>
      </c>
      <c r="H1149" s="22">
        <v>4</v>
      </c>
    </row>
    <row r="1150" spans="1:8" x14ac:dyDescent="0.25">
      <c r="A1150" s="14">
        <v>45029.628461574073</v>
      </c>
      <c r="B1150" s="2" t="s">
        <v>4</v>
      </c>
      <c r="C1150" s="22" t="s">
        <v>427</v>
      </c>
      <c r="D1150" s="111" t="s">
        <v>95</v>
      </c>
      <c r="E1150" s="18" t="s">
        <v>433</v>
      </c>
      <c r="F1150" s="4" t="str">
        <f t="shared" si="48"/>
        <v>JAG2N1E701604</v>
      </c>
      <c r="G1150" s="4">
        <v>371</v>
      </c>
      <c r="H1150" s="22">
        <v>2</v>
      </c>
    </row>
    <row r="1151" spans="1:8" x14ac:dyDescent="0.25">
      <c r="A1151" s="14">
        <v>45029.62328472222</v>
      </c>
      <c r="B1151" s="2" t="s">
        <v>15</v>
      </c>
      <c r="C1151" s="22" t="s">
        <v>425</v>
      </c>
      <c r="D1151" s="111" t="s">
        <v>95</v>
      </c>
      <c r="E1151" s="18" t="s">
        <v>435</v>
      </c>
      <c r="F1151" s="4" t="str">
        <f t="shared" si="48"/>
        <v>EUB09D700705</v>
      </c>
      <c r="G1151" s="4">
        <v>601</v>
      </c>
      <c r="H1151" s="22">
        <v>1</v>
      </c>
    </row>
    <row r="1152" spans="1:8" x14ac:dyDescent="0.25">
      <c r="A1152" s="14">
        <v>45029.406721064814</v>
      </c>
      <c r="B1152" s="2" t="s">
        <v>16</v>
      </c>
      <c r="C1152" s="22" t="s">
        <v>424</v>
      </c>
      <c r="D1152" s="111" t="s">
        <v>95</v>
      </c>
      <c r="E1152" s="18"/>
      <c r="F1152" s="4" t="str">
        <f t="shared" si="48"/>
        <v>EUB09D700851</v>
      </c>
      <c r="G1152" s="4"/>
      <c r="H1152" s="22"/>
    </row>
    <row r="1153" spans="1:8" x14ac:dyDescent="0.25">
      <c r="A1153" s="14">
        <v>45029.366143402774</v>
      </c>
      <c r="B1153" s="2" t="s">
        <v>20</v>
      </c>
      <c r="C1153" s="22" t="s">
        <v>425</v>
      </c>
      <c r="D1153" s="111" t="s">
        <v>95</v>
      </c>
      <c r="E1153" s="18"/>
      <c r="F1153" s="4" t="str">
        <f t="shared" si="48"/>
        <v>EUB09D700832</v>
      </c>
      <c r="G1153" s="4"/>
      <c r="H1153" s="22"/>
    </row>
    <row r="1154" spans="1:8" x14ac:dyDescent="0.25">
      <c r="A1154" s="14">
        <v>45029.365548726855</v>
      </c>
      <c r="B1154" s="2" t="s">
        <v>133</v>
      </c>
      <c r="C1154" s="22" t="s">
        <v>426</v>
      </c>
      <c r="D1154" s="111" t="s">
        <v>95</v>
      </c>
      <c r="E1154" s="18" t="s">
        <v>430</v>
      </c>
      <c r="F1154" s="4" t="str">
        <f t="shared" si="48"/>
        <v>Nincs Adat</v>
      </c>
      <c r="G1154" s="4"/>
      <c r="H1154" s="22">
        <v>1</v>
      </c>
    </row>
    <row r="1155" spans="1:8" x14ac:dyDescent="0.25">
      <c r="A1155" s="14">
        <v>45028.472005208336</v>
      </c>
      <c r="B1155" s="2" t="s">
        <v>79</v>
      </c>
      <c r="C1155" s="22" t="s">
        <v>487</v>
      </c>
      <c r="D1155" s="111" t="s">
        <v>95</v>
      </c>
      <c r="E1155" s="18" t="s">
        <v>486</v>
      </c>
      <c r="F1155" s="4" t="str">
        <f t="shared" si="48"/>
        <v>PTP200R239153</v>
      </c>
      <c r="G1155" s="4"/>
      <c r="H1155" s="22">
        <v>3</v>
      </c>
    </row>
    <row r="1156" spans="1:8" x14ac:dyDescent="0.25">
      <c r="A1156" s="14">
        <v>45028.446766435183</v>
      </c>
      <c r="B1156" s="2" t="s">
        <v>78</v>
      </c>
      <c r="C1156" s="22" t="s">
        <v>360</v>
      </c>
      <c r="D1156" s="111" t="s">
        <v>95</v>
      </c>
      <c r="E1156" s="18" t="s">
        <v>422</v>
      </c>
      <c r="F1156" s="4" t="str">
        <f t="shared" si="48"/>
        <v>PTP200R239152</v>
      </c>
      <c r="G1156" s="4">
        <v>838</v>
      </c>
      <c r="H1156" s="22">
        <v>2</v>
      </c>
    </row>
    <row r="1157" spans="1:8" x14ac:dyDescent="0.25">
      <c r="A1157" s="14">
        <v>45028.446766435183</v>
      </c>
      <c r="B1157" s="2" t="s">
        <v>144</v>
      </c>
      <c r="C1157" s="22" t="s">
        <v>446</v>
      </c>
      <c r="D1157" s="111" t="s">
        <v>95</v>
      </c>
      <c r="E1157" s="18" t="s">
        <v>473</v>
      </c>
      <c r="F1157" s="4"/>
      <c r="G1157" s="4">
        <v>2544</v>
      </c>
      <c r="H1157" s="22">
        <v>3</v>
      </c>
    </row>
    <row r="1158" spans="1:8" x14ac:dyDescent="0.25">
      <c r="A1158" s="14">
        <v>45028.445755439818</v>
      </c>
      <c r="B1158" s="2" t="s">
        <v>80</v>
      </c>
      <c r="C1158" s="22" t="s">
        <v>420</v>
      </c>
      <c r="D1158" s="111" t="s">
        <v>95</v>
      </c>
      <c r="E1158" s="18" t="s">
        <v>429</v>
      </c>
      <c r="F1158" s="4" t="str">
        <f t="shared" ref="F1158:F1189" si="49">IFERROR(VLOOKUP(B1158,targlist02,3,0),"Nincs Adat")</f>
        <v>PTP200R239154</v>
      </c>
      <c r="G1158" s="4">
        <v>1008</v>
      </c>
      <c r="H1158" s="22">
        <v>1</v>
      </c>
    </row>
    <row r="1159" spans="1:8" x14ac:dyDescent="0.25">
      <c r="A1159" s="14">
        <v>45028.445502430557</v>
      </c>
      <c r="B1159" s="2" t="s">
        <v>9</v>
      </c>
      <c r="C1159" s="22" t="s">
        <v>419</v>
      </c>
      <c r="D1159" s="111" t="s">
        <v>95</v>
      </c>
      <c r="E1159" s="18"/>
      <c r="F1159" s="4" t="str">
        <f t="shared" si="49"/>
        <v>EUB09D700745</v>
      </c>
      <c r="G1159" s="4"/>
      <c r="H1159" s="22"/>
    </row>
    <row r="1160" spans="1:8" x14ac:dyDescent="0.25">
      <c r="A1160" s="14">
        <v>45022.319545370374</v>
      </c>
      <c r="B1160" s="2" t="s">
        <v>15</v>
      </c>
      <c r="C1160" s="22" t="s">
        <v>418</v>
      </c>
      <c r="D1160" s="111" t="s">
        <v>95</v>
      </c>
      <c r="E1160" s="18" t="s">
        <v>428</v>
      </c>
      <c r="F1160" s="4" t="str">
        <f t="shared" si="49"/>
        <v>EUB09D700705</v>
      </c>
      <c r="G1160" s="4">
        <v>593</v>
      </c>
      <c r="H1160" s="22">
        <v>2</v>
      </c>
    </row>
    <row r="1161" spans="1:8" x14ac:dyDescent="0.25">
      <c r="A1161" s="14">
        <v>45021.470342592591</v>
      </c>
      <c r="B1161" s="2" t="s">
        <v>11</v>
      </c>
      <c r="C1161" s="22" t="s">
        <v>135</v>
      </c>
      <c r="D1161" s="111" t="s">
        <v>95</v>
      </c>
      <c r="E1161" s="18" t="s">
        <v>417</v>
      </c>
      <c r="F1161" s="4" t="str">
        <f t="shared" si="49"/>
        <v>EUB09D700850</v>
      </c>
      <c r="G1161" s="4">
        <v>2368</v>
      </c>
      <c r="H1161" s="22">
        <v>1</v>
      </c>
    </row>
    <row r="1162" spans="1:8" x14ac:dyDescent="0.25">
      <c r="A1162" s="14">
        <v>45021.46943715278</v>
      </c>
      <c r="B1162" s="2" t="s">
        <v>14</v>
      </c>
      <c r="C1162" s="22" t="s">
        <v>415</v>
      </c>
      <c r="D1162" s="111" t="s">
        <v>95</v>
      </c>
      <c r="E1162" s="18"/>
      <c r="F1162" s="4" t="str">
        <f t="shared" si="49"/>
        <v>EUB09D700269</v>
      </c>
      <c r="G1162" s="4"/>
      <c r="H1162" s="22"/>
    </row>
    <row r="1163" spans="1:8" x14ac:dyDescent="0.25">
      <c r="A1163" s="14">
        <v>45015.49848159722</v>
      </c>
      <c r="B1163" s="2" t="s">
        <v>80</v>
      </c>
      <c r="C1163" s="22" t="s">
        <v>412</v>
      </c>
      <c r="D1163" s="111" t="s">
        <v>95</v>
      </c>
      <c r="E1163" s="18" t="s">
        <v>414</v>
      </c>
      <c r="F1163" s="4" t="str">
        <f t="shared" si="49"/>
        <v>PTP200R239154</v>
      </c>
      <c r="G1163" s="4">
        <v>981</v>
      </c>
      <c r="H1163" s="22">
        <v>5</v>
      </c>
    </row>
    <row r="1164" spans="1:8" x14ac:dyDescent="0.25">
      <c r="A1164" s="14">
        <v>45015.498198379632</v>
      </c>
      <c r="B1164" s="2" t="s">
        <v>80</v>
      </c>
      <c r="C1164" s="22" t="s">
        <v>411</v>
      </c>
      <c r="D1164" s="111" t="s">
        <v>95</v>
      </c>
      <c r="E1164" s="18" t="s">
        <v>414</v>
      </c>
      <c r="F1164" s="4" t="str">
        <f t="shared" si="49"/>
        <v>PTP200R239154</v>
      </c>
      <c r="G1164" s="4">
        <v>981</v>
      </c>
      <c r="H1164" s="22">
        <v>0</v>
      </c>
    </row>
    <row r="1165" spans="1:8" x14ac:dyDescent="0.25">
      <c r="A1165" s="14">
        <v>45015.497933449071</v>
      </c>
      <c r="B1165" s="2" t="s">
        <v>20</v>
      </c>
      <c r="C1165" s="22" t="s">
        <v>410</v>
      </c>
      <c r="D1165" s="111" t="s">
        <v>95</v>
      </c>
      <c r="E1165" s="18"/>
      <c r="F1165" s="4" t="str">
        <f t="shared" si="49"/>
        <v>EUB09D700832</v>
      </c>
      <c r="G1165" s="4"/>
      <c r="H1165" s="22"/>
    </row>
    <row r="1166" spans="1:8" x14ac:dyDescent="0.25">
      <c r="A1166" s="14">
        <v>45012.631552777777</v>
      </c>
      <c r="B1166" s="2" t="s">
        <v>16</v>
      </c>
      <c r="C1166" s="22" t="s">
        <v>407</v>
      </c>
      <c r="D1166" s="111" t="s">
        <v>95</v>
      </c>
      <c r="E1166" s="18"/>
      <c r="F1166" s="4" t="str">
        <f t="shared" si="49"/>
        <v>EUB09D700851</v>
      </c>
      <c r="G1166" s="4"/>
      <c r="H1166" s="22"/>
    </row>
    <row r="1167" spans="1:8" x14ac:dyDescent="0.25">
      <c r="A1167" s="14">
        <v>45012.512206828702</v>
      </c>
      <c r="B1167" s="2" t="s">
        <v>13</v>
      </c>
      <c r="C1167" s="22" t="s">
        <v>406</v>
      </c>
      <c r="D1167" s="111" t="s">
        <v>95</v>
      </c>
      <c r="E1167" s="18" t="s">
        <v>451</v>
      </c>
      <c r="F1167" s="4" t="str">
        <f t="shared" si="49"/>
        <v>EUB09D700268</v>
      </c>
      <c r="G1167" s="4">
        <v>1169</v>
      </c>
      <c r="H1167" s="22">
        <v>1</v>
      </c>
    </row>
    <row r="1168" spans="1:8" x14ac:dyDescent="0.25">
      <c r="A1168" s="14">
        <v>45012.42378553241</v>
      </c>
      <c r="B1168" s="2" t="s">
        <v>21</v>
      </c>
      <c r="C1168" s="22" t="s">
        <v>405</v>
      </c>
      <c r="D1168" s="111" t="s">
        <v>95</v>
      </c>
      <c r="E1168" s="18" t="s">
        <v>408</v>
      </c>
      <c r="F1168" s="4" t="str">
        <f t="shared" si="49"/>
        <v>EUB09D700842</v>
      </c>
      <c r="G1168" s="4">
        <v>1520</v>
      </c>
      <c r="H1168" s="22">
        <v>1</v>
      </c>
    </row>
    <row r="1169" spans="1:11" x14ac:dyDescent="0.25">
      <c r="A1169" s="14">
        <v>45012.422850115741</v>
      </c>
      <c r="B1169" s="2" t="s">
        <v>21</v>
      </c>
      <c r="C1169" s="22" t="s">
        <v>403</v>
      </c>
      <c r="D1169" s="111" t="s">
        <v>95</v>
      </c>
      <c r="E1169" s="18" t="s">
        <v>404</v>
      </c>
      <c r="F1169" s="4" t="str">
        <f t="shared" si="49"/>
        <v>EUB09D700842</v>
      </c>
      <c r="G1169" s="4">
        <v>1493</v>
      </c>
      <c r="H1169" s="22">
        <v>2</v>
      </c>
    </row>
    <row r="1170" spans="1:11" x14ac:dyDescent="0.25">
      <c r="A1170" s="14">
        <v>45012.421374537036</v>
      </c>
      <c r="B1170" s="2" t="s">
        <v>14</v>
      </c>
      <c r="C1170" s="22" t="s">
        <v>401</v>
      </c>
      <c r="D1170" s="111" t="s">
        <v>95</v>
      </c>
      <c r="E1170" s="18" t="s">
        <v>402</v>
      </c>
      <c r="F1170" s="4" t="str">
        <f t="shared" si="49"/>
        <v>EUB09D700269</v>
      </c>
      <c r="G1170" s="4">
        <v>1150</v>
      </c>
      <c r="H1170" s="22">
        <v>1</v>
      </c>
    </row>
    <row r="1171" spans="1:11" x14ac:dyDescent="0.25">
      <c r="A1171" s="14">
        <v>45012.420793518519</v>
      </c>
      <c r="B1171" s="2" t="s">
        <v>80</v>
      </c>
      <c r="C1171" s="22" t="s">
        <v>399</v>
      </c>
      <c r="D1171" s="111" t="s">
        <v>95</v>
      </c>
      <c r="E1171" s="18" t="s">
        <v>400</v>
      </c>
      <c r="F1171" s="4" t="str">
        <f t="shared" si="49"/>
        <v>PTP200R239154</v>
      </c>
      <c r="G1171" s="4">
        <v>954</v>
      </c>
      <c r="H1171" s="22">
        <v>1</v>
      </c>
    </row>
    <row r="1172" spans="1:11" x14ac:dyDescent="0.25">
      <c r="A1172" s="14">
        <v>45012.419686805559</v>
      </c>
      <c r="B1172" s="2" t="s">
        <v>78</v>
      </c>
      <c r="C1172" s="22" t="s">
        <v>397</v>
      </c>
      <c r="D1172" s="111" t="s">
        <v>95</v>
      </c>
      <c r="E1172" s="18" t="s">
        <v>398</v>
      </c>
      <c r="F1172" s="4" t="str">
        <f t="shared" si="49"/>
        <v>PTP200R239152</v>
      </c>
      <c r="G1172" s="4">
        <v>799</v>
      </c>
      <c r="H1172" s="22">
        <v>3</v>
      </c>
    </row>
    <row r="1173" spans="1:11" x14ac:dyDescent="0.25">
      <c r="A1173" s="14">
        <v>45012.41940648148</v>
      </c>
      <c r="B1173" s="2" t="s">
        <v>7</v>
      </c>
      <c r="C1173" s="22" t="s">
        <v>135</v>
      </c>
      <c r="D1173" s="111" t="s">
        <v>95</v>
      </c>
      <c r="E1173" s="18" t="s">
        <v>421</v>
      </c>
      <c r="F1173" s="4" t="str">
        <f t="shared" si="49"/>
        <v>EUB09D700743</v>
      </c>
      <c r="G1173" s="4">
        <v>2094</v>
      </c>
      <c r="H1173" s="22">
        <v>1</v>
      </c>
    </row>
    <row r="1174" spans="1:11" x14ac:dyDescent="0.25">
      <c r="A1174" s="14">
        <v>45008.5893119213</v>
      </c>
      <c r="B1174" s="2" t="s">
        <v>79</v>
      </c>
      <c r="C1174" s="22" t="s">
        <v>395</v>
      </c>
      <c r="D1174" s="111" t="s">
        <v>95</v>
      </c>
      <c r="E1174" s="18" t="s">
        <v>423</v>
      </c>
      <c r="F1174" s="4" t="str">
        <f t="shared" si="49"/>
        <v>PTP200R239153</v>
      </c>
      <c r="G1174" s="4">
        <v>867</v>
      </c>
      <c r="H1174" s="22">
        <v>3</v>
      </c>
    </row>
    <row r="1175" spans="1:11" x14ac:dyDescent="0.25">
      <c r="A1175" s="14">
        <v>45008.589128125001</v>
      </c>
      <c r="B1175" s="2" t="s">
        <v>7</v>
      </c>
      <c r="C1175" s="22" t="s">
        <v>396</v>
      </c>
      <c r="D1175" s="111" t="s">
        <v>95</v>
      </c>
      <c r="E1175" s="18"/>
      <c r="F1175" s="4" t="str">
        <f t="shared" si="49"/>
        <v>EUB09D700743</v>
      </c>
      <c r="G1175" s="4"/>
      <c r="H1175" s="22"/>
    </row>
    <row r="1176" spans="1:11" x14ac:dyDescent="0.25">
      <c r="A1176" s="14">
        <v>45008.588666435186</v>
      </c>
      <c r="B1176" s="2" t="s">
        <v>6</v>
      </c>
      <c r="C1176" s="22" t="s">
        <v>396</v>
      </c>
      <c r="D1176" s="111" t="s">
        <v>95</v>
      </c>
      <c r="E1176" s="18"/>
      <c r="F1176" s="4" t="str">
        <f t="shared" si="49"/>
        <v>EUB09D700742</v>
      </c>
      <c r="G1176" s="4"/>
      <c r="H1176" s="22"/>
    </row>
    <row r="1177" spans="1:11" x14ac:dyDescent="0.25">
      <c r="A1177" s="14">
        <v>45006</v>
      </c>
      <c r="B1177" s="2" t="s">
        <v>8</v>
      </c>
      <c r="C1177" s="22" t="s">
        <v>379</v>
      </c>
      <c r="D1177" s="111" t="s">
        <v>95</v>
      </c>
      <c r="E1177" s="18" t="s">
        <v>448</v>
      </c>
      <c r="F1177" s="4" t="str">
        <f t="shared" si="49"/>
        <v>EUB09D700744</v>
      </c>
      <c r="G1177" s="43">
        <v>2165</v>
      </c>
      <c r="H1177" s="22">
        <v>7</v>
      </c>
    </row>
    <row r="1178" spans="1:11" x14ac:dyDescent="0.25">
      <c r="A1178" s="14">
        <v>45006</v>
      </c>
      <c r="B1178" s="2" t="s">
        <v>78</v>
      </c>
      <c r="C1178" s="22" t="s">
        <v>391</v>
      </c>
      <c r="D1178" s="111" t="s">
        <v>95</v>
      </c>
      <c r="E1178" s="18" t="s">
        <v>392</v>
      </c>
      <c r="F1178" s="4" t="str">
        <f t="shared" si="49"/>
        <v>PTP200R239152</v>
      </c>
      <c r="G1178" s="4">
        <v>799</v>
      </c>
      <c r="H1178" s="22">
        <v>2</v>
      </c>
    </row>
    <row r="1179" spans="1:11" x14ac:dyDescent="0.25">
      <c r="A1179" s="14">
        <v>45006</v>
      </c>
      <c r="B1179" s="2" t="s">
        <v>17</v>
      </c>
      <c r="C1179" s="22" t="s">
        <v>388</v>
      </c>
      <c r="D1179" s="111" t="s">
        <v>95</v>
      </c>
      <c r="E1179" s="18" t="s">
        <v>389</v>
      </c>
      <c r="F1179" s="4" t="str">
        <f t="shared" si="49"/>
        <v>EUB09D700852</v>
      </c>
      <c r="G1179" s="4">
        <v>2030</v>
      </c>
      <c r="H1179" s="22">
        <v>1</v>
      </c>
    </row>
    <row r="1180" spans="1:11" x14ac:dyDescent="0.25">
      <c r="A1180" s="14">
        <v>45006</v>
      </c>
      <c r="B1180" s="2" t="s">
        <v>78</v>
      </c>
      <c r="C1180" s="22" t="s">
        <v>387</v>
      </c>
      <c r="D1180" s="111" t="s">
        <v>95</v>
      </c>
      <c r="E1180" s="18" t="s">
        <v>409</v>
      </c>
      <c r="F1180" s="4" t="str">
        <f t="shared" si="49"/>
        <v>PTP200R239152</v>
      </c>
      <c r="G1180" s="4">
        <v>799</v>
      </c>
      <c r="H1180" s="22">
        <v>1</v>
      </c>
    </row>
    <row r="1181" spans="1:11" x14ac:dyDescent="0.25">
      <c r="A1181" s="14">
        <v>45006</v>
      </c>
      <c r="B1181" s="2" t="s">
        <v>144</v>
      </c>
      <c r="C1181" s="22" t="s">
        <v>386</v>
      </c>
      <c r="D1181" s="111" t="s">
        <v>95</v>
      </c>
      <c r="E1181" s="18" t="s">
        <v>390</v>
      </c>
      <c r="F1181" s="4" t="str">
        <f t="shared" si="49"/>
        <v>Nincs Adat</v>
      </c>
      <c r="G1181" s="4">
        <v>2472</v>
      </c>
      <c r="H1181" s="22">
        <v>1</v>
      </c>
    </row>
    <row r="1182" spans="1:11" x14ac:dyDescent="0.25">
      <c r="A1182" s="14">
        <v>45006</v>
      </c>
      <c r="B1182" s="2" t="s">
        <v>79</v>
      </c>
      <c r="C1182" s="22" t="s">
        <v>393</v>
      </c>
      <c r="D1182" s="111" t="s">
        <v>95</v>
      </c>
      <c r="E1182" s="18" t="s">
        <v>460</v>
      </c>
      <c r="F1182" s="4" t="str">
        <f t="shared" si="49"/>
        <v>PTP200R239153</v>
      </c>
      <c r="G1182" s="4">
        <v>801</v>
      </c>
      <c r="H1182" s="22">
        <v>2</v>
      </c>
      <c r="I1182" s="213"/>
      <c r="J1182" s="566"/>
      <c r="K1182" s="213"/>
    </row>
    <row r="1183" spans="1:11" x14ac:dyDescent="0.25">
      <c r="A1183" s="14">
        <v>45006</v>
      </c>
      <c r="B1183" s="2" t="s">
        <v>80</v>
      </c>
      <c r="C1183" s="22" t="s">
        <v>381</v>
      </c>
      <c r="D1183" s="111" t="s">
        <v>95</v>
      </c>
      <c r="E1183" s="18" t="s">
        <v>382</v>
      </c>
      <c r="F1183" s="4" t="str">
        <f t="shared" si="49"/>
        <v>PTP200R239154</v>
      </c>
      <c r="G1183" s="4">
        <v>936</v>
      </c>
      <c r="H1183" s="22">
        <v>3</v>
      </c>
    </row>
    <row r="1184" spans="1:11" x14ac:dyDescent="0.25">
      <c r="A1184" s="14">
        <v>45006</v>
      </c>
      <c r="B1184" s="2" t="s">
        <v>2</v>
      </c>
      <c r="C1184" s="22" t="s">
        <v>377</v>
      </c>
      <c r="D1184" s="111" t="s">
        <v>95</v>
      </c>
      <c r="E1184" s="18" t="s">
        <v>384</v>
      </c>
      <c r="F1184" s="4" t="str">
        <f t="shared" si="49"/>
        <v>JA2N1E700427</v>
      </c>
      <c r="G1184" s="4">
        <v>791</v>
      </c>
      <c r="H1184" s="22">
        <v>2</v>
      </c>
    </row>
    <row r="1185" spans="1:8" x14ac:dyDescent="0.25">
      <c r="A1185" s="14">
        <v>45006</v>
      </c>
      <c r="B1185" s="2" t="s">
        <v>78</v>
      </c>
      <c r="C1185" s="22" t="s">
        <v>376</v>
      </c>
      <c r="D1185" s="111" t="s">
        <v>95</v>
      </c>
      <c r="E1185" s="18"/>
      <c r="F1185" s="4" t="str">
        <f t="shared" si="49"/>
        <v>PTP200R239152</v>
      </c>
      <c r="G1185" s="4"/>
      <c r="H1185" s="22"/>
    </row>
    <row r="1186" spans="1:8" x14ac:dyDescent="0.25">
      <c r="A1186" s="14">
        <v>45005</v>
      </c>
      <c r="B1186" s="2" t="s">
        <v>142</v>
      </c>
      <c r="C1186" s="22" t="s">
        <v>372</v>
      </c>
      <c r="D1186" s="111" t="s">
        <v>95</v>
      </c>
      <c r="E1186" s="18" t="s">
        <v>380</v>
      </c>
      <c r="F1186" s="4" t="str">
        <f t="shared" si="49"/>
        <v>LO20N2RCB13B00112</v>
      </c>
      <c r="G1186" s="4">
        <v>832</v>
      </c>
      <c r="H1186" s="22">
        <v>2</v>
      </c>
    </row>
    <row r="1187" spans="1:8" x14ac:dyDescent="0.25">
      <c r="A1187" s="14">
        <v>45002</v>
      </c>
      <c r="B1187" s="2" t="s">
        <v>15</v>
      </c>
      <c r="C1187" s="22" t="s">
        <v>371</v>
      </c>
      <c r="D1187" s="111" t="s">
        <v>95</v>
      </c>
      <c r="E1187" s="18" t="s">
        <v>373</v>
      </c>
      <c r="F1187" s="4" t="str">
        <f t="shared" si="49"/>
        <v>EUB09D700705</v>
      </c>
      <c r="G1187" s="4">
        <v>481</v>
      </c>
      <c r="H1187" s="22">
        <v>2</v>
      </c>
    </row>
    <row r="1188" spans="1:8" x14ac:dyDescent="0.25">
      <c r="A1188" s="14">
        <v>45001</v>
      </c>
      <c r="B1188" s="2" t="s">
        <v>80</v>
      </c>
      <c r="C1188" s="22" t="s">
        <v>374</v>
      </c>
      <c r="D1188" s="111" t="s">
        <v>95</v>
      </c>
      <c r="E1188" s="18" t="s">
        <v>375</v>
      </c>
      <c r="F1188" s="4" t="str">
        <f t="shared" si="49"/>
        <v>PTP200R239154</v>
      </c>
      <c r="G1188" s="4">
        <v>935</v>
      </c>
      <c r="H1188" s="22">
        <v>3</v>
      </c>
    </row>
    <row r="1189" spans="1:8" x14ac:dyDescent="0.25">
      <c r="A1189" s="14">
        <v>44993</v>
      </c>
      <c r="B1189" s="2" t="s">
        <v>78</v>
      </c>
      <c r="C1189" s="22" t="s">
        <v>229</v>
      </c>
      <c r="D1189" s="111" t="s">
        <v>95</v>
      </c>
      <c r="E1189" s="18" t="s">
        <v>362</v>
      </c>
      <c r="F1189" s="4" t="str">
        <f t="shared" si="49"/>
        <v>PTP200R239152</v>
      </c>
      <c r="G1189" s="4">
        <v>799</v>
      </c>
      <c r="H1189" s="22">
        <v>3</v>
      </c>
    </row>
    <row r="1190" spans="1:8" x14ac:dyDescent="0.25">
      <c r="A1190" s="14">
        <v>44993</v>
      </c>
      <c r="B1190" s="2" t="s">
        <v>6</v>
      </c>
      <c r="C1190" s="22" t="s">
        <v>99</v>
      </c>
      <c r="D1190" s="111" t="s">
        <v>95</v>
      </c>
      <c r="E1190" s="18" t="s">
        <v>363</v>
      </c>
      <c r="F1190" s="4" t="str">
        <f t="shared" ref="F1190:F1221" si="50">IFERROR(VLOOKUP(B1190,targlist02,3,0),"Nincs Adat")</f>
        <v>EUB09D700742</v>
      </c>
      <c r="G1190" s="4">
        <v>2022</v>
      </c>
      <c r="H1190" s="22">
        <v>4</v>
      </c>
    </row>
    <row r="1191" spans="1:8" x14ac:dyDescent="0.25">
      <c r="A1191" s="14">
        <v>44993</v>
      </c>
      <c r="B1191" s="2" t="s">
        <v>17</v>
      </c>
      <c r="C1191" s="22" t="s">
        <v>361</v>
      </c>
      <c r="D1191" s="111" t="s">
        <v>95</v>
      </c>
      <c r="E1191" s="18"/>
      <c r="F1191" s="4" t="str">
        <f t="shared" si="50"/>
        <v>EUB09D700852</v>
      </c>
      <c r="G1191" s="4">
        <v>1921</v>
      </c>
      <c r="H1191" s="22"/>
    </row>
    <row r="1192" spans="1:8" x14ac:dyDescent="0.25">
      <c r="A1192" s="14">
        <v>44992.340955324071</v>
      </c>
      <c r="B1192" s="2" t="s">
        <v>16</v>
      </c>
      <c r="C1192" s="22" t="s">
        <v>298</v>
      </c>
      <c r="D1192" s="111" t="s">
        <v>95</v>
      </c>
      <c r="E1192" s="18" t="s">
        <v>299</v>
      </c>
      <c r="F1192" s="103" t="str">
        <f t="shared" si="50"/>
        <v>EUB09D700851</v>
      </c>
      <c r="G1192" s="4">
        <v>1872</v>
      </c>
      <c r="H1192" s="22">
        <v>1</v>
      </c>
    </row>
    <row r="1193" spans="1:8" x14ac:dyDescent="0.25">
      <c r="A1193" s="14">
        <v>44992.340423726855</v>
      </c>
      <c r="B1193" s="2" t="s">
        <v>78</v>
      </c>
      <c r="C1193" s="22" t="s">
        <v>296</v>
      </c>
      <c r="D1193" s="111" t="s">
        <v>95</v>
      </c>
      <c r="E1193" s="18" t="s">
        <v>297</v>
      </c>
      <c r="F1193" s="103" t="str">
        <f t="shared" si="50"/>
        <v>PTP200R239152</v>
      </c>
      <c r="G1193" s="4">
        <v>791</v>
      </c>
      <c r="H1193" s="22">
        <v>1</v>
      </c>
    </row>
    <row r="1194" spans="1:8" x14ac:dyDescent="0.25">
      <c r="A1194" s="14">
        <v>44991.490297337965</v>
      </c>
      <c r="B1194" s="2" t="s">
        <v>81</v>
      </c>
      <c r="C1194" s="22" t="s">
        <v>293</v>
      </c>
      <c r="D1194" s="111" t="s">
        <v>95</v>
      </c>
      <c r="E1194" s="18" t="s">
        <v>295</v>
      </c>
      <c r="F1194" s="103" t="str">
        <f t="shared" si="50"/>
        <v>PTP200R239155</v>
      </c>
      <c r="G1194" s="4">
        <v>548</v>
      </c>
      <c r="H1194" s="22">
        <v>3</v>
      </c>
    </row>
    <row r="1195" spans="1:8" x14ac:dyDescent="0.25">
      <c r="A1195" s="14">
        <v>44991.49014548611</v>
      </c>
      <c r="B1195" s="2" t="s">
        <v>79</v>
      </c>
      <c r="C1195" s="22" t="s">
        <v>255</v>
      </c>
      <c r="D1195" s="28" t="s">
        <v>95</v>
      </c>
      <c r="E1195" s="18" t="s">
        <v>294</v>
      </c>
      <c r="F1195" s="102" t="str">
        <f t="shared" si="50"/>
        <v>PTP200R239153</v>
      </c>
      <c r="G1195" s="4">
        <v>755</v>
      </c>
      <c r="H1195" s="22">
        <v>3</v>
      </c>
    </row>
    <row r="1196" spans="1:8" x14ac:dyDescent="0.25">
      <c r="A1196" s="14">
        <v>44991.340451736112</v>
      </c>
      <c r="B1196" s="2" t="s">
        <v>25</v>
      </c>
      <c r="C1196" s="22" t="s">
        <v>291</v>
      </c>
      <c r="D1196" s="28" t="s">
        <v>95</v>
      </c>
      <c r="E1196" s="18" t="s">
        <v>370</v>
      </c>
      <c r="F1196" s="102" t="str">
        <f t="shared" si="50"/>
        <v>EUB09D700741</v>
      </c>
      <c r="G1196" s="4">
        <v>578</v>
      </c>
      <c r="H1196" s="22">
        <v>6</v>
      </c>
    </row>
    <row r="1197" spans="1:8" x14ac:dyDescent="0.25">
      <c r="A1197" s="14">
        <v>44988.337455555557</v>
      </c>
      <c r="B1197" s="2" t="s">
        <v>9</v>
      </c>
      <c r="C1197" s="22" t="s">
        <v>385</v>
      </c>
      <c r="D1197" s="28" t="s">
        <v>95</v>
      </c>
      <c r="E1197" s="18" t="s">
        <v>413</v>
      </c>
      <c r="F1197" s="102" t="str">
        <f t="shared" si="50"/>
        <v>EUB09D700745</v>
      </c>
      <c r="G1197" s="4">
        <v>2236</v>
      </c>
      <c r="H1197" s="22">
        <v>7</v>
      </c>
    </row>
    <row r="1198" spans="1:8" x14ac:dyDescent="0.25">
      <c r="A1198" s="14">
        <v>44988.337244097223</v>
      </c>
      <c r="B1198" s="2" t="s">
        <v>16</v>
      </c>
      <c r="C1198" s="22" t="s">
        <v>290</v>
      </c>
      <c r="D1198" s="28" t="s">
        <v>95</v>
      </c>
      <c r="E1198" s="18" t="s">
        <v>292</v>
      </c>
      <c r="F1198" s="102" t="str">
        <f t="shared" si="50"/>
        <v>EUB09D700851</v>
      </c>
      <c r="G1198" s="4">
        <v>1869</v>
      </c>
      <c r="H1198" s="22">
        <v>1</v>
      </c>
    </row>
    <row r="1199" spans="1:8" x14ac:dyDescent="0.25">
      <c r="A1199" s="14">
        <v>44988.333024421299</v>
      </c>
      <c r="B1199" s="2" t="s">
        <v>20</v>
      </c>
      <c r="C1199" s="22" t="s">
        <v>287</v>
      </c>
      <c r="D1199" s="28" t="s">
        <v>95</v>
      </c>
      <c r="E1199" s="18" t="s">
        <v>286</v>
      </c>
      <c r="F1199" s="102" t="str">
        <f t="shared" si="50"/>
        <v>EUB09D700832</v>
      </c>
      <c r="G1199" s="4">
        <v>1580</v>
      </c>
      <c r="H1199" s="22">
        <v>1</v>
      </c>
    </row>
    <row r="1200" spans="1:8" x14ac:dyDescent="0.25">
      <c r="A1200" s="14">
        <v>44987.521586226852</v>
      </c>
      <c r="B1200" s="2" t="s">
        <v>7</v>
      </c>
      <c r="C1200" s="22" t="s">
        <v>364</v>
      </c>
      <c r="D1200" s="28" t="s">
        <v>95</v>
      </c>
      <c r="E1200" s="18" t="s">
        <v>468</v>
      </c>
      <c r="F1200" s="2" t="str">
        <f t="shared" si="50"/>
        <v>EUB09D700743</v>
      </c>
      <c r="G1200" s="4">
        <v>2303</v>
      </c>
      <c r="H1200" s="22">
        <v>8</v>
      </c>
    </row>
    <row r="1201" spans="1:8" x14ac:dyDescent="0.25">
      <c r="A1201" s="14">
        <v>44987.521586226852</v>
      </c>
      <c r="B1201" s="2" t="s">
        <v>6</v>
      </c>
      <c r="C1201" s="22" t="s">
        <v>1048</v>
      </c>
      <c r="D1201" s="28" t="s">
        <v>95</v>
      </c>
      <c r="E1201" s="18" t="s">
        <v>1003</v>
      </c>
      <c r="F1201" s="102" t="str">
        <f t="shared" si="50"/>
        <v>EUB09D700742</v>
      </c>
      <c r="G1201" s="4">
        <v>4068</v>
      </c>
      <c r="H1201" s="22">
        <v>2</v>
      </c>
    </row>
    <row r="1202" spans="1:8" x14ac:dyDescent="0.25">
      <c r="A1202" s="14">
        <v>44987.409178240741</v>
      </c>
      <c r="B1202" s="2" t="s">
        <v>73</v>
      </c>
      <c r="C1202" s="22" t="s">
        <v>284</v>
      </c>
      <c r="D1202" s="28" t="s">
        <v>95</v>
      </c>
      <c r="E1202" s="18" t="s">
        <v>289</v>
      </c>
      <c r="F1202" s="102" t="str">
        <f t="shared" si="50"/>
        <v>Nincs Adat</v>
      </c>
      <c r="G1202" s="4">
        <v>871</v>
      </c>
      <c r="H1202" s="22">
        <v>2</v>
      </c>
    </row>
    <row r="1203" spans="1:8" x14ac:dyDescent="0.25">
      <c r="A1203" s="14">
        <v>44987.334230439817</v>
      </c>
      <c r="B1203" s="2" t="s">
        <v>80</v>
      </c>
      <c r="C1203" s="22" t="s">
        <v>282</v>
      </c>
      <c r="D1203" s="28" t="s">
        <v>95</v>
      </c>
      <c r="E1203" s="18" t="s">
        <v>283</v>
      </c>
      <c r="F1203" s="102" t="str">
        <f t="shared" si="50"/>
        <v>PTP200R239154</v>
      </c>
      <c r="G1203" s="4">
        <v>872</v>
      </c>
      <c r="H1203" s="22">
        <v>1</v>
      </c>
    </row>
    <row r="1204" spans="1:8" x14ac:dyDescent="0.25">
      <c r="A1204" s="14">
        <v>44987.332165277781</v>
      </c>
      <c r="B1204" s="2" t="s">
        <v>157</v>
      </c>
      <c r="C1204" s="22" t="s">
        <v>279</v>
      </c>
      <c r="D1204" s="28" t="s">
        <v>95</v>
      </c>
      <c r="E1204" s="18" t="s">
        <v>280</v>
      </c>
      <c r="F1204" s="102" t="str">
        <f t="shared" si="50"/>
        <v>F24537B00021</v>
      </c>
      <c r="G1204" s="43">
        <v>5478</v>
      </c>
      <c r="H1204" s="22">
        <v>1</v>
      </c>
    </row>
    <row r="1205" spans="1:8" x14ac:dyDescent="0.25">
      <c r="A1205" s="14">
        <v>44985.352896180557</v>
      </c>
      <c r="B1205" s="2" t="s">
        <v>14</v>
      </c>
      <c r="C1205" s="22" t="s">
        <v>275</v>
      </c>
      <c r="D1205" s="28" t="s">
        <v>95</v>
      </c>
      <c r="E1205" s="18" t="s">
        <v>277</v>
      </c>
      <c r="F1205" s="102" t="str">
        <f t="shared" si="50"/>
        <v>EUB09D700269</v>
      </c>
      <c r="G1205" s="43">
        <v>1029</v>
      </c>
      <c r="H1205" s="22">
        <v>3</v>
      </c>
    </row>
    <row r="1206" spans="1:8" x14ac:dyDescent="0.25">
      <c r="A1206" s="14">
        <v>44981.641491550923</v>
      </c>
      <c r="B1206" s="2" t="s">
        <v>22</v>
      </c>
      <c r="C1206" s="22" t="s">
        <v>285</v>
      </c>
      <c r="D1206" s="28" t="s">
        <v>95</v>
      </c>
      <c r="E1206" s="18"/>
      <c r="F1206" s="102" t="str">
        <f t="shared" si="50"/>
        <v>EUB09D700838</v>
      </c>
      <c r="G1206" s="4"/>
      <c r="H1206" s="22"/>
    </row>
    <row r="1207" spans="1:8" x14ac:dyDescent="0.25">
      <c r="A1207" s="14">
        <v>44980.483418171294</v>
      </c>
      <c r="B1207" s="2" t="s">
        <v>79</v>
      </c>
      <c r="C1207" s="22" t="s">
        <v>269</v>
      </c>
      <c r="D1207" s="28" t="s">
        <v>95</v>
      </c>
      <c r="E1207" s="18" t="s">
        <v>276</v>
      </c>
      <c r="F1207" s="102" t="str">
        <f t="shared" si="50"/>
        <v>PTP200R239153</v>
      </c>
      <c r="G1207" s="4">
        <v>732</v>
      </c>
      <c r="H1207" s="22">
        <v>2</v>
      </c>
    </row>
    <row r="1208" spans="1:8" x14ac:dyDescent="0.25">
      <c r="A1208" s="14">
        <v>44980.386076041665</v>
      </c>
      <c r="B1208" s="2" t="s">
        <v>81</v>
      </c>
      <c r="C1208" s="22" t="s">
        <v>273</v>
      </c>
      <c r="D1208" s="28" t="s">
        <v>95</v>
      </c>
      <c r="E1208" s="18" t="s">
        <v>274</v>
      </c>
      <c r="F1208" s="102" t="str">
        <f t="shared" si="50"/>
        <v>PTP200R239155</v>
      </c>
      <c r="G1208" s="4">
        <v>527</v>
      </c>
      <c r="H1208" s="22">
        <v>3</v>
      </c>
    </row>
    <row r="1209" spans="1:8" x14ac:dyDescent="0.25">
      <c r="A1209" s="14">
        <v>44980.384665625003</v>
      </c>
      <c r="B1209" s="2" t="s">
        <v>14</v>
      </c>
      <c r="C1209" s="22" t="s">
        <v>270</v>
      </c>
      <c r="D1209" s="28" t="s">
        <v>95</v>
      </c>
      <c r="E1209" s="18" t="s">
        <v>271</v>
      </c>
      <c r="F1209" s="102" t="str">
        <f t="shared" si="50"/>
        <v>EUB09D700269</v>
      </c>
      <c r="G1209" s="4">
        <v>1007</v>
      </c>
      <c r="H1209" s="22">
        <v>1</v>
      </c>
    </row>
    <row r="1210" spans="1:8" ht="30" x14ac:dyDescent="0.25">
      <c r="A1210" s="14">
        <v>44978.493310185186</v>
      </c>
      <c r="B1210" s="2" t="s">
        <v>9</v>
      </c>
      <c r="C1210" s="35" t="s">
        <v>365</v>
      </c>
      <c r="D1210" s="28" t="s">
        <v>95</v>
      </c>
      <c r="E1210" s="18" t="s">
        <v>413</v>
      </c>
      <c r="F1210" s="102" t="str">
        <f t="shared" si="50"/>
        <v>EUB09D700745</v>
      </c>
      <c r="G1210" s="4">
        <v>2236</v>
      </c>
      <c r="H1210" s="22">
        <v>7</v>
      </c>
    </row>
    <row r="1211" spans="1:8" x14ac:dyDescent="0.25">
      <c r="A1211" s="14">
        <v>44978.492228240742</v>
      </c>
      <c r="B1211" s="2" t="s">
        <v>77</v>
      </c>
      <c r="C1211" s="22" t="s">
        <v>269</v>
      </c>
      <c r="D1211" s="28" t="s">
        <v>95</v>
      </c>
      <c r="E1211" s="18" t="s">
        <v>272</v>
      </c>
      <c r="F1211" s="102" t="str">
        <f t="shared" si="50"/>
        <v>PTP200R239151</v>
      </c>
      <c r="G1211" s="4">
        <v>170</v>
      </c>
      <c r="H1211" s="22">
        <v>2</v>
      </c>
    </row>
    <row r="1212" spans="1:8" x14ac:dyDescent="0.25">
      <c r="A1212" s="14">
        <v>44978.490577083336</v>
      </c>
      <c r="B1212" s="2" t="s">
        <v>16</v>
      </c>
      <c r="C1212" s="22" t="s">
        <v>264</v>
      </c>
      <c r="D1212" s="28" t="s">
        <v>95</v>
      </c>
      <c r="E1212" s="18" t="s">
        <v>265</v>
      </c>
      <c r="F1212" s="102" t="str">
        <f t="shared" si="50"/>
        <v>EUB09D700851</v>
      </c>
      <c r="G1212" s="43">
        <v>1790</v>
      </c>
      <c r="H1212" s="22">
        <v>1</v>
      </c>
    </row>
    <row r="1213" spans="1:8" ht="30" x14ac:dyDescent="0.25">
      <c r="A1213" s="14">
        <v>44978.489500462965</v>
      </c>
      <c r="B1213" s="2" t="s">
        <v>141</v>
      </c>
      <c r="C1213" s="35" t="s">
        <v>263</v>
      </c>
      <c r="D1213" s="28" t="s">
        <v>95</v>
      </c>
      <c r="E1213" s="13" t="s">
        <v>262</v>
      </c>
      <c r="F1213" s="102" t="str">
        <f t="shared" si="50"/>
        <v>LO20N2RCB13B00110</v>
      </c>
      <c r="G1213" s="4">
        <v>477</v>
      </c>
      <c r="H1213" s="22">
        <v>3</v>
      </c>
    </row>
    <row r="1214" spans="1:8" x14ac:dyDescent="0.25">
      <c r="A1214" s="14">
        <v>44978.487490624997</v>
      </c>
      <c r="B1214" s="2" t="s">
        <v>153</v>
      </c>
      <c r="C1214" s="22" t="s">
        <v>260</v>
      </c>
      <c r="D1214" s="28" t="s">
        <v>95</v>
      </c>
      <c r="E1214" s="18" t="s">
        <v>278</v>
      </c>
      <c r="F1214" s="102" t="str">
        <f t="shared" si="50"/>
        <v>Nincs Adat</v>
      </c>
      <c r="G1214" s="4">
        <v>80</v>
      </c>
      <c r="H1214" s="22">
        <v>1</v>
      </c>
    </row>
    <row r="1215" spans="1:8" x14ac:dyDescent="0.25">
      <c r="A1215" s="14">
        <v>44974.525879745372</v>
      </c>
      <c r="B1215" s="2" t="s">
        <v>20</v>
      </c>
      <c r="C1215" s="22" t="s">
        <v>258</v>
      </c>
      <c r="D1215" s="28" t="s">
        <v>95</v>
      </c>
      <c r="E1215" s="18" t="s">
        <v>286</v>
      </c>
      <c r="F1215" s="102" t="str">
        <f t="shared" si="50"/>
        <v>EUB09D700832</v>
      </c>
      <c r="G1215" s="2"/>
      <c r="H1215" s="22">
        <v>1</v>
      </c>
    </row>
    <row r="1216" spans="1:8" x14ac:dyDescent="0.25">
      <c r="A1216" s="14">
        <v>44974.494924074075</v>
      </c>
      <c r="B1216" s="2" t="s">
        <v>8</v>
      </c>
      <c r="C1216" s="21" t="s">
        <v>257</v>
      </c>
      <c r="D1216" s="28" t="s">
        <v>95</v>
      </c>
      <c r="E1216" s="13" t="s">
        <v>267</v>
      </c>
      <c r="F1216" s="102" t="str">
        <f t="shared" si="50"/>
        <v>EUB09D700744</v>
      </c>
      <c r="G1216" s="2">
        <v>1855</v>
      </c>
      <c r="H1216" s="22">
        <v>1</v>
      </c>
    </row>
    <row r="1217" spans="1:8" x14ac:dyDescent="0.25">
      <c r="A1217" s="14">
        <v>44974.494626041669</v>
      </c>
      <c r="B1217" s="2" t="s">
        <v>78</v>
      </c>
      <c r="C1217" s="21" t="s">
        <v>256</v>
      </c>
      <c r="D1217" s="28" t="s">
        <v>95</v>
      </c>
      <c r="E1217" s="13" t="s">
        <v>281</v>
      </c>
      <c r="F1217" s="102" t="str">
        <f t="shared" si="50"/>
        <v>PTP200R239152</v>
      </c>
      <c r="G1217" s="2"/>
      <c r="H1217" s="22">
        <v>1</v>
      </c>
    </row>
    <row r="1218" spans="1:8" x14ac:dyDescent="0.25">
      <c r="A1218" s="14">
        <v>44974.493424421293</v>
      </c>
      <c r="B1218" s="2" t="s">
        <v>142</v>
      </c>
      <c r="C1218" s="45" t="s">
        <v>255</v>
      </c>
      <c r="D1218" s="28" t="s">
        <v>95</v>
      </c>
      <c r="E1218" s="13" t="s">
        <v>266</v>
      </c>
      <c r="F1218" s="102" t="str">
        <f t="shared" si="50"/>
        <v>LO20N2RCB13B00112</v>
      </c>
      <c r="G1218" s="4">
        <v>773</v>
      </c>
      <c r="H1218" s="22">
        <v>2</v>
      </c>
    </row>
    <row r="1219" spans="1:8" x14ac:dyDescent="0.25">
      <c r="A1219" s="14">
        <v>44974.328156944444</v>
      </c>
      <c r="B1219" s="2" t="s">
        <v>79</v>
      </c>
      <c r="C1219" s="21" t="s">
        <v>251</v>
      </c>
      <c r="D1219" s="28" t="s">
        <v>95</v>
      </c>
      <c r="E1219" s="13" t="s">
        <v>242</v>
      </c>
      <c r="F1219" s="102" t="str">
        <f t="shared" si="50"/>
        <v>PTP200R239153</v>
      </c>
      <c r="G1219" s="4">
        <v>705</v>
      </c>
      <c r="H1219" s="22">
        <v>1</v>
      </c>
    </row>
    <row r="1220" spans="1:8" x14ac:dyDescent="0.25">
      <c r="A1220" s="14">
        <v>44974.328156944444</v>
      </c>
      <c r="B1220" s="2" t="s">
        <v>79</v>
      </c>
      <c r="C1220" s="21" t="s">
        <v>251</v>
      </c>
      <c r="D1220" s="28" t="s">
        <v>95</v>
      </c>
      <c r="E1220" s="18" t="s">
        <v>252</v>
      </c>
      <c r="F1220" s="102" t="str">
        <f t="shared" si="50"/>
        <v>PTP200R239153</v>
      </c>
      <c r="G1220" s="4">
        <v>697</v>
      </c>
      <c r="H1220" s="22">
        <v>1</v>
      </c>
    </row>
    <row r="1221" spans="1:8" x14ac:dyDescent="0.25">
      <c r="A1221" s="14">
        <v>44974.328156944444</v>
      </c>
      <c r="B1221" s="2" t="s">
        <v>77</v>
      </c>
      <c r="C1221" s="22" t="s">
        <v>251</v>
      </c>
      <c r="D1221" s="28" t="s">
        <v>95</v>
      </c>
      <c r="E1221" s="18" t="s">
        <v>253</v>
      </c>
      <c r="F1221" s="102" t="str">
        <f t="shared" si="50"/>
        <v>PTP200R239151</v>
      </c>
      <c r="G1221" s="2">
        <v>113</v>
      </c>
      <c r="H1221" s="21">
        <v>1</v>
      </c>
    </row>
    <row r="1222" spans="1:8" x14ac:dyDescent="0.25">
      <c r="A1222" s="14">
        <v>44974.328156944444</v>
      </c>
      <c r="B1222" s="2" t="s">
        <v>25</v>
      </c>
      <c r="C1222" s="22" t="s">
        <v>249</v>
      </c>
      <c r="D1222" s="28" t="s">
        <v>95</v>
      </c>
      <c r="E1222" s="18" t="s">
        <v>250</v>
      </c>
      <c r="F1222" s="102" t="str">
        <f t="shared" ref="F1222:F1253" si="51">IFERROR(VLOOKUP(B1222,targlist02,3,0),"Nincs Adat")</f>
        <v>EUB09D700741</v>
      </c>
      <c r="G1222" s="2">
        <v>458</v>
      </c>
      <c r="H1222" s="21">
        <v>2</v>
      </c>
    </row>
    <row r="1223" spans="1:8" x14ac:dyDescent="0.25">
      <c r="A1223" s="14">
        <v>44974.328156944444</v>
      </c>
      <c r="B1223" s="2" t="s">
        <v>17</v>
      </c>
      <c r="C1223" s="22" t="s">
        <v>247</v>
      </c>
      <c r="D1223" s="28" t="s">
        <v>95</v>
      </c>
      <c r="E1223" s="18" t="s">
        <v>248</v>
      </c>
      <c r="F1223" s="102" t="str">
        <f t="shared" si="51"/>
        <v>EUB09D700852</v>
      </c>
      <c r="G1223" s="2">
        <v>1748</v>
      </c>
      <c r="H1223" s="21">
        <v>1</v>
      </c>
    </row>
    <row r="1224" spans="1:8" x14ac:dyDescent="0.25">
      <c r="A1224" s="14">
        <v>44971.591657523146</v>
      </c>
      <c r="B1224" s="2" t="s">
        <v>80</v>
      </c>
      <c r="C1224" s="22" t="s">
        <v>301</v>
      </c>
      <c r="D1224" s="28" t="s">
        <v>95</v>
      </c>
      <c r="E1224" s="18" t="s">
        <v>246</v>
      </c>
      <c r="F1224" s="102" t="str">
        <f t="shared" si="51"/>
        <v>PTP200R239154</v>
      </c>
      <c r="G1224" s="22">
        <v>837</v>
      </c>
      <c r="H1224" s="21">
        <v>3</v>
      </c>
    </row>
    <row r="1225" spans="1:8" ht="30" x14ac:dyDescent="0.25">
      <c r="A1225" s="14">
        <v>44971.58869571759</v>
      </c>
      <c r="B1225" s="2" t="s">
        <v>66</v>
      </c>
      <c r="C1225" s="35" t="s">
        <v>241</v>
      </c>
      <c r="D1225" s="28" t="s">
        <v>95</v>
      </c>
      <c r="E1225" s="18" t="s">
        <v>240</v>
      </c>
      <c r="F1225" s="102" t="str">
        <f t="shared" si="51"/>
        <v>Nincs Adat</v>
      </c>
      <c r="G1225" s="22"/>
      <c r="H1225" s="21">
        <v>1</v>
      </c>
    </row>
    <row r="1226" spans="1:8" x14ac:dyDescent="0.25">
      <c r="A1226" s="14">
        <v>44970</v>
      </c>
      <c r="B1226" s="2" t="s">
        <v>20</v>
      </c>
      <c r="C1226" s="22" t="s">
        <v>368</v>
      </c>
      <c r="D1226" s="28" t="s">
        <v>95</v>
      </c>
      <c r="E1226" s="13" t="s">
        <v>369</v>
      </c>
      <c r="F1226" s="2" t="str">
        <f t="shared" si="51"/>
        <v>EUB09D700832</v>
      </c>
      <c r="G1226" s="2">
        <v>1644</v>
      </c>
      <c r="H1226" s="21">
        <v>1</v>
      </c>
    </row>
    <row r="1227" spans="1:8" x14ac:dyDescent="0.25">
      <c r="A1227" s="14">
        <v>44965.609234953707</v>
      </c>
      <c r="B1227" s="2" t="s">
        <v>153</v>
      </c>
      <c r="C1227" s="22" t="s">
        <v>238</v>
      </c>
      <c r="D1227" s="28" t="s">
        <v>95</v>
      </c>
      <c r="E1227" s="13" t="s">
        <v>259</v>
      </c>
      <c r="F1227" s="102" t="str">
        <f t="shared" si="51"/>
        <v>Nincs Adat</v>
      </c>
      <c r="G1227" s="2">
        <v>80</v>
      </c>
      <c r="H1227" s="21">
        <v>1</v>
      </c>
    </row>
    <row r="1228" spans="1:8" ht="30" x14ac:dyDescent="0.25">
      <c r="A1228" s="14">
        <v>44965.414004166669</v>
      </c>
      <c r="B1228" s="2" t="s">
        <v>80</v>
      </c>
      <c r="C1228" s="36" t="s">
        <v>244</v>
      </c>
      <c r="D1228" s="28" t="s">
        <v>95</v>
      </c>
      <c r="E1228" s="13" t="s">
        <v>245</v>
      </c>
      <c r="F1228" s="102" t="str">
        <f t="shared" si="51"/>
        <v>PTP200R239154</v>
      </c>
      <c r="G1228" s="2">
        <v>835</v>
      </c>
      <c r="H1228" s="21">
        <v>1</v>
      </c>
    </row>
    <row r="1229" spans="1:8" x14ac:dyDescent="0.25">
      <c r="A1229" s="14">
        <v>44965.414004166669</v>
      </c>
      <c r="B1229" s="2" t="s">
        <v>79</v>
      </c>
      <c r="C1229" s="21" t="s">
        <v>237</v>
      </c>
      <c r="D1229" s="28" t="s">
        <v>95</v>
      </c>
      <c r="E1229" s="13" t="s">
        <v>242</v>
      </c>
      <c r="F1229" s="102" t="str">
        <f t="shared" si="51"/>
        <v>PTP200R239153</v>
      </c>
      <c r="G1229" s="2">
        <v>705</v>
      </c>
      <c r="H1229" s="21">
        <v>1</v>
      </c>
    </row>
    <row r="1230" spans="1:8" x14ac:dyDescent="0.25">
      <c r="A1230" s="14">
        <v>44964.453621412038</v>
      </c>
      <c r="B1230" s="2" t="s">
        <v>77</v>
      </c>
      <c r="C1230" s="21" t="s">
        <v>360</v>
      </c>
      <c r="D1230" s="28" t="s">
        <v>95</v>
      </c>
      <c r="E1230" s="18" t="s">
        <v>243</v>
      </c>
      <c r="F1230" s="102" t="str">
        <f t="shared" si="51"/>
        <v>PTP200R239151</v>
      </c>
      <c r="G1230" s="22">
        <v>113</v>
      </c>
      <c r="H1230" s="21">
        <v>2</v>
      </c>
    </row>
    <row r="1231" spans="1:8" x14ac:dyDescent="0.25">
      <c r="A1231" s="14">
        <v>44964.446020254632</v>
      </c>
      <c r="B1231" s="2" t="s">
        <v>19</v>
      </c>
      <c r="C1231" s="21" t="s">
        <v>239</v>
      </c>
      <c r="D1231" s="28" t="s">
        <v>95</v>
      </c>
      <c r="F1231" s="102" t="str">
        <f t="shared" si="51"/>
        <v>EUB09D700836</v>
      </c>
      <c r="G1231" s="22"/>
      <c r="H1231" s="21">
        <v>0</v>
      </c>
    </row>
    <row r="1232" spans="1:8" x14ac:dyDescent="0.25">
      <c r="A1232" s="14">
        <v>44964.333238888888</v>
      </c>
      <c r="B1232" s="2" t="s">
        <v>79</v>
      </c>
      <c r="C1232" s="21" t="s">
        <v>231</v>
      </c>
      <c r="D1232" s="28" t="s">
        <v>95</v>
      </c>
      <c r="E1232" s="13" t="s">
        <v>232</v>
      </c>
      <c r="F1232" s="102" t="str">
        <f t="shared" si="51"/>
        <v>PTP200R239153</v>
      </c>
      <c r="G1232" s="22">
        <v>690</v>
      </c>
      <c r="H1232" s="21">
        <v>2</v>
      </c>
    </row>
    <row r="1233" spans="1:8" x14ac:dyDescent="0.25">
      <c r="A1233" s="14">
        <v>44964.333238888888</v>
      </c>
      <c r="B1233" s="2" t="s">
        <v>78</v>
      </c>
      <c r="C1233" s="22" t="s">
        <v>229</v>
      </c>
      <c r="D1233" s="28" t="s">
        <v>95</v>
      </c>
      <c r="E1233" s="18" t="s">
        <v>230</v>
      </c>
      <c r="F1233" s="102" t="str">
        <f t="shared" si="51"/>
        <v>PTP200R239152</v>
      </c>
      <c r="G1233" s="22">
        <v>710</v>
      </c>
      <c r="H1233" s="21">
        <v>1</v>
      </c>
    </row>
    <row r="1234" spans="1:8" x14ac:dyDescent="0.25">
      <c r="A1234" s="14">
        <v>44964.333238888888</v>
      </c>
      <c r="B1234" s="2" t="s">
        <v>49</v>
      </c>
      <c r="C1234" s="22" t="s">
        <v>149</v>
      </c>
      <c r="D1234" s="28" t="s">
        <v>95</v>
      </c>
      <c r="E1234" s="18" t="s">
        <v>228</v>
      </c>
      <c r="F1234" s="102" t="str">
        <f t="shared" si="51"/>
        <v>Nincs Adat</v>
      </c>
      <c r="G1234" s="22"/>
      <c r="H1234" s="21">
        <v>0</v>
      </c>
    </row>
    <row r="1235" spans="1:8" x14ac:dyDescent="0.25">
      <c r="A1235" s="14">
        <v>44964.333238888888</v>
      </c>
      <c r="B1235" s="2" t="s">
        <v>71</v>
      </c>
      <c r="C1235" s="22" t="s">
        <v>149</v>
      </c>
      <c r="D1235" s="28" t="s">
        <v>95</v>
      </c>
      <c r="E1235" s="18" t="s">
        <v>228</v>
      </c>
      <c r="F1235" s="102" t="str">
        <f t="shared" si="51"/>
        <v>Nincs Adat</v>
      </c>
      <c r="G1235" s="22"/>
      <c r="H1235" s="21">
        <v>0</v>
      </c>
    </row>
    <row r="1236" spans="1:8" x14ac:dyDescent="0.25">
      <c r="A1236" s="14">
        <v>44964.333238888888</v>
      </c>
      <c r="B1236" s="2" t="s">
        <v>53</v>
      </c>
      <c r="C1236" s="22" t="s">
        <v>149</v>
      </c>
      <c r="D1236" s="28" t="s">
        <v>95</v>
      </c>
      <c r="E1236" s="18" t="s">
        <v>228</v>
      </c>
      <c r="F1236" s="102" t="str">
        <f t="shared" si="51"/>
        <v>Nincs Adat</v>
      </c>
      <c r="G1236" s="22"/>
      <c r="H1236" s="21">
        <v>0</v>
      </c>
    </row>
    <row r="1237" spans="1:8" x14ac:dyDescent="0.25">
      <c r="A1237" s="14">
        <v>44964.333238888888</v>
      </c>
      <c r="B1237" s="2" t="s">
        <v>30</v>
      </c>
      <c r="C1237" s="22" t="s">
        <v>149</v>
      </c>
      <c r="D1237" s="28" t="s">
        <v>95</v>
      </c>
      <c r="E1237" s="18" t="s">
        <v>228</v>
      </c>
      <c r="F1237" s="102" t="str">
        <f t="shared" si="51"/>
        <v>Nincs Adat</v>
      </c>
      <c r="G1237" s="22"/>
      <c r="H1237" s="21">
        <v>0</v>
      </c>
    </row>
    <row r="1238" spans="1:8" x14ac:dyDescent="0.25">
      <c r="A1238" s="14">
        <v>44964.333238888888</v>
      </c>
      <c r="B1238" s="2" t="s">
        <v>34</v>
      </c>
      <c r="C1238" s="22" t="s">
        <v>149</v>
      </c>
      <c r="D1238" s="28" t="s">
        <v>95</v>
      </c>
      <c r="E1238" s="18" t="s">
        <v>228</v>
      </c>
      <c r="F1238" s="102" t="str">
        <f t="shared" si="51"/>
        <v>Nincs Adat</v>
      </c>
      <c r="G1238" s="22"/>
      <c r="H1238" s="21">
        <v>0</v>
      </c>
    </row>
    <row r="1239" spans="1:8" x14ac:dyDescent="0.25">
      <c r="A1239" s="14">
        <v>44964.333238888888</v>
      </c>
      <c r="B1239" s="2" t="s">
        <v>60</v>
      </c>
      <c r="C1239" s="22" t="s">
        <v>149</v>
      </c>
      <c r="D1239" s="28" t="s">
        <v>95</v>
      </c>
      <c r="E1239" s="18" t="s">
        <v>228</v>
      </c>
      <c r="F1239" s="102" t="str">
        <f t="shared" si="51"/>
        <v>Nincs Adat</v>
      </c>
      <c r="G1239" s="22"/>
      <c r="H1239" s="21">
        <v>0</v>
      </c>
    </row>
    <row r="1240" spans="1:8" x14ac:dyDescent="0.25">
      <c r="A1240" s="14">
        <v>44964.333238888888</v>
      </c>
      <c r="B1240" s="2" t="s">
        <v>56</v>
      </c>
      <c r="C1240" s="22" t="s">
        <v>149</v>
      </c>
      <c r="D1240" s="28" t="s">
        <v>95</v>
      </c>
      <c r="E1240" s="18" t="s">
        <v>228</v>
      </c>
      <c r="F1240" s="102" t="str">
        <f t="shared" si="51"/>
        <v>Nincs Adat</v>
      </c>
      <c r="G1240" s="22"/>
      <c r="H1240" s="21">
        <v>7</v>
      </c>
    </row>
    <row r="1241" spans="1:8" x14ac:dyDescent="0.25">
      <c r="A1241" s="14">
        <v>44964.333238888888</v>
      </c>
      <c r="B1241" s="2" t="s">
        <v>12</v>
      </c>
      <c r="C1241" s="22" t="s">
        <v>226</v>
      </c>
      <c r="D1241" s="28" t="s">
        <v>95</v>
      </c>
      <c r="E1241" s="18" t="s">
        <v>227</v>
      </c>
      <c r="F1241" s="102" t="str">
        <f t="shared" si="51"/>
        <v>EUB09D700267</v>
      </c>
      <c r="G1241" s="22">
        <v>507</v>
      </c>
      <c r="H1241" s="229">
        <v>1</v>
      </c>
    </row>
    <row r="1242" spans="1:8" x14ac:dyDescent="0.25">
      <c r="A1242" s="14">
        <v>44964.333238888888</v>
      </c>
      <c r="B1242" s="2" t="s">
        <v>25</v>
      </c>
      <c r="C1242" s="22" t="s">
        <v>224</v>
      </c>
      <c r="D1242" s="28" t="s">
        <v>95</v>
      </c>
      <c r="E1242" s="18" t="s">
        <v>225</v>
      </c>
      <c r="F1242" s="102" t="str">
        <f t="shared" si="51"/>
        <v>EUB09D700741</v>
      </c>
      <c r="G1242" s="22">
        <v>378</v>
      </c>
      <c r="H1242" s="21">
        <v>1</v>
      </c>
    </row>
    <row r="1243" spans="1:8" x14ac:dyDescent="0.25">
      <c r="A1243" s="14">
        <v>44958.493484953702</v>
      </c>
      <c r="B1243" s="2" t="s">
        <v>158</v>
      </c>
      <c r="C1243" s="22" t="s">
        <v>219</v>
      </c>
      <c r="D1243" s="28" t="s">
        <v>95</v>
      </c>
      <c r="E1243" s="18" t="s">
        <v>221</v>
      </c>
      <c r="F1243" s="102" t="str">
        <f t="shared" si="51"/>
        <v>F24537B00022</v>
      </c>
      <c r="G1243" s="22">
        <v>2725</v>
      </c>
      <c r="H1243" s="21">
        <v>2</v>
      </c>
    </row>
    <row r="1244" spans="1:8" ht="90" x14ac:dyDescent="0.25">
      <c r="A1244" s="29">
        <v>44958.493331712962</v>
      </c>
      <c r="B1244" s="4" t="s">
        <v>157</v>
      </c>
      <c r="C1244" s="22" t="s">
        <v>218</v>
      </c>
      <c r="D1244" s="28" t="s">
        <v>95</v>
      </c>
      <c r="E1244" s="571" t="s">
        <v>233</v>
      </c>
      <c r="F1244" s="102" t="str">
        <f t="shared" si="51"/>
        <v>F24537B00021</v>
      </c>
      <c r="G1244" s="22"/>
      <c r="H1244" s="21"/>
    </row>
    <row r="1245" spans="1:8" x14ac:dyDescent="0.25">
      <c r="A1245" s="3">
        <v>44957.607435185186</v>
      </c>
      <c r="B1245" s="2" t="s">
        <v>21</v>
      </c>
      <c r="C1245" s="21" t="s">
        <v>173</v>
      </c>
      <c r="D1245" s="28" t="s">
        <v>95</v>
      </c>
      <c r="E1245" s="13" t="s">
        <v>223</v>
      </c>
      <c r="F1245" s="102" t="str">
        <f t="shared" si="51"/>
        <v>EUB09D700842</v>
      </c>
      <c r="G1245" s="21">
        <v>1155</v>
      </c>
      <c r="H1245" s="21">
        <v>2</v>
      </c>
    </row>
    <row r="1246" spans="1:8" x14ac:dyDescent="0.25">
      <c r="A1246" s="3">
        <v>44956.426960416669</v>
      </c>
      <c r="B1246" s="2" t="s">
        <v>6</v>
      </c>
      <c r="C1246" s="21" t="s">
        <v>216</v>
      </c>
      <c r="D1246" s="28" t="s">
        <v>95</v>
      </c>
      <c r="E1246" s="13" t="s">
        <v>235</v>
      </c>
      <c r="F1246" s="102" t="str">
        <f t="shared" si="51"/>
        <v>EUB09D700742</v>
      </c>
      <c r="G1246" s="21"/>
      <c r="H1246" s="21"/>
    </row>
    <row r="1247" spans="1:8" x14ac:dyDescent="0.25">
      <c r="A1247" s="14">
        <v>44956.356326388886</v>
      </c>
      <c r="B1247" s="2" t="s">
        <v>77</v>
      </c>
      <c r="C1247" s="22" t="s">
        <v>217</v>
      </c>
      <c r="D1247" s="28" t="s">
        <v>95</v>
      </c>
      <c r="E1247" s="18" t="s">
        <v>222</v>
      </c>
      <c r="F1247" s="102" t="str">
        <f t="shared" si="51"/>
        <v>PTP200R239151</v>
      </c>
      <c r="G1247" s="22">
        <v>109</v>
      </c>
      <c r="H1247" s="21">
        <v>1</v>
      </c>
    </row>
    <row r="1248" spans="1:8" x14ac:dyDescent="0.25">
      <c r="A1248" s="14">
        <v>44955.608960879632</v>
      </c>
      <c r="B1248" s="2" t="s">
        <v>157</v>
      </c>
      <c r="C1248" s="35" t="s">
        <v>300</v>
      </c>
      <c r="D1248" s="28" t="s">
        <v>95</v>
      </c>
      <c r="E1248" s="18" t="s">
        <v>215</v>
      </c>
      <c r="F1248" s="102" t="str">
        <f t="shared" si="51"/>
        <v>F24537B00021</v>
      </c>
      <c r="G1248" s="22">
        <v>5462</v>
      </c>
      <c r="H1248" s="21">
        <v>2</v>
      </c>
    </row>
    <row r="1249" spans="1:11" x14ac:dyDescent="0.25">
      <c r="A1249" s="14">
        <v>44955.607833101851</v>
      </c>
      <c r="B1249" s="2" t="s">
        <v>212</v>
      </c>
      <c r="C1249" s="22" t="s">
        <v>213</v>
      </c>
      <c r="D1249" s="28" t="s">
        <v>95</v>
      </c>
      <c r="E1249" s="18" t="s">
        <v>214</v>
      </c>
      <c r="F1249" s="102" t="str">
        <f t="shared" si="51"/>
        <v>Nincs Adat</v>
      </c>
      <c r="G1249" s="22"/>
      <c r="H1249" s="21">
        <v>3</v>
      </c>
    </row>
    <row r="1250" spans="1:11" x14ac:dyDescent="0.25">
      <c r="A1250" s="14">
        <v>44955.605423958332</v>
      </c>
      <c r="B1250" s="2" t="s">
        <v>18</v>
      </c>
      <c r="C1250" s="22" t="s">
        <v>209</v>
      </c>
      <c r="D1250" s="28" t="s">
        <v>95</v>
      </c>
      <c r="E1250" s="18" t="s">
        <v>208</v>
      </c>
      <c r="F1250" s="102" t="str">
        <f t="shared" si="51"/>
        <v>EUB09D700992</v>
      </c>
      <c r="G1250" s="22">
        <v>1963</v>
      </c>
      <c r="H1250" s="21">
        <v>2</v>
      </c>
    </row>
    <row r="1251" spans="1:11" x14ac:dyDescent="0.25">
      <c r="A1251" s="14">
        <v>44951.341099537036</v>
      </c>
      <c r="B1251" s="2" t="s">
        <v>17</v>
      </c>
      <c r="C1251" s="22" t="s">
        <v>202</v>
      </c>
      <c r="D1251" s="28" t="s">
        <v>95</v>
      </c>
      <c r="E1251" s="18" t="s">
        <v>203</v>
      </c>
      <c r="F1251" s="102" t="str">
        <f t="shared" si="51"/>
        <v>EUB09D700852</v>
      </c>
      <c r="G1251" s="42">
        <v>1563</v>
      </c>
      <c r="H1251" s="21">
        <v>2</v>
      </c>
    </row>
    <row r="1252" spans="1:11" x14ac:dyDescent="0.25">
      <c r="A1252" s="14">
        <v>44950.55785138889</v>
      </c>
      <c r="B1252" s="2" t="s">
        <v>18</v>
      </c>
      <c r="C1252" s="22" t="s">
        <v>211</v>
      </c>
      <c r="D1252" s="28" t="s">
        <v>95</v>
      </c>
      <c r="E1252" s="18" t="s">
        <v>206</v>
      </c>
      <c r="F1252" s="102" t="str">
        <f t="shared" si="51"/>
        <v>EUB09D700992</v>
      </c>
      <c r="G1252" s="22">
        <v>1994</v>
      </c>
      <c r="H1252" s="21">
        <v>1</v>
      </c>
    </row>
    <row r="1253" spans="1:11" x14ac:dyDescent="0.25">
      <c r="A1253" s="14">
        <v>44949.612853935185</v>
      </c>
      <c r="B1253" s="2" t="s">
        <v>9</v>
      </c>
      <c r="C1253" s="22" t="s">
        <v>200</v>
      </c>
      <c r="D1253" s="28" t="s">
        <v>95</v>
      </c>
      <c r="E1253" s="18" t="s">
        <v>234</v>
      </c>
      <c r="F1253" s="102" t="str">
        <f t="shared" si="51"/>
        <v>EUB09D700745</v>
      </c>
      <c r="G1253" s="22"/>
      <c r="H1253" s="21"/>
    </row>
    <row r="1254" spans="1:11" x14ac:dyDescent="0.25">
      <c r="A1254" s="14">
        <v>44949.445166898149</v>
      </c>
      <c r="B1254" s="2" t="s">
        <v>11</v>
      </c>
      <c r="C1254" s="22" t="s">
        <v>205</v>
      </c>
      <c r="D1254" s="28" t="s">
        <v>95</v>
      </c>
      <c r="E1254" s="18" t="s">
        <v>204</v>
      </c>
      <c r="F1254" s="102" t="str">
        <f t="shared" ref="F1254:F1285" si="52">IFERROR(VLOOKUP(B1254,targlist02,3,0),"Nincs Adat")</f>
        <v>EUB09D700850</v>
      </c>
      <c r="G1254" s="22">
        <v>1664</v>
      </c>
      <c r="H1254" s="21">
        <v>3</v>
      </c>
    </row>
    <row r="1255" spans="1:11" x14ac:dyDescent="0.25">
      <c r="A1255" s="14">
        <v>44946.582812384258</v>
      </c>
      <c r="B1255" s="2" t="s">
        <v>80</v>
      </c>
      <c r="C1255" s="22" t="s">
        <v>197</v>
      </c>
      <c r="D1255" s="28" t="s">
        <v>95</v>
      </c>
      <c r="E1255" s="18" t="s">
        <v>210</v>
      </c>
      <c r="F1255" s="102" t="str">
        <f t="shared" si="52"/>
        <v>PTP200R239154</v>
      </c>
      <c r="G1255" s="22">
        <v>782</v>
      </c>
      <c r="H1255" s="21">
        <v>1</v>
      </c>
    </row>
    <row r="1256" spans="1:11" x14ac:dyDescent="0.25">
      <c r="A1256" s="14">
        <v>44946.456085300924</v>
      </c>
      <c r="B1256" s="2" t="s">
        <v>194</v>
      </c>
      <c r="C1256" s="22" t="s">
        <v>195</v>
      </c>
      <c r="D1256" s="28" t="s">
        <v>95</v>
      </c>
      <c r="E1256" s="18" t="s">
        <v>201</v>
      </c>
      <c r="F1256" s="102" t="str">
        <f t="shared" si="52"/>
        <v>PDP-242697</v>
      </c>
      <c r="G1256" s="22"/>
      <c r="H1256" s="21">
        <v>1</v>
      </c>
    </row>
    <row r="1257" spans="1:11" x14ac:dyDescent="0.25">
      <c r="A1257" s="14">
        <v>44944</v>
      </c>
      <c r="B1257" s="2" t="s">
        <v>157</v>
      </c>
      <c r="C1257" s="22" t="s">
        <v>192</v>
      </c>
      <c r="D1257" s="28" t="s">
        <v>95</v>
      </c>
      <c r="E1257" s="18" t="s">
        <v>193</v>
      </c>
      <c r="F1257" s="102" t="str">
        <f t="shared" si="52"/>
        <v>F24537B00021</v>
      </c>
      <c r="G1257" s="22">
        <v>5455</v>
      </c>
      <c r="H1257" s="21">
        <v>1</v>
      </c>
    </row>
    <row r="1258" spans="1:11" x14ac:dyDescent="0.25">
      <c r="A1258" s="14">
        <v>44944</v>
      </c>
      <c r="B1258" s="2" t="s">
        <v>18</v>
      </c>
      <c r="C1258" s="22" t="s">
        <v>189</v>
      </c>
      <c r="D1258" s="28" t="s">
        <v>95</v>
      </c>
      <c r="E1258" s="18" t="s">
        <v>198</v>
      </c>
      <c r="F1258" s="102" t="str">
        <f t="shared" si="52"/>
        <v>EUB09D700992</v>
      </c>
      <c r="G1258" s="22">
        <v>1963</v>
      </c>
      <c r="H1258" s="21">
        <v>2</v>
      </c>
    </row>
    <row r="1259" spans="1:11" x14ac:dyDescent="0.25">
      <c r="A1259" s="14">
        <v>44942</v>
      </c>
      <c r="B1259" s="4" t="s">
        <v>184</v>
      </c>
      <c r="C1259" s="22" t="s">
        <v>185</v>
      </c>
      <c r="D1259" s="28" t="s">
        <v>95</v>
      </c>
      <c r="E1259" s="18" t="s">
        <v>196</v>
      </c>
      <c r="F1259" s="102" t="str">
        <f t="shared" si="52"/>
        <v>Nincs Adat</v>
      </c>
      <c r="G1259" s="22"/>
      <c r="H1259" s="21">
        <v>1</v>
      </c>
    </row>
    <row r="1260" spans="1:11" x14ac:dyDescent="0.25">
      <c r="A1260" s="14">
        <v>44942</v>
      </c>
      <c r="B1260" s="4" t="s">
        <v>77</v>
      </c>
      <c r="C1260" s="22" t="s">
        <v>188</v>
      </c>
      <c r="D1260" s="28" t="s">
        <v>95</v>
      </c>
      <c r="E1260" s="18" t="s">
        <v>187</v>
      </c>
      <c r="F1260" s="102" t="str">
        <f t="shared" si="52"/>
        <v>PTP200R239151</v>
      </c>
      <c r="G1260" s="22">
        <v>93</v>
      </c>
      <c r="H1260" s="21">
        <v>0.5</v>
      </c>
    </row>
    <row r="1261" spans="1:11" x14ac:dyDescent="0.25">
      <c r="A1261" s="15">
        <v>44942</v>
      </c>
      <c r="B1261" s="2" t="s">
        <v>77</v>
      </c>
      <c r="C1261" s="22" t="s">
        <v>179</v>
      </c>
      <c r="D1261" s="28" t="s">
        <v>95</v>
      </c>
      <c r="E1261" s="10" t="s">
        <v>187</v>
      </c>
      <c r="F1261" s="102" t="str">
        <f t="shared" si="52"/>
        <v>PTP200R239151</v>
      </c>
      <c r="G1261" s="22">
        <v>93</v>
      </c>
      <c r="H1261" s="21">
        <v>0.5</v>
      </c>
      <c r="I1261" s="30"/>
      <c r="J1261" s="565"/>
      <c r="K1261" s="30"/>
    </row>
    <row r="1262" spans="1:11" x14ac:dyDescent="0.25">
      <c r="A1262" s="15">
        <v>44942</v>
      </c>
      <c r="B1262" s="2" t="s">
        <v>21</v>
      </c>
      <c r="C1262" s="21" t="s">
        <v>186</v>
      </c>
      <c r="D1262" s="28" t="s">
        <v>95</v>
      </c>
      <c r="E1262" s="10" t="s">
        <v>191</v>
      </c>
      <c r="F1262" s="102" t="str">
        <f t="shared" si="52"/>
        <v>EUB09D700842</v>
      </c>
      <c r="G1262" s="21"/>
      <c r="H1262" s="21"/>
    </row>
    <row r="1263" spans="1:11" x14ac:dyDescent="0.25">
      <c r="A1263" s="15">
        <v>44939</v>
      </c>
      <c r="B1263" s="2" t="s">
        <v>78</v>
      </c>
      <c r="C1263" s="21" t="s">
        <v>179</v>
      </c>
      <c r="D1263" s="28" t="s">
        <v>95</v>
      </c>
      <c r="E1263" s="10" t="s">
        <v>182</v>
      </c>
      <c r="F1263" s="102" t="str">
        <f t="shared" si="52"/>
        <v>PTP200R239152</v>
      </c>
      <c r="G1263" s="21">
        <v>665</v>
      </c>
      <c r="H1263" s="21">
        <v>2</v>
      </c>
    </row>
    <row r="1264" spans="1:11" ht="30" x14ac:dyDescent="0.25">
      <c r="A1264" s="15">
        <v>44939</v>
      </c>
      <c r="B1264" s="2" t="s">
        <v>2</v>
      </c>
      <c r="C1264" s="21" t="s">
        <v>180</v>
      </c>
      <c r="D1264" s="28" t="s">
        <v>95</v>
      </c>
      <c r="E1264" s="20" t="s">
        <v>183</v>
      </c>
      <c r="F1264" s="102" t="str">
        <f t="shared" si="52"/>
        <v>JA2N1E700427</v>
      </c>
      <c r="G1264" s="21"/>
      <c r="H1264" s="21"/>
    </row>
    <row r="1265" spans="1:8" x14ac:dyDescent="0.25">
      <c r="A1265" s="15">
        <v>44939</v>
      </c>
      <c r="B1265" s="2" t="s">
        <v>58</v>
      </c>
      <c r="C1265" s="21" t="s">
        <v>181</v>
      </c>
      <c r="D1265" s="28" t="s">
        <v>95</v>
      </c>
      <c r="E1265" s="10" t="s">
        <v>268</v>
      </c>
      <c r="F1265" s="102" t="str">
        <f t="shared" si="52"/>
        <v>Nincs Adat</v>
      </c>
      <c r="G1265" s="21"/>
      <c r="H1265" s="21"/>
    </row>
    <row r="1266" spans="1:8" x14ac:dyDescent="0.25">
      <c r="A1266" s="15">
        <v>44938</v>
      </c>
      <c r="B1266" s="2" t="s">
        <v>7</v>
      </c>
      <c r="C1266" s="21" t="s">
        <v>178</v>
      </c>
      <c r="D1266" s="28" t="s">
        <v>95</v>
      </c>
      <c r="E1266" s="10"/>
      <c r="F1266" s="102" t="str">
        <f t="shared" si="52"/>
        <v>EUB09D700743</v>
      </c>
      <c r="G1266" s="23"/>
      <c r="H1266" s="21"/>
    </row>
    <row r="1267" spans="1:8" x14ac:dyDescent="0.25">
      <c r="A1267" s="15">
        <v>44938</v>
      </c>
      <c r="B1267" s="2" t="s">
        <v>157</v>
      </c>
      <c r="C1267" s="21" t="s">
        <v>177</v>
      </c>
      <c r="D1267" s="28" t="s">
        <v>95</v>
      </c>
      <c r="E1267" s="10" t="s">
        <v>199</v>
      </c>
      <c r="F1267" s="102" t="str">
        <f t="shared" si="52"/>
        <v>F24537B00021</v>
      </c>
      <c r="G1267" s="21">
        <v>1240</v>
      </c>
      <c r="H1267" s="21" t="s">
        <v>1047</v>
      </c>
    </row>
    <row r="1268" spans="1:8" x14ac:dyDescent="0.25">
      <c r="A1268" s="15">
        <v>44935</v>
      </c>
      <c r="B1268" s="2" t="s">
        <v>110</v>
      </c>
      <c r="C1268" s="21" t="s">
        <v>167</v>
      </c>
      <c r="D1268" s="28" t="s">
        <v>95</v>
      </c>
      <c r="E1268" s="10" t="s">
        <v>236</v>
      </c>
      <c r="F1268" s="102" t="str">
        <f t="shared" si="52"/>
        <v>Nincs Adat</v>
      </c>
      <c r="G1268" s="21"/>
      <c r="H1268" s="21"/>
    </row>
    <row r="1269" spans="1:8" x14ac:dyDescent="0.25">
      <c r="A1269" s="15">
        <v>44935</v>
      </c>
      <c r="B1269" s="2" t="s">
        <v>20</v>
      </c>
      <c r="C1269" s="36" t="s">
        <v>168</v>
      </c>
      <c r="D1269" s="28" t="s">
        <v>95</v>
      </c>
      <c r="E1269" s="10" t="s">
        <v>169</v>
      </c>
      <c r="F1269" s="102" t="str">
        <f t="shared" si="52"/>
        <v>EUB09D700832</v>
      </c>
      <c r="G1269" s="21">
        <v>1240</v>
      </c>
      <c r="H1269" s="21">
        <v>2</v>
      </c>
    </row>
    <row r="1270" spans="1:8" x14ac:dyDescent="0.25">
      <c r="A1270" s="15">
        <v>44935</v>
      </c>
      <c r="B1270" s="2" t="s">
        <v>24</v>
      </c>
      <c r="C1270" s="21" t="s">
        <v>170</v>
      </c>
      <c r="D1270" s="28" t="s">
        <v>95</v>
      </c>
      <c r="E1270" s="10" t="s">
        <v>172</v>
      </c>
      <c r="F1270" s="102" t="str">
        <f t="shared" si="52"/>
        <v>EUB09D700704</v>
      </c>
      <c r="G1270" s="21">
        <v>851</v>
      </c>
      <c r="H1270" s="21">
        <v>0</v>
      </c>
    </row>
    <row r="1271" spans="1:8" x14ac:dyDescent="0.25">
      <c r="A1271" s="3">
        <v>44935</v>
      </c>
      <c r="B1271" s="2" t="s">
        <v>25</v>
      </c>
      <c r="C1271" s="21" t="s">
        <v>171</v>
      </c>
      <c r="D1271" s="28" t="s">
        <v>95</v>
      </c>
      <c r="E1271" s="13" t="s">
        <v>172</v>
      </c>
      <c r="F1271" s="102" t="str">
        <f t="shared" si="52"/>
        <v>EUB09D700741</v>
      </c>
      <c r="G1271" s="21">
        <v>851</v>
      </c>
      <c r="H1271" s="21">
        <v>3</v>
      </c>
    </row>
    <row r="1272" spans="1:8" x14ac:dyDescent="0.25">
      <c r="A1272" s="14">
        <v>44935</v>
      </c>
      <c r="B1272" s="4" t="s">
        <v>25</v>
      </c>
      <c r="C1272" s="22" t="s">
        <v>173</v>
      </c>
      <c r="D1272" s="28" t="s">
        <v>95</v>
      </c>
      <c r="E1272" s="18" t="s">
        <v>174</v>
      </c>
      <c r="F1272" s="102" t="str">
        <f t="shared" si="52"/>
        <v>EUB09D700741</v>
      </c>
      <c r="G1272" s="22">
        <v>231</v>
      </c>
      <c r="H1272" s="21">
        <v>1</v>
      </c>
    </row>
    <row r="1273" spans="1:8" x14ac:dyDescent="0.25">
      <c r="A1273" s="15">
        <v>44935</v>
      </c>
      <c r="B1273" s="2" t="s">
        <v>19</v>
      </c>
      <c r="C1273" s="21" t="s">
        <v>175</v>
      </c>
      <c r="D1273" s="28" t="s">
        <v>95</v>
      </c>
      <c r="E1273" s="10" t="s">
        <v>176</v>
      </c>
      <c r="F1273" s="102" t="str">
        <f t="shared" si="52"/>
        <v>EUB09D700836</v>
      </c>
      <c r="G1273" s="21">
        <v>1535</v>
      </c>
      <c r="H1273" s="21">
        <v>2</v>
      </c>
    </row>
    <row r="1274" spans="1:8" x14ac:dyDescent="0.25">
      <c r="A1274" s="15">
        <v>44932</v>
      </c>
      <c r="B1274" s="2" t="s">
        <v>18</v>
      </c>
      <c r="C1274" s="21" t="s">
        <v>166</v>
      </c>
      <c r="D1274" s="28" t="s">
        <v>95</v>
      </c>
      <c r="E1274" s="12" t="s">
        <v>190</v>
      </c>
      <c r="F1274" s="102" t="str">
        <f t="shared" si="52"/>
        <v>EUB09D700992</v>
      </c>
      <c r="G1274" s="2">
        <v>1928</v>
      </c>
      <c r="H1274" s="21">
        <v>14</v>
      </c>
    </row>
    <row r="1275" spans="1:8" x14ac:dyDescent="0.25">
      <c r="A1275" s="15">
        <v>44931</v>
      </c>
      <c r="B1275" s="2" t="s">
        <v>18</v>
      </c>
      <c r="C1275" s="21" t="s">
        <v>151</v>
      </c>
      <c r="D1275" s="28" t="s">
        <v>95</v>
      </c>
      <c r="E1275" s="13" t="s">
        <v>152</v>
      </c>
      <c r="F1275" s="102" t="str">
        <f t="shared" si="52"/>
        <v>EUB09D700992</v>
      </c>
      <c r="G1275" s="2"/>
      <c r="H1275" s="21">
        <v>1</v>
      </c>
    </row>
    <row r="1276" spans="1:8" x14ac:dyDescent="0.25">
      <c r="A1276" s="15">
        <v>44931</v>
      </c>
      <c r="B1276" s="2" t="s">
        <v>153</v>
      </c>
      <c r="C1276" s="36" t="s">
        <v>154</v>
      </c>
      <c r="D1276" s="28" t="s">
        <v>95</v>
      </c>
      <c r="E1276" s="18" t="s">
        <v>155</v>
      </c>
      <c r="F1276" s="102" t="str">
        <f t="shared" si="52"/>
        <v>Nincs Adat</v>
      </c>
      <c r="G1276" s="2"/>
      <c r="H1276" s="21">
        <v>2</v>
      </c>
    </row>
    <row r="1277" spans="1:8" x14ac:dyDescent="0.25">
      <c r="A1277" s="15">
        <v>44931</v>
      </c>
      <c r="B1277" s="2" t="s">
        <v>157</v>
      </c>
      <c r="C1277" s="36" t="s">
        <v>159</v>
      </c>
      <c r="D1277" s="28" t="s">
        <v>95</v>
      </c>
      <c r="E1277" s="10" t="s">
        <v>160</v>
      </c>
      <c r="F1277" s="102" t="str">
        <f t="shared" si="52"/>
        <v>F24537B00021</v>
      </c>
      <c r="G1277" s="21">
        <v>5449</v>
      </c>
      <c r="H1277" s="21">
        <v>2</v>
      </c>
    </row>
    <row r="1278" spans="1:8" ht="30" x14ac:dyDescent="0.25">
      <c r="A1278" s="15">
        <v>44931</v>
      </c>
      <c r="B1278" s="2" t="s">
        <v>162</v>
      </c>
      <c r="C1278" s="37" t="s">
        <v>164</v>
      </c>
      <c r="D1278" s="28" t="s">
        <v>95</v>
      </c>
      <c r="E1278" s="12"/>
      <c r="F1278" s="102" t="str">
        <f t="shared" si="52"/>
        <v>Nincs Adat</v>
      </c>
      <c r="G1278" s="21"/>
      <c r="H1278" s="21"/>
    </row>
    <row r="1279" spans="1:8" x14ac:dyDescent="0.25">
      <c r="A1279" s="15">
        <v>44931</v>
      </c>
      <c r="B1279" s="2" t="s">
        <v>144</v>
      </c>
      <c r="C1279" s="21" t="s">
        <v>163</v>
      </c>
      <c r="D1279" s="28" t="s">
        <v>95</v>
      </c>
      <c r="E1279" s="13" t="s">
        <v>261</v>
      </c>
      <c r="F1279" s="102" t="str">
        <f t="shared" si="52"/>
        <v>Nincs Adat</v>
      </c>
      <c r="G1279" s="44">
        <v>2418</v>
      </c>
      <c r="H1279" s="21">
        <v>2</v>
      </c>
    </row>
    <row r="1280" spans="1:8" x14ac:dyDescent="0.25">
      <c r="A1280" s="15">
        <v>44931</v>
      </c>
      <c r="B1280" s="2" t="s">
        <v>24</v>
      </c>
      <c r="C1280" s="22" t="s">
        <v>165</v>
      </c>
      <c r="D1280" s="28" t="s">
        <v>95</v>
      </c>
      <c r="E1280" s="18" t="s">
        <v>172</v>
      </c>
      <c r="F1280" s="102" t="str">
        <f t="shared" si="52"/>
        <v>EUB09D700704</v>
      </c>
      <c r="G1280" s="21">
        <v>851</v>
      </c>
      <c r="H1280" s="21">
        <v>3</v>
      </c>
    </row>
    <row r="1281" spans="1:8" x14ac:dyDescent="0.25">
      <c r="A1281" s="3">
        <v>44930</v>
      </c>
      <c r="B1281" s="2" t="s">
        <v>74</v>
      </c>
      <c r="C1281" s="36" t="s">
        <v>149</v>
      </c>
      <c r="D1281" s="28" t="s">
        <v>95</v>
      </c>
      <c r="E1281" s="13" t="s">
        <v>150</v>
      </c>
      <c r="F1281" s="102" t="str">
        <f t="shared" si="52"/>
        <v>Nincs Adat</v>
      </c>
      <c r="G1281" s="21"/>
      <c r="H1281" s="21">
        <v>0.5</v>
      </c>
    </row>
    <row r="1282" spans="1:8" x14ac:dyDescent="0.25">
      <c r="A1282" s="14">
        <v>44930</v>
      </c>
      <c r="B1282" s="4" t="s">
        <v>69</v>
      </c>
      <c r="C1282" s="35" t="s">
        <v>149</v>
      </c>
      <c r="D1282" s="28" t="s">
        <v>95</v>
      </c>
      <c r="E1282" s="18" t="s">
        <v>150</v>
      </c>
      <c r="F1282" s="102" t="str">
        <f t="shared" si="52"/>
        <v>Nincs Adat</v>
      </c>
      <c r="G1282" s="22"/>
      <c r="H1282" s="21">
        <v>0.5</v>
      </c>
    </row>
    <row r="1283" spans="1:8" x14ac:dyDescent="0.25">
      <c r="A1283" s="15">
        <v>44930</v>
      </c>
      <c r="B1283" s="2" t="s">
        <v>41</v>
      </c>
      <c r="C1283" s="36" t="s">
        <v>149</v>
      </c>
      <c r="D1283" s="28" t="s">
        <v>95</v>
      </c>
      <c r="E1283" s="10" t="s">
        <v>150</v>
      </c>
      <c r="F1283" s="102" t="str">
        <f t="shared" si="52"/>
        <v>Nincs Adat</v>
      </c>
      <c r="G1283" s="21"/>
      <c r="H1283" s="21">
        <v>0.5</v>
      </c>
    </row>
    <row r="1284" spans="1:8" x14ac:dyDescent="0.25">
      <c r="A1284" s="3">
        <v>44930</v>
      </c>
      <c r="B1284" s="2" t="s">
        <v>71</v>
      </c>
      <c r="C1284" s="36" t="s">
        <v>149</v>
      </c>
      <c r="D1284" s="28" t="s">
        <v>95</v>
      </c>
      <c r="E1284" s="13" t="s">
        <v>150</v>
      </c>
      <c r="F1284" s="102" t="str">
        <f t="shared" si="52"/>
        <v>Nincs Adat</v>
      </c>
      <c r="G1284" s="21"/>
      <c r="H1284" s="21">
        <v>0.5</v>
      </c>
    </row>
    <row r="1285" spans="1:8" x14ac:dyDescent="0.25">
      <c r="A1285" s="14">
        <v>44930</v>
      </c>
      <c r="B1285" s="4" t="s">
        <v>72</v>
      </c>
      <c r="C1285" s="35" t="s">
        <v>149</v>
      </c>
      <c r="D1285" s="28" t="s">
        <v>95</v>
      </c>
      <c r="E1285" s="18" t="s">
        <v>150</v>
      </c>
      <c r="F1285" s="102" t="str">
        <f t="shared" si="52"/>
        <v>Nincs Adat</v>
      </c>
      <c r="G1285" s="22"/>
      <c r="H1285" s="21">
        <v>0.5</v>
      </c>
    </row>
    <row r="1286" spans="1:8" x14ac:dyDescent="0.25">
      <c r="A1286" s="15">
        <v>44930</v>
      </c>
      <c r="B1286" s="2" t="s">
        <v>45</v>
      </c>
      <c r="C1286" s="36" t="s">
        <v>149</v>
      </c>
      <c r="D1286" s="28" t="s">
        <v>95</v>
      </c>
      <c r="E1286" s="10" t="s">
        <v>150</v>
      </c>
      <c r="F1286" s="102" t="str">
        <f t="shared" ref="F1286:F1317" si="53">IFERROR(VLOOKUP(B1286,targlist02,3,0),"Nincs Adat")</f>
        <v>Nincs Adat</v>
      </c>
      <c r="G1286" s="21"/>
      <c r="H1286" s="21">
        <v>0.5</v>
      </c>
    </row>
    <row r="1287" spans="1:8" x14ac:dyDescent="0.25">
      <c r="A1287" s="15">
        <v>44930</v>
      </c>
      <c r="B1287" s="2" t="s">
        <v>48</v>
      </c>
      <c r="C1287" s="36" t="s">
        <v>149</v>
      </c>
      <c r="D1287" s="28" t="s">
        <v>95</v>
      </c>
      <c r="E1287" s="10" t="s">
        <v>150</v>
      </c>
      <c r="F1287" s="102" t="str">
        <f t="shared" si="53"/>
        <v>Nincs Adat</v>
      </c>
      <c r="G1287" s="21"/>
      <c r="H1287" s="21">
        <v>0.5</v>
      </c>
    </row>
    <row r="1288" spans="1:8" x14ac:dyDescent="0.25">
      <c r="A1288" s="16">
        <v>44930</v>
      </c>
      <c r="B1288" s="8" t="s">
        <v>42</v>
      </c>
      <c r="C1288" s="37" t="s">
        <v>149</v>
      </c>
      <c r="D1288" s="28" t="s">
        <v>95</v>
      </c>
      <c r="E1288" s="12" t="s">
        <v>150</v>
      </c>
      <c r="F1288" s="102" t="str">
        <f t="shared" si="53"/>
        <v>Nincs Adat</v>
      </c>
      <c r="G1288" s="21"/>
      <c r="H1288" s="21">
        <v>0.5</v>
      </c>
    </row>
    <row r="1289" spans="1:8" x14ac:dyDescent="0.25">
      <c r="A1289" s="15">
        <v>44930</v>
      </c>
      <c r="B1289" s="2" t="s">
        <v>75</v>
      </c>
      <c r="C1289" s="36" t="s">
        <v>149</v>
      </c>
      <c r="D1289" s="28" t="s">
        <v>95</v>
      </c>
      <c r="E1289" s="10" t="s">
        <v>150</v>
      </c>
      <c r="F1289" s="102" t="str">
        <f t="shared" si="53"/>
        <v>Nincs Adat</v>
      </c>
      <c r="G1289" s="21"/>
      <c r="H1289" s="21">
        <v>0.5</v>
      </c>
    </row>
    <row r="1290" spans="1:8" x14ac:dyDescent="0.25">
      <c r="A1290" s="15">
        <v>44930</v>
      </c>
      <c r="B1290" s="2" t="s">
        <v>68</v>
      </c>
      <c r="C1290" s="36" t="s">
        <v>149</v>
      </c>
      <c r="D1290" s="28" t="s">
        <v>95</v>
      </c>
      <c r="E1290" s="10" t="s">
        <v>150</v>
      </c>
      <c r="F1290" s="102" t="str">
        <f t="shared" si="53"/>
        <v>Nincs Adat</v>
      </c>
      <c r="G1290" s="21"/>
      <c r="H1290" s="21">
        <v>0.5</v>
      </c>
    </row>
    <row r="1291" spans="1:8" x14ac:dyDescent="0.25">
      <c r="A1291" s="15">
        <v>44930</v>
      </c>
      <c r="B1291" s="2" t="s">
        <v>29</v>
      </c>
      <c r="C1291" s="36" t="s">
        <v>149</v>
      </c>
      <c r="D1291" s="28" t="s">
        <v>95</v>
      </c>
      <c r="E1291" s="10" t="s">
        <v>150</v>
      </c>
      <c r="F1291" s="102" t="str">
        <f t="shared" si="53"/>
        <v>Nincs Adat</v>
      </c>
      <c r="G1291" s="21"/>
      <c r="H1291" s="21">
        <v>0.5</v>
      </c>
    </row>
    <row r="1292" spans="1:8" x14ac:dyDescent="0.25">
      <c r="A1292" s="15">
        <v>44922</v>
      </c>
      <c r="B1292" s="2" t="s">
        <v>5</v>
      </c>
      <c r="C1292" s="26" t="s">
        <v>102</v>
      </c>
      <c r="D1292" s="28" t="s">
        <v>95</v>
      </c>
      <c r="E1292" s="12" t="s">
        <v>383</v>
      </c>
      <c r="F1292" s="102" t="str">
        <f t="shared" si="53"/>
        <v>JAG2N1E701603</v>
      </c>
      <c r="G1292" s="21">
        <v>272</v>
      </c>
      <c r="H1292" s="21">
        <v>1</v>
      </c>
    </row>
    <row r="1293" spans="1:8" x14ac:dyDescent="0.25">
      <c r="A1293" s="15">
        <v>44922</v>
      </c>
      <c r="B1293" s="2" t="s">
        <v>14</v>
      </c>
      <c r="C1293" s="21" t="s">
        <v>102</v>
      </c>
      <c r="D1293" s="28" t="s">
        <v>95</v>
      </c>
      <c r="E1293" s="13" t="s">
        <v>288</v>
      </c>
      <c r="F1293" s="102" t="str">
        <f t="shared" si="53"/>
        <v>EUB09D700269</v>
      </c>
      <c r="G1293" s="21"/>
      <c r="H1293" s="21">
        <v>1</v>
      </c>
    </row>
    <row r="1294" spans="1:8" x14ac:dyDescent="0.25">
      <c r="A1294" s="3">
        <v>44922</v>
      </c>
      <c r="B1294" s="2" t="s">
        <v>20</v>
      </c>
      <c r="C1294" s="22" t="s">
        <v>102</v>
      </c>
      <c r="D1294" s="28" t="s">
        <v>95</v>
      </c>
      <c r="E1294" s="19" t="s">
        <v>286</v>
      </c>
      <c r="F1294" s="102" t="str">
        <f t="shared" si="53"/>
        <v>EUB09D700832</v>
      </c>
      <c r="G1294" s="21"/>
      <c r="H1294" s="21">
        <v>1</v>
      </c>
    </row>
    <row r="1295" spans="1:8" x14ac:dyDescent="0.25">
      <c r="A1295" s="14">
        <v>44922</v>
      </c>
      <c r="B1295" s="4" t="s">
        <v>15</v>
      </c>
      <c r="C1295" s="22" t="s">
        <v>102</v>
      </c>
      <c r="D1295" s="28" t="s">
        <v>95</v>
      </c>
      <c r="E1295" s="18" t="s">
        <v>367</v>
      </c>
      <c r="F1295" s="102" t="str">
        <f t="shared" si="53"/>
        <v>EUB09D700705</v>
      </c>
      <c r="G1295" s="22">
        <v>479</v>
      </c>
      <c r="H1295" s="21">
        <v>1</v>
      </c>
    </row>
    <row r="1296" spans="1:8" x14ac:dyDescent="0.25">
      <c r="A1296" s="3">
        <v>44922</v>
      </c>
      <c r="B1296" s="2" t="s">
        <v>77</v>
      </c>
      <c r="C1296" s="21" t="s">
        <v>147</v>
      </c>
      <c r="D1296" s="28" t="s">
        <v>95</v>
      </c>
      <c r="E1296" s="13" t="s">
        <v>161</v>
      </c>
      <c r="F1296" s="102" t="str">
        <f t="shared" si="53"/>
        <v>PTP200R239151</v>
      </c>
      <c r="G1296" s="22">
        <v>73</v>
      </c>
      <c r="H1296" s="21">
        <v>2</v>
      </c>
    </row>
    <row r="1297" spans="1:8" x14ac:dyDescent="0.25">
      <c r="A1297" s="14">
        <v>44922</v>
      </c>
      <c r="B1297" s="4" t="s">
        <v>144</v>
      </c>
      <c r="C1297" s="22" t="s">
        <v>146</v>
      </c>
      <c r="D1297" s="28" t="s">
        <v>95</v>
      </c>
      <c r="E1297" s="18" t="s">
        <v>156</v>
      </c>
      <c r="F1297" s="102" t="str">
        <f t="shared" si="53"/>
        <v>Nincs Adat</v>
      </c>
      <c r="G1297" s="2"/>
      <c r="H1297" s="21">
        <v>1</v>
      </c>
    </row>
    <row r="1298" spans="1:8" x14ac:dyDescent="0.25">
      <c r="A1298" s="3">
        <v>44915</v>
      </c>
      <c r="B1298" s="2" t="s">
        <v>61</v>
      </c>
      <c r="C1298" s="21" t="s">
        <v>128</v>
      </c>
      <c r="D1298" s="28" t="s">
        <v>95</v>
      </c>
      <c r="E1298" s="13"/>
      <c r="F1298" s="102" t="str">
        <f t="shared" si="53"/>
        <v>Nincs Adat</v>
      </c>
      <c r="G1298" s="21"/>
      <c r="H1298" s="21"/>
    </row>
    <row r="1299" spans="1:8" x14ac:dyDescent="0.25">
      <c r="A1299" s="3">
        <v>44915</v>
      </c>
      <c r="B1299" s="2" t="s">
        <v>19</v>
      </c>
      <c r="C1299" s="21" t="s">
        <v>129</v>
      </c>
      <c r="D1299" s="28" t="s">
        <v>95</v>
      </c>
      <c r="E1299" s="13"/>
      <c r="F1299" s="102" t="str">
        <f t="shared" si="53"/>
        <v>EUB09D700836</v>
      </c>
      <c r="G1299" s="21"/>
      <c r="H1299" s="21"/>
    </row>
    <row r="1300" spans="1:8" x14ac:dyDescent="0.25">
      <c r="A1300" s="3">
        <v>44915</v>
      </c>
      <c r="B1300" s="2" t="s">
        <v>80</v>
      </c>
      <c r="C1300" s="21" t="s">
        <v>130</v>
      </c>
      <c r="D1300" s="28" t="s">
        <v>95</v>
      </c>
      <c r="E1300" s="13" t="s">
        <v>139</v>
      </c>
      <c r="F1300" s="102" t="str">
        <f t="shared" si="53"/>
        <v>PTP200R239154</v>
      </c>
      <c r="G1300" s="21"/>
      <c r="H1300" s="21">
        <v>2</v>
      </c>
    </row>
    <row r="1301" spans="1:8" x14ac:dyDescent="0.25">
      <c r="A1301" s="3">
        <v>44915</v>
      </c>
      <c r="B1301" s="2" t="s">
        <v>81</v>
      </c>
      <c r="C1301" s="21" t="s">
        <v>130</v>
      </c>
      <c r="D1301" s="28" t="s">
        <v>95</v>
      </c>
      <c r="E1301" s="40" t="s">
        <v>140</v>
      </c>
      <c r="F1301" s="102" t="str">
        <f t="shared" si="53"/>
        <v>PTP200R239155</v>
      </c>
      <c r="G1301" s="24"/>
      <c r="H1301" s="21">
        <v>2</v>
      </c>
    </row>
    <row r="1302" spans="1:8" x14ac:dyDescent="0.25">
      <c r="A1302" s="3">
        <v>44915</v>
      </c>
      <c r="B1302" s="2" t="s">
        <v>142</v>
      </c>
      <c r="C1302" s="21" t="s">
        <v>130</v>
      </c>
      <c r="D1302" s="28" t="s">
        <v>95</v>
      </c>
      <c r="E1302" s="13" t="s">
        <v>143</v>
      </c>
      <c r="F1302" s="102" t="str">
        <f t="shared" si="53"/>
        <v>LO20N2RCB13B00112</v>
      </c>
      <c r="G1302" s="21"/>
      <c r="H1302" s="21">
        <v>1</v>
      </c>
    </row>
    <row r="1303" spans="1:8" x14ac:dyDescent="0.25">
      <c r="A1303" s="14">
        <v>44915</v>
      </c>
      <c r="B1303" s="4" t="s">
        <v>11</v>
      </c>
      <c r="C1303" s="22" t="s">
        <v>131</v>
      </c>
      <c r="D1303" s="28" t="s">
        <v>95</v>
      </c>
      <c r="E1303" s="19"/>
      <c r="F1303" s="102" t="str">
        <f t="shared" si="53"/>
        <v>EUB09D700850</v>
      </c>
      <c r="G1303" s="22"/>
      <c r="H1303" s="21"/>
    </row>
    <row r="1304" spans="1:8" x14ac:dyDescent="0.25">
      <c r="A1304" s="16">
        <v>44909</v>
      </c>
      <c r="B1304" s="8" t="s">
        <v>25</v>
      </c>
      <c r="C1304" s="36" t="s">
        <v>120</v>
      </c>
      <c r="D1304" s="28" t="s">
        <v>95</v>
      </c>
      <c r="E1304" s="13" t="s">
        <v>121</v>
      </c>
      <c r="F1304" s="102" t="str">
        <f t="shared" si="53"/>
        <v>EUB09D700741</v>
      </c>
      <c r="G1304" s="21">
        <v>114</v>
      </c>
      <c r="H1304" s="21">
        <v>1</v>
      </c>
    </row>
    <row r="1305" spans="1:8" x14ac:dyDescent="0.25">
      <c r="A1305" s="15">
        <v>44909</v>
      </c>
      <c r="B1305" s="2" t="s">
        <v>78</v>
      </c>
      <c r="C1305" s="36" t="s">
        <v>122</v>
      </c>
      <c r="D1305" s="28" t="s">
        <v>95</v>
      </c>
      <c r="E1305" s="13" t="s">
        <v>123</v>
      </c>
      <c r="F1305" s="102" t="str">
        <f t="shared" si="53"/>
        <v>PTP200R239152</v>
      </c>
      <c r="G1305" s="21">
        <v>611</v>
      </c>
      <c r="H1305" s="21">
        <v>1</v>
      </c>
    </row>
    <row r="1306" spans="1:8" x14ac:dyDescent="0.25">
      <c r="A1306" s="15">
        <v>44908</v>
      </c>
      <c r="B1306" s="2" t="s">
        <v>16</v>
      </c>
      <c r="C1306" s="36" t="s">
        <v>118</v>
      </c>
      <c r="D1306" s="28" t="s">
        <v>95</v>
      </c>
      <c r="E1306" s="13"/>
      <c r="F1306" s="102" t="str">
        <f t="shared" si="53"/>
        <v>EUB09D700851</v>
      </c>
      <c r="G1306" s="21"/>
      <c r="H1306" s="21"/>
    </row>
    <row r="1307" spans="1:8" x14ac:dyDescent="0.25">
      <c r="A1307" s="15">
        <v>44904</v>
      </c>
      <c r="B1307" s="2" t="s">
        <v>21</v>
      </c>
      <c r="C1307" s="21" t="s">
        <v>124</v>
      </c>
      <c r="D1307" s="28" t="s">
        <v>95</v>
      </c>
      <c r="E1307" s="13" t="s">
        <v>125</v>
      </c>
      <c r="F1307" s="102" t="str">
        <f t="shared" si="53"/>
        <v>EUB09D700842</v>
      </c>
      <c r="G1307" s="21">
        <v>839</v>
      </c>
      <c r="H1307" s="21">
        <v>2</v>
      </c>
    </row>
    <row r="1308" spans="1:8" x14ac:dyDescent="0.25">
      <c r="A1308" s="15">
        <v>44900</v>
      </c>
      <c r="B1308" s="2" t="s">
        <v>110</v>
      </c>
      <c r="C1308" s="36" t="s">
        <v>116</v>
      </c>
      <c r="D1308" s="28" t="s">
        <v>95</v>
      </c>
      <c r="E1308" s="13"/>
      <c r="F1308" s="102" t="str">
        <f t="shared" si="53"/>
        <v>Nincs Adat</v>
      </c>
      <c r="G1308" s="21"/>
      <c r="H1308" s="21"/>
    </row>
    <row r="1309" spans="1:8" x14ac:dyDescent="0.25">
      <c r="A1309" s="15">
        <v>44895</v>
      </c>
      <c r="B1309" s="2" t="s">
        <v>7</v>
      </c>
      <c r="C1309" s="36" t="s">
        <v>108</v>
      </c>
      <c r="D1309" s="28" t="s">
        <v>95</v>
      </c>
      <c r="E1309" s="41" t="s">
        <v>126</v>
      </c>
      <c r="F1309" s="102" t="str">
        <f t="shared" si="53"/>
        <v>EUB09D700743</v>
      </c>
      <c r="G1309" s="25"/>
      <c r="H1309" s="21">
        <v>2</v>
      </c>
    </row>
    <row r="1310" spans="1:8" ht="30" x14ac:dyDescent="0.25">
      <c r="A1310" s="15">
        <v>44895</v>
      </c>
      <c r="B1310" s="2" t="s">
        <v>11</v>
      </c>
      <c r="C1310" s="36" t="s">
        <v>113</v>
      </c>
      <c r="D1310" s="28" t="s">
        <v>95</v>
      </c>
      <c r="E1310" s="11" t="s">
        <v>127</v>
      </c>
      <c r="F1310" s="102" t="str">
        <f t="shared" si="53"/>
        <v>EUB09D700850</v>
      </c>
      <c r="G1310" s="21"/>
      <c r="H1310" s="21">
        <v>1</v>
      </c>
    </row>
    <row r="1311" spans="1:8" ht="30" x14ac:dyDescent="0.25">
      <c r="A1311" s="15">
        <v>44895</v>
      </c>
      <c r="B1311" s="2" t="s">
        <v>18</v>
      </c>
      <c r="C1311" s="36" t="s">
        <v>114</v>
      </c>
      <c r="D1311" s="28" t="s">
        <v>95</v>
      </c>
      <c r="E1311" s="11"/>
      <c r="F1311" s="102" t="str">
        <f t="shared" si="53"/>
        <v>EUB09D700992</v>
      </c>
      <c r="G1311" s="25"/>
      <c r="H1311" s="21"/>
    </row>
    <row r="1312" spans="1:8" x14ac:dyDescent="0.25">
      <c r="A1312" s="15">
        <v>44895</v>
      </c>
      <c r="B1312" s="2" t="s">
        <v>78</v>
      </c>
      <c r="C1312" s="36" t="s">
        <v>115</v>
      </c>
      <c r="D1312" s="28" t="s">
        <v>95</v>
      </c>
      <c r="E1312" s="11"/>
      <c r="F1312" s="102" t="str">
        <f t="shared" si="53"/>
        <v>PTP200R239152</v>
      </c>
      <c r="G1312" s="25"/>
      <c r="H1312" s="21"/>
    </row>
    <row r="1313" spans="1:8" x14ac:dyDescent="0.25">
      <c r="A1313" s="15">
        <v>44895</v>
      </c>
      <c r="B1313" s="2" t="s">
        <v>20</v>
      </c>
      <c r="C1313" s="36" t="s">
        <v>366</v>
      </c>
      <c r="D1313" s="28" t="s">
        <v>95</v>
      </c>
      <c r="E1313" s="10" t="s">
        <v>453</v>
      </c>
      <c r="F1313" s="102" t="str">
        <f t="shared" si="53"/>
        <v>EUB09D700832</v>
      </c>
      <c r="G1313" s="21">
        <v>1922</v>
      </c>
      <c r="H1313" s="21">
        <v>2</v>
      </c>
    </row>
    <row r="1314" spans="1:8" x14ac:dyDescent="0.25">
      <c r="A1314" s="15">
        <v>44895</v>
      </c>
      <c r="B1314" s="2" t="s">
        <v>9</v>
      </c>
      <c r="C1314" s="36" t="s">
        <v>117</v>
      </c>
      <c r="D1314" s="28" t="s">
        <v>95</v>
      </c>
      <c r="E1314" s="10"/>
      <c r="F1314" s="102" t="str">
        <f t="shared" si="53"/>
        <v>EUB09D700745</v>
      </c>
      <c r="G1314" s="21"/>
      <c r="H1314" s="21"/>
    </row>
    <row r="1315" spans="1:8" x14ac:dyDescent="0.25">
      <c r="A1315" s="15">
        <v>44895</v>
      </c>
      <c r="B1315" s="2" t="s">
        <v>109</v>
      </c>
      <c r="C1315" s="36" t="s">
        <v>112</v>
      </c>
      <c r="D1315" s="28" t="s">
        <v>95</v>
      </c>
      <c r="E1315" s="10"/>
      <c r="F1315" s="102" t="str">
        <f t="shared" si="53"/>
        <v>Nincs Adat</v>
      </c>
      <c r="G1315" s="21"/>
      <c r="H1315" s="21"/>
    </row>
    <row r="1316" spans="1:8" x14ac:dyDescent="0.25">
      <c r="A1316" s="15">
        <v>44890</v>
      </c>
      <c r="B1316" s="2" t="s">
        <v>7</v>
      </c>
      <c r="C1316" s="36" t="s">
        <v>102</v>
      </c>
      <c r="D1316" s="28" t="s">
        <v>95</v>
      </c>
      <c r="E1316" s="10"/>
      <c r="F1316" s="102" t="str">
        <f t="shared" si="53"/>
        <v>EUB09D700743</v>
      </c>
      <c r="G1316" s="21"/>
      <c r="H1316" s="21"/>
    </row>
    <row r="1317" spans="1:8" x14ac:dyDescent="0.25">
      <c r="A1317" s="15">
        <v>44890</v>
      </c>
      <c r="B1317" s="2" t="s">
        <v>25</v>
      </c>
      <c r="C1317" s="36" t="s">
        <v>101</v>
      </c>
      <c r="D1317" s="28" t="s">
        <v>95</v>
      </c>
      <c r="E1317" s="10"/>
      <c r="F1317" s="102" t="str">
        <f t="shared" si="53"/>
        <v>EUB09D700741</v>
      </c>
      <c r="G1317" s="21"/>
      <c r="H1317" s="21"/>
    </row>
    <row r="1318" spans="1:8" x14ac:dyDescent="0.25">
      <c r="A1318" s="16">
        <v>44890</v>
      </c>
      <c r="B1318" s="8" t="s">
        <v>13</v>
      </c>
      <c r="C1318" s="37" t="s">
        <v>103</v>
      </c>
      <c r="D1318" s="28" t="s">
        <v>95</v>
      </c>
      <c r="E1318" s="12" t="s">
        <v>451</v>
      </c>
      <c r="F1318" s="102" t="str">
        <f t="shared" ref="F1318:F1336" si="54">IFERROR(VLOOKUP(B1318,targlist02,3,0),"Nincs Adat")</f>
        <v>EUB09D700268</v>
      </c>
      <c r="G1318" s="26"/>
      <c r="H1318" s="21">
        <v>1</v>
      </c>
    </row>
    <row r="1319" spans="1:8" x14ac:dyDescent="0.25">
      <c r="A1319" s="3">
        <v>44890</v>
      </c>
      <c r="B1319" s="2" t="s">
        <v>26</v>
      </c>
      <c r="C1319" s="36" t="s">
        <v>104</v>
      </c>
      <c r="D1319" s="28" t="s">
        <v>95</v>
      </c>
      <c r="E1319" s="13"/>
      <c r="F1319" s="102" t="str">
        <f t="shared" si="54"/>
        <v>EFC09D60002</v>
      </c>
      <c r="G1319" s="21"/>
      <c r="H1319" s="21"/>
    </row>
    <row r="1320" spans="1:8" x14ac:dyDescent="0.25">
      <c r="A1320" s="3">
        <v>44890</v>
      </c>
      <c r="B1320" s="2" t="s">
        <v>46</v>
      </c>
      <c r="C1320" s="36" t="s">
        <v>105</v>
      </c>
      <c r="D1320" s="28" t="s">
        <v>95</v>
      </c>
      <c r="E1320" s="13"/>
      <c r="F1320" s="102" t="str">
        <f t="shared" si="54"/>
        <v>Nincs Adat</v>
      </c>
      <c r="G1320" s="21"/>
      <c r="H1320" s="21"/>
    </row>
    <row r="1321" spans="1:8" x14ac:dyDescent="0.25">
      <c r="A1321" s="3">
        <v>44890</v>
      </c>
      <c r="B1321" s="4" t="s">
        <v>85</v>
      </c>
      <c r="C1321" s="36" t="s">
        <v>106</v>
      </c>
      <c r="D1321" s="28" t="s">
        <v>95</v>
      </c>
      <c r="E1321" s="13"/>
      <c r="F1321" s="102" t="str">
        <f t="shared" si="54"/>
        <v>Nincs Adat</v>
      </c>
      <c r="G1321" s="21"/>
      <c r="H1321" s="27"/>
    </row>
    <row r="1322" spans="1:8" x14ac:dyDescent="0.25">
      <c r="A1322" s="3">
        <v>44890</v>
      </c>
      <c r="B1322" s="2" t="s">
        <v>9</v>
      </c>
      <c r="C1322" s="36" t="s">
        <v>107</v>
      </c>
      <c r="D1322" s="28" t="s">
        <v>95</v>
      </c>
      <c r="E1322" s="40" t="s">
        <v>138</v>
      </c>
      <c r="F1322" s="102" t="str">
        <f t="shared" si="54"/>
        <v>EUB09D700745</v>
      </c>
      <c r="G1322" s="21">
        <v>1818</v>
      </c>
      <c r="H1322" s="21">
        <v>2</v>
      </c>
    </row>
    <row r="1323" spans="1:8" x14ac:dyDescent="0.25">
      <c r="A1323" s="3">
        <v>44890</v>
      </c>
      <c r="B1323" s="2" t="s">
        <v>18</v>
      </c>
      <c r="C1323" s="36" t="s">
        <v>107</v>
      </c>
      <c r="D1323" s="28" t="s">
        <v>95</v>
      </c>
      <c r="E1323" s="41"/>
      <c r="F1323" s="102" t="str">
        <f t="shared" si="54"/>
        <v>EUB09D700992</v>
      </c>
      <c r="G1323" s="25"/>
      <c r="H1323" s="21"/>
    </row>
    <row r="1324" spans="1:8" x14ac:dyDescent="0.25">
      <c r="A1324" s="3">
        <v>44854</v>
      </c>
      <c r="B1324" s="2" t="s">
        <v>133</v>
      </c>
      <c r="C1324" s="21" t="s">
        <v>134</v>
      </c>
      <c r="D1324" s="28" t="s">
        <v>95</v>
      </c>
      <c r="E1324" s="13" t="s">
        <v>994</v>
      </c>
      <c r="F1324" s="102" t="str">
        <f t="shared" si="54"/>
        <v>Nincs Adat</v>
      </c>
      <c r="G1324" s="21"/>
      <c r="H1324" s="21">
        <v>6</v>
      </c>
    </row>
    <row r="1325" spans="1:8" x14ac:dyDescent="0.25">
      <c r="A1325" s="3">
        <v>44854</v>
      </c>
      <c r="B1325" s="2" t="s">
        <v>25</v>
      </c>
      <c r="C1325" s="21" t="s">
        <v>135</v>
      </c>
      <c r="D1325" s="28" t="s">
        <v>95</v>
      </c>
      <c r="E1325" s="13"/>
      <c r="F1325" s="102" t="str">
        <f t="shared" si="54"/>
        <v>EUB09D700741</v>
      </c>
      <c r="G1325" s="21"/>
      <c r="H1325" s="21"/>
    </row>
    <row r="1326" spans="1:8" x14ac:dyDescent="0.25">
      <c r="A1326" s="3">
        <v>44854</v>
      </c>
      <c r="B1326" s="2" t="s">
        <v>52</v>
      </c>
      <c r="C1326" s="21" t="s">
        <v>145</v>
      </c>
      <c r="D1326" s="28" t="s">
        <v>95</v>
      </c>
      <c r="E1326" s="13" t="s">
        <v>220</v>
      </c>
      <c r="F1326" s="102" t="str">
        <f t="shared" si="54"/>
        <v>Nincs Adat</v>
      </c>
      <c r="G1326" s="27"/>
      <c r="H1326" s="21">
        <v>6</v>
      </c>
    </row>
    <row r="1327" spans="1:8" x14ac:dyDescent="0.25">
      <c r="A1327" s="3">
        <v>44854</v>
      </c>
      <c r="B1327" s="2" t="s">
        <v>21</v>
      </c>
      <c r="C1327" s="21" t="s">
        <v>136</v>
      </c>
      <c r="D1327" s="28" t="s">
        <v>95</v>
      </c>
      <c r="E1327" s="13" t="s">
        <v>137</v>
      </c>
      <c r="F1327" s="102" t="str">
        <f t="shared" si="54"/>
        <v>EUB09D700842</v>
      </c>
      <c r="G1327" s="21">
        <v>896</v>
      </c>
      <c r="H1327" s="21">
        <v>1</v>
      </c>
    </row>
    <row r="1328" spans="1:8" x14ac:dyDescent="0.25">
      <c r="A1328" s="3">
        <v>44845</v>
      </c>
      <c r="B1328" s="2" t="s">
        <v>36</v>
      </c>
      <c r="C1328" s="36" t="s">
        <v>100</v>
      </c>
      <c r="D1328" s="28" t="s">
        <v>95</v>
      </c>
      <c r="E1328" s="13"/>
      <c r="F1328" s="102" t="str">
        <f t="shared" si="54"/>
        <v>Nincs Adat</v>
      </c>
      <c r="G1328" s="21"/>
      <c r="H1328" s="21"/>
    </row>
    <row r="1329" spans="1:11" x14ac:dyDescent="0.25">
      <c r="A1329" s="3">
        <v>44806</v>
      </c>
      <c r="B1329" s="2" t="s">
        <v>8</v>
      </c>
      <c r="C1329" s="36" t="s">
        <v>94</v>
      </c>
      <c r="D1329" s="28" t="s">
        <v>95</v>
      </c>
      <c r="E1329" s="13"/>
      <c r="F1329" s="102" t="str">
        <f t="shared" si="54"/>
        <v>EUB09D700744</v>
      </c>
      <c r="G1329" s="21"/>
      <c r="H1329" s="21"/>
    </row>
    <row r="1330" spans="1:11" x14ac:dyDescent="0.25">
      <c r="A1330" s="3">
        <v>44806</v>
      </c>
      <c r="B1330" s="2" t="s">
        <v>89</v>
      </c>
      <c r="C1330" s="36" t="s">
        <v>97</v>
      </c>
      <c r="D1330" s="28" t="s">
        <v>95</v>
      </c>
      <c r="E1330" s="13"/>
      <c r="F1330" s="102" t="str">
        <f t="shared" si="54"/>
        <v>Nincs Adat</v>
      </c>
      <c r="G1330" s="21"/>
      <c r="H1330" s="21"/>
    </row>
    <row r="1331" spans="1:11" x14ac:dyDescent="0.25">
      <c r="A1331" s="3">
        <v>44806</v>
      </c>
      <c r="B1331" s="2" t="s">
        <v>6</v>
      </c>
      <c r="C1331" s="36" t="s">
        <v>98</v>
      </c>
      <c r="D1331" s="28" t="s">
        <v>95</v>
      </c>
      <c r="E1331" s="13"/>
      <c r="F1331" s="102" t="str">
        <f t="shared" si="54"/>
        <v>EUB09D700742</v>
      </c>
      <c r="G1331" s="21"/>
      <c r="H1331" s="21"/>
    </row>
    <row r="1332" spans="1:11" x14ac:dyDescent="0.25">
      <c r="A1332" s="3">
        <v>44806</v>
      </c>
      <c r="B1332" s="2" t="s">
        <v>12</v>
      </c>
      <c r="C1332" s="36" t="s">
        <v>99</v>
      </c>
      <c r="D1332" s="28" t="s">
        <v>95</v>
      </c>
      <c r="E1332" s="13"/>
      <c r="F1332" s="102" t="str">
        <f t="shared" si="54"/>
        <v>EUB09D700267</v>
      </c>
      <c r="G1332" s="2"/>
      <c r="H1332" s="21"/>
    </row>
    <row r="1333" spans="1:11" x14ac:dyDescent="0.25">
      <c r="A1333" s="3">
        <v>44806</v>
      </c>
      <c r="B1333" s="2" t="s">
        <v>57</v>
      </c>
      <c r="C1333" s="36" t="s">
        <v>97</v>
      </c>
      <c r="D1333" s="28" t="s">
        <v>95</v>
      </c>
      <c r="E1333" s="13"/>
      <c r="F1333" s="102" t="str">
        <f t="shared" si="54"/>
        <v>Nincs Adat</v>
      </c>
      <c r="G1333" s="2"/>
      <c r="H1333" s="21"/>
    </row>
    <row r="1334" spans="1:11" x14ac:dyDescent="0.25">
      <c r="A1334" s="3">
        <v>44806</v>
      </c>
      <c r="B1334" s="2" t="s">
        <v>36</v>
      </c>
      <c r="C1334" s="36" t="s">
        <v>97</v>
      </c>
      <c r="D1334" s="28" t="s">
        <v>95</v>
      </c>
      <c r="E1334" s="13"/>
      <c r="F1334" s="102" t="str">
        <f t="shared" si="54"/>
        <v>Nincs Adat</v>
      </c>
      <c r="G1334" s="2"/>
      <c r="H1334" s="21"/>
    </row>
    <row r="1335" spans="1:11" x14ac:dyDescent="0.25">
      <c r="A1335" s="3">
        <v>44806</v>
      </c>
      <c r="B1335" s="2" t="s">
        <v>61</v>
      </c>
      <c r="C1335" s="36" t="s">
        <v>97</v>
      </c>
      <c r="D1335" s="28" t="s">
        <v>95</v>
      </c>
      <c r="E1335" s="13"/>
      <c r="F1335" s="102" t="str">
        <f t="shared" si="54"/>
        <v>Nincs Adat</v>
      </c>
      <c r="G1335" s="2"/>
      <c r="H1335" s="21"/>
    </row>
    <row r="1336" spans="1:11" x14ac:dyDescent="0.25">
      <c r="A1336" s="3"/>
      <c r="B1336" s="2"/>
      <c r="C1336" s="21"/>
      <c r="E1336" s="13"/>
      <c r="F1336" s="2" t="str">
        <f t="shared" si="54"/>
        <v>Nincs Adat</v>
      </c>
      <c r="G1336" s="2"/>
      <c r="H1336" s="21"/>
      <c r="J1336" s="1" t="str">
        <f>IF(I1336="H",IFERROR(VLOOKUP(E1336,podone,1,0),"Nincs Po"),"Nem Heineken Költség")</f>
        <v>Nem Heineken Költség</v>
      </c>
      <c r="K1336" s="2" t="str">
        <f>IFERROR(VLOOKUP(E1336,poprice,4,0),"")</f>
        <v/>
      </c>
    </row>
    <row r="1337" spans="1:11" x14ac:dyDescent="0.25">
      <c r="H1337" s="1"/>
    </row>
    <row r="1338" spans="1:11" x14ac:dyDescent="0.25">
      <c r="H1338" s="1"/>
    </row>
    <row r="1339" spans="1:11" x14ac:dyDescent="0.25">
      <c r="H1339" s="1"/>
    </row>
    <row r="1340" spans="1:11" x14ac:dyDescent="0.25">
      <c r="H1340" s="1"/>
    </row>
    <row r="1341" spans="1:11" x14ac:dyDescent="0.25">
      <c r="H1341" s="1"/>
    </row>
    <row r="1342" spans="1:11" x14ac:dyDescent="0.25">
      <c r="H1342" s="1"/>
    </row>
    <row r="1343" spans="1:11" x14ac:dyDescent="0.25">
      <c r="H1343" s="1"/>
    </row>
    <row r="1344" spans="1:11" x14ac:dyDescent="0.25">
      <c r="H1344" s="1"/>
    </row>
    <row r="1345" spans="8:8" x14ac:dyDescent="0.25">
      <c r="H1345" s="1"/>
    </row>
    <row r="1346" spans="8:8" x14ac:dyDescent="0.25">
      <c r="H1346" s="1"/>
    </row>
    <row r="1347" spans="8:8" x14ac:dyDescent="0.25">
      <c r="H1347" s="1"/>
    </row>
    <row r="1348" spans="8:8" x14ac:dyDescent="0.25">
      <c r="H1348" s="1"/>
    </row>
    <row r="1349" spans="8:8" x14ac:dyDescent="0.25">
      <c r="H1349" s="1"/>
    </row>
    <row r="1350" spans="8:8" x14ac:dyDescent="0.25">
      <c r="H1350" s="1"/>
    </row>
    <row r="1351" spans="8:8" x14ac:dyDescent="0.25">
      <c r="H1351" s="1"/>
    </row>
    <row r="1352" spans="8:8" x14ac:dyDescent="0.25">
      <c r="H1352" s="1"/>
    </row>
    <row r="1353" spans="8:8" x14ac:dyDescent="0.25">
      <c r="H1353" s="1"/>
    </row>
    <row r="1354" spans="8:8" x14ac:dyDescent="0.25">
      <c r="H1354" s="1"/>
    </row>
    <row r="1355" spans="8:8" x14ac:dyDescent="0.25">
      <c r="H1355" s="1"/>
    </row>
    <row r="1356" spans="8:8" x14ac:dyDescent="0.25">
      <c r="H1356" s="1"/>
    </row>
    <row r="1357" spans="8:8" x14ac:dyDescent="0.25">
      <c r="H1357" s="1"/>
    </row>
    <row r="1358" spans="8:8" x14ac:dyDescent="0.25">
      <c r="H1358" s="1"/>
    </row>
    <row r="1359" spans="8:8" x14ac:dyDescent="0.25">
      <c r="H1359" s="1"/>
    </row>
    <row r="1360" spans="8:8" x14ac:dyDescent="0.25">
      <c r="H1360" s="1"/>
    </row>
    <row r="1361" spans="8:8" x14ac:dyDescent="0.25">
      <c r="H1361" s="1"/>
    </row>
    <row r="1362" spans="8:8" x14ac:dyDescent="0.25">
      <c r="H1362" s="1"/>
    </row>
    <row r="1363" spans="8:8" x14ac:dyDescent="0.25">
      <c r="H1363" s="1"/>
    </row>
    <row r="1364" spans="8:8" x14ac:dyDescent="0.25">
      <c r="H1364" s="1"/>
    </row>
    <row r="1365" spans="8:8" x14ac:dyDescent="0.25">
      <c r="H1365" s="1"/>
    </row>
    <row r="1366" spans="8:8" x14ac:dyDescent="0.25">
      <c r="H1366" s="1"/>
    </row>
    <row r="1367" spans="8:8" x14ac:dyDescent="0.25">
      <c r="H1367" s="1"/>
    </row>
    <row r="1368" spans="8:8" x14ac:dyDescent="0.25">
      <c r="H1368" s="1"/>
    </row>
    <row r="1369" spans="8:8" x14ac:dyDescent="0.25">
      <c r="H1369" s="1"/>
    </row>
    <row r="1370" spans="8:8" x14ac:dyDescent="0.25">
      <c r="H1370" s="1"/>
    </row>
    <row r="1371" spans="8:8" x14ac:dyDescent="0.25">
      <c r="H1371" s="1"/>
    </row>
    <row r="1372" spans="8:8" x14ac:dyDescent="0.25">
      <c r="H1372" s="1"/>
    </row>
    <row r="1373" spans="8:8" x14ac:dyDescent="0.25">
      <c r="H1373" s="1"/>
    </row>
    <row r="1374" spans="8:8" x14ac:dyDescent="0.25">
      <c r="H1374" s="1"/>
    </row>
    <row r="1375" spans="8:8" x14ac:dyDescent="0.25">
      <c r="H1375" s="1"/>
    </row>
    <row r="1376" spans="8:8" x14ac:dyDescent="0.25">
      <c r="H1376" s="1"/>
    </row>
    <row r="1377" spans="8:8" x14ac:dyDescent="0.25">
      <c r="H1377" s="1"/>
    </row>
    <row r="1378" spans="8:8" x14ac:dyDescent="0.25">
      <c r="H1378" s="1"/>
    </row>
    <row r="1379" spans="8:8" x14ac:dyDescent="0.25">
      <c r="H1379" s="1"/>
    </row>
    <row r="1380" spans="8:8" x14ac:dyDescent="0.25">
      <c r="H1380" s="1"/>
    </row>
    <row r="1381" spans="8:8" x14ac:dyDescent="0.25">
      <c r="H1381" s="1"/>
    </row>
    <row r="1382" spans="8:8" x14ac:dyDescent="0.25">
      <c r="H1382" s="1"/>
    </row>
    <row r="1383" spans="8:8" x14ac:dyDescent="0.25">
      <c r="H1383" s="1"/>
    </row>
    <row r="1384" spans="8:8" x14ac:dyDescent="0.25">
      <c r="H1384" s="1"/>
    </row>
    <row r="1385" spans="8:8" x14ac:dyDescent="0.25">
      <c r="H1385" s="1"/>
    </row>
    <row r="1386" spans="8:8" x14ac:dyDescent="0.25">
      <c r="H1386" s="1"/>
    </row>
    <row r="1387" spans="8:8" x14ac:dyDescent="0.25">
      <c r="H1387" s="1"/>
    </row>
    <row r="1388" spans="8:8" x14ac:dyDescent="0.25">
      <c r="H1388" s="1"/>
    </row>
    <row r="1389" spans="8:8" x14ac:dyDescent="0.25">
      <c r="H1389" s="1"/>
    </row>
    <row r="1390" spans="8:8" x14ac:dyDescent="0.25">
      <c r="H1390" s="1"/>
    </row>
    <row r="1391" spans="8:8" x14ac:dyDescent="0.25">
      <c r="H1391" s="1"/>
    </row>
    <row r="1392" spans="8:8" x14ac:dyDescent="0.25">
      <c r="H1392" s="1"/>
    </row>
    <row r="1393" spans="8:8" x14ac:dyDescent="0.25">
      <c r="H1393" s="1"/>
    </row>
    <row r="1394" spans="8:8" x14ac:dyDescent="0.25">
      <c r="H1394" s="1"/>
    </row>
    <row r="1395" spans="8:8" x14ac:dyDescent="0.25">
      <c r="H1395" s="1"/>
    </row>
    <row r="1396" spans="8:8" x14ac:dyDescent="0.25">
      <c r="H1396" s="1"/>
    </row>
    <row r="1397" spans="8:8" x14ac:dyDescent="0.25">
      <c r="H1397" s="1"/>
    </row>
    <row r="1398" spans="8:8" x14ac:dyDescent="0.25">
      <c r="H1398" s="1"/>
    </row>
    <row r="1399" spans="8:8" x14ac:dyDescent="0.25">
      <c r="H1399" s="1"/>
    </row>
    <row r="1400" spans="8:8" x14ac:dyDescent="0.25">
      <c r="H1400" s="1"/>
    </row>
    <row r="1401" spans="8:8" x14ac:dyDescent="0.25">
      <c r="H1401" s="1"/>
    </row>
    <row r="1402" spans="8:8" x14ac:dyDescent="0.25">
      <c r="H1402" s="1"/>
    </row>
    <row r="1403" spans="8:8" x14ac:dyDescent="0.25">
      <c r="H1403" s="1"/>
    </row>
    <row r="1404" spans="8:8" x14ac:dyDescent="0.25">
      <c r="H1404" s="1"/>
    </row>
    <row r="1405" spans="8:8" x14ac:dyDescent="0.25">
      <c r="H1405" s="1"/>
    </row>
    <row r="1406" spans="8:8" x14ac:dyDescent="0.25">
      <c r="H1406" s="1"/>
    </row>
    <row r="1407" spans="8:8" x14ac:dyDescent="0.25">
      <c r="H1407" s="1"/>
    </row>
    <row r="1408" spans="8:8" x14ac:dyDescent="0.25">
      <c r="H1408" s="1"/>
    </row>
    <row r="1409" spans="8:8" x14ac:dyDescent="0.25">
      <c r="H1409" s="1"/>
    </row>
    <row r="1410" spans="8:8" x14ac:dyDescent="0.25">
      <c r="H1410" s="1"/>
    </row>
    <row r="1411" spans="8:8" x14ac:dyDescent="0.25">
      <c r="H1411" s="1"/>
    </row>
    <row r="1412" spans="8:8" x14ac:dyDescent="0.25">
      <c r="H1412" s="1"/>
    </row>
    <row r="1413" spans="8:8" x14ac:dyDescent="0.25">
      <c r="H1413" s="1"/>
    </row>
    <row r="1414" spans="8:8" x14ac:dyDescent="0.25">
      <c r="H1414" s="1"/>
    </row>
    <row r="1415" spans="8:8" x14ac:dyDescent="0.25">
      <c r="H1415" s="1"/>
    </row>
    <row r="1416" spans="8:8" x14ac:dyDescent="0.25">
      <c r="H1416" s="1"/>
    </row>
    <row r="1417" spans="8:8" x14ac:dyDescent="0.25">
      <c r="H1417" s="1"/>
    </row>
    <row r="1418" spans="8:8" x14ac:dyDescent="0.25">
      <c r="H1418" s="1"/>
    </row>
    <row r="1419" spans="8:8" x14ac:dyDescent="0.25">
      <c r="H1419" s="1"/>
    </row>
    <row r="1420" spans="8:8" x14ac:dyDescent="0.25">
      <c r="H1420" s="1"/>
    </row>
    <row r="1421" spans="8:8" x14ac:dyDescent="0.25">
      <c r="H1421" s="1"/>
    </row>
    <row r="1422" spans="8:8" x14ac:dyDescent="0.25">
      <c r="H1422" s="1"/>
    </row>
    <row r="1423" spans="8:8" x14ac:dyDescent="0.25">
      <c r="H1423" s="1"/>
    </row>
    <row r="1424" spans="8:8" x14ac:dyDescent="0.25">
      <c r="H1424" s="1"/>
    </row>
    <row r="1425" spans="8:8" x14ac:dyDescent="0.25">
      <c r="H1425" s="1"/>
    </row>
    <row r="1426" spans="8:8" x14ac:dyDescent="0.25">
      <c r="H1426" s="1"/>
    </row>
    <row r="1427" spans="8:8" x14ac:dyDescent="0.25">
      <c r="H1427" s="1"/>
    </row>
    <row r="1428" spans="8:8" x14ac:dyDescent="0.25">
      <c r="H1428" s="1"/>
    </row>
    <row r="1429" spans="8:8" x14ac:dyDescent="0.25">
      <c r="H1429" s="1"/>
    </row>
    <row r="1430" spans="8:8" x14ac:dyDescent="0.25">
      <c r="H1430" s="1"/>
    </row>
    <row r="1431" spans="8:8" x14ac:dyDescent="0.25">
      <c r="H1431" s="1"/>
    </row>
    <row r="1432" spans="8:8" x14ac:dyDescent="0.25">
      <c r="H1432" s="1"/>
    </row>
    <row r="1433" spans="8:8" x14ac:dyDescent="0.25">
      <c r="H1433" s="1"/>
    </row>
    <row r="1434" spans="8:8" x14ac:dyDescent="0.25">
      <c r="H1434" s="1"/>
    </row>
    <row r="1435" spans="8:8" x14ac:dyDescent="0.25">
      <c r="H1435" s="1"/>
    </row>
    <row r="1436" spans="8:8" x14ac:dyDescent="0.25">
      <c r="H1436" s="1"/>
    </row>
    <row r="1437" spans="8:8" x14ac:dyDescent="0.25">
      <c r="H1437" s="1"/>
    </row>
    <row r="1438" spans="8:8" x14ac:dyDescent="0.25">
      <c r="H1438" s="1"/>
    </row>
    <row r="1439" spans="8:8" x14ac:dyDescent="0.25">
      <c r="H1439" s="1"/>
    </row>
    <row r="1440" spans="8:8" x14ac:dyDescent="0.25">
      <c r="H1440" s="1"/>
    </row>
    <row r="1441" spans="8:8" x14ac:dyDescent="0.25">
      <c r="H1441" s="1"/>
    </row>
    <row r="1442" spans="8:8" x14ac:dyDescent="0.25">
      <c r="H1442" s="1"/>
    </row>
    <row r="1443" spans="8:8" x14ac:dyDescent="0.25">
      <c r="H1443" s="1"/>
    </row>
    <row r="1444" spans="8:8" x14ac:dyDescent="0.25">
      <c r="H1444" s="1"/>
    </row>
    <row r="1445" spans="8:8" x14ac:dyDescent="0.25">
      <c r="H1445" s="1"/>
    </row>
    <row r="1446" spans="8:8" x14ac:dyDescent="0.25">
      <c r="H1446" s="1"/>
    </row>
    <row r="1447" spans="8:8" x14ac:dyDescent="0.25">
      <c r="H1447" s="1"/>
    </row>
    <row r="1448" spans="8:8" x14ac:dyDescent="0.25">
      <c r="H1448" s="1"/>
    </row>
    <row r="1449" spans="8:8" x14ac:dyDescent="0.25">
      <c r="H1449" s="1"/>
    </row>
    <row r="1450" spans="8:8" x14ac:dyDescent="0.25">
      <c r="H1450" s="1"/>
    </row>
    <row r="1451" spans="8:8" x14ac:dyDescent="0.25">
      <c r="H1451" s="1"/>
    </row>
    <row r="1452" spans="8:8" x14ac:dyDescent="0.25">
      <c r="H1452" s="1"/>
    </row>
    <row r="1453" spans="8:8" x14ac:dyDescent="0.25">
      <c r="H1453" s="1"/>
    </row>
    <row r="1454" spans="8:8" x14ac:dyDescent="0.25">
      <c r="H1454" s="1"/>
    </row>
    <row r="1455" spans="8:8" x14ac:dyDescent="0.25">
      <c r="H1455" s="1"/>
    </row>
    <row r="1456" spans="8:8" x14ac:dyDescent="0.25">
      <c r="H1456" s="1"/>
    </row>
    <row r="1457" spans="8:8" x14ac:dyDescent="0.25">
      <c r="H1457" s="1"/>
    </row>
    <row r="1458" spans="8:8" x14ac:dyDescent="0.25">
      <c r="H1458" s="1"/>
    </row>
    <row r="1459" spans="8:8" x14ac:dyDescent="0.25">
      <c r="H1459" s="1"/>
    </row>
    <row r="1460" spans="8:8" x14ac:dyDescent="0.25">
      <c r="H1460" s="1"/>
    </row>
    <row r="1461" spans="8:8" x14ac:dyDescent="0.25">
      <c r="H1461" s="1"/>
    </row>
    <row r="1462" spans="8:8" x14ac:dyDescent="0.25">
      <c r="H1462" s="1"/>
    </row>
    <row r="1463" spans="8:8" x14ac:dyDescent="0.25">
      <c r="H1463" s="1"/>
    </row>
    <row r="1464" spans="8:8" x14ac:dyDescent="0.25">
      <c r="H1464" s="1"/>
    </row>
    <row r="1465" spans="8:8" x14ac:dyDescent="0.25">
      <c r="H1465" s="1"/>
    </row>
    <row r="1466" spans="8:8" x14ac:dyDescent="0.25">
      <c r="H1466" s="1"/>
    </row>
    <row r="1467" spans="8:8" x14ac:dyDescent="0.25">
      <c r="H1467" s="1"/>
    </row>
    <row r="1468" spans="8:8" x14ac:dyDescent="0.25">
      <c r="H1468" s="1"/>
    </row>
    <row r="1469" spans="8:8" x14ac:dyDescent="0.25">
      <c r="H1469" s="1"/>
    </row>
    <row r="1470" spans="8:8" x14ac:dyDescent="0.25">
      <c r="H1470" s="1"/>
    </row>
    <row r="1471" spans="8:8" x14ac:dyDescent="0.25">
      <c r="H1471" s="1"/>
    </row>
    <row r="1472" spans="8:8" x14ac:dyDescent="0.25">
      <c r="H1472" s="1"/>
    </row>
    <row r="1473" spans="8:8" x14ac:dyDescent="0.25">
      <c r="H1473" s="1"/>
    </row>
    <row r="1474" spans="8:8" x14ac:dyDescent="0.25">
      <c r="H1474" s="1"/>
    </row>
    <row r="1475" spans="8:8" x14ac:dyDescent="0.25">
      <c r="H1475" s="1"/>
    </row>
    <row r="1476" spans="8:8" x14ac:dyDescent="0.25">
      <c r="H1476" s="1"/>
    </row>
    <row r="1477" spans="8:8" x14ac:dyDescent="0.25">
      <c r="H1477" s="1"/>
    </row>
    <row r="1478" spans="8:8" x14ac:dyDescent="0.25">
      <c r="H1478" s="1"/>
    </row>
    <row r="1479" spans="8:8" x14ac:dyDescent="0.25">
      <c r="H1479" s="1"/>
    </row>
    <row r="1480" spans="8:8" x14ac:dyDescent="0.25">
      <c r="H1480" s="1"/>
    </row>
    <row r="1481" spans="8:8" x14ac:dyDescent="0.25">
      <c r="H1481" s="1"/>
    </row>
    <row r="1482" spans="8:8" x14ac:dyDescent="0.25">
      <c r="H1482" s="1"/>
    </row>
    <row r="1483" spans="8:8" x14ac:dyDescent="0.25">
      <c r="H1483" s="1"/>
    </row>
    <row r="1484" spans="8:8" x14ac:dyDescent="0.25">
      <c r="H1484" s="1"/>
    </row>
    <row r="1485" spans="8:8" x14ac:dyDescent="0.25">
      <c r="H1485" s="1"/>
    </row>
    <row r="1486" spans="8:8" x14ac:dyDescent="0.25">
      <c r="H1486" s="1"/>
    </row>
    <row r="1487" spans="8:8" x14ac:dyDescent="0.25">
      <c r="H1487" s="1"/>
    </row>
    <row r="1488" spans="8:8" x14ac:dyDescent="0.25">
      <c r="H1488" s="1"/>
    </row>
    <row r="1489" spans="8:8" x14ac:dyDescent="0.25">
      <c r="H1489" s="1"/>
    </row>
    <row r="1490" spans="8:8" x14ac:dyDescent="0.25">
      <c r="H1490" s="1"/>
    </row>
    <row r="1491" spans="8:8" x14ac:dyDescent="0.25">
      <c r="H1491" s="1"/>
    </row>
    <row r="1492" spans="8:8" x14ac:dyDescent="0.25">
      <c r="H1492" s="1"/>
    </row>
    <row r="1493" spans="8:8" x14ac:dyDescent="0.25">
      <c r="H1493" s="1"/>
    </row>
    <row r="1494" spans="8:8" x14ac:dyDescent="0.25">
      <c r="H1494" s="1"/>
    </row>
    <row r="1495" spans="8:8" x14ac:dyDescent="0.25">
      <c r="H1495" s="1"/>
    </row>
    <row r="1496" spans="8:8" x14ac:dyDescent="0.25">
      <c r="H1496" s="1"/>
    </row>
    <row r="1497" spans="8:8" x14ac:dyDescent="0.25">
      <c r="H1497" s="1"/>
    </row>
    <row r="1498" spans="8:8" x14ac:dyDescent="0.25">
      <c r="H1498" s="1"/>
    </row>
    <row r="1499" spans="8:8" x14ac:dyDescent="0.25">
      <c r="H1499" s="1"/>
    </row>
    <row r="1500" spans="8:8" x14ac:dyDescent="0.25">
      <c r="H1500" s="1"/>
    </row>
    <row r="1501" spans="8:8" x14ac:dyDescent="0.25">
      <c r="H1501" s="1"/>
    </row>
    <row r="1502" spans="8:8" x14ac:dyDescent="0.25">
      <c r="H1502" s="1"/>
    </row>
    <row r="1503" spans="8:8" x14ac:dyDescent="0.25">
      <c r="H1503" s="1"/>
    </row>
    <row r="1504" spans="8:8" x14ac:dyDescent="0.25">
      <c r="H1504" s="1"/>
    </row>
    <row r="1505" spans="8:8" x14ac:dyDescent="0.25">
      <c r="H1505" s="1"/>
    </row>
    <row r="1506" spans="8:8" x14ac:dyDescent="0.25">
      <c r="H1506" s="1"/>
    </row>
    <row r="1507" spans="8:8" x14ac:dyDescent="0.25">
      <c r="H1507" s="1"/>
    </row>
    <row r="1508" spans="8:8" x14ac:dyDescent="0.25">
      <c r="H1508" s="1"/>
    </row>
    <row r="1509" spans="8:8" x14ac:dyDescent="0.25">
      <c r="H1509" s="1"/>
    </row>
    <row r="1510" spans="8:8" x14ac:dyDescent="0.25">
      <c r="H1510" s="1"/>
    </row>
    <row r="1511" spans="8:8" x14ac:dyDescent="0.25">
      <c r="H1511" s="1"/>
    </row>
    <row r="1512" spans="8:8" x14ac:dyDescent="0.25">
      <c r="H1512" s="1"/>
    </row>
    <row r="1513" spans="8:8" x14ac:dyDescent="0.25">
      <c r="H1513" s="1"/>
    </row>
    <row r="1514" spans="8:8" x14ac:dyDescent="0.25">
      <c r="H1514" s="1"/>
    </row>
    <row r="1515" spans="8:8" x14ac:dyDescent="0.25">
      <c r="H1515" s="1"/>
    </row>
    <row r="1516" spans="8:8" x14ac:dyDescent="0.25">
      <c r="H1516" s="1"/>
    </row>
    <row r="1517" spans="8:8" x14ac:dyDescent="0.25">
      <c r="H1517" s="1"/>
    </row>
    <row r="1518" spans="8:8" x14ac:dyDescent="0.25">
      <c r="H1518" s="1"/>
    </row>
    <row r="1519" spans="8:8" x14ac:dyDescent="0.25">
      <c r="H1519" s="1"/>
    </row>
    <row r="1520" spans="8:8" x14ac:dyDescent="0.25">
      <c r="H1520" s="1"/>
    </row>
    <row r="1521" spans="8:8" x14ac:dyDescent="0.25">
      <c r="H1521" s="1"/>
    </row>
    <row r="1522" spans="8:8" x14ac:dyDescent="0.25">
      <c r="H1522" s="1"/>
    </row>
    <row r="1523" spans="8:8" x14ac:dyDescent="0.25">
      <c r="H1523" s="1"/>
    </row>
    <row r="1524" spans="8:8" x14ac:dyDescent="0.25">
      <c r="H1524" s="1"/>
    </row>
    <row r="1525" spans="8:8" x14ac:dyDescent="0.25">
      <c r="H1525" s="1"/>
    </row>
    <row r="1526" spans="8:8" x14ac:dyDescent="0.25">
      <c r="H1526" s="1"/>
    </row>
    <row r="1527" spans="8:8" x14ac:dyDescent="0.25">
      <c r="H1527" s="1"/>
    </row>
    <row r="1528" spans="8:8" x14ac:dyDescent="0.25">
      <c r="H1528" s="1"/>
    </row>
    <row r="1529" spans="8:8" x14ac:dyDescent="0.25">
      <c r="H1529" s="1"/>
    </row>
    <row r="1530" spans="8:8" x14ac:dyDescent="0.25">
      <c r="H1530" s="1"/>
    </row>
    <row r="1531" spans="8:8" x14ac:dyDescent="0.25">
      <c r="H1531" s="1"/>
    </row>
    <row r="1532" spans="8:8" x14ac:dyDescent="0.25">
      <c r="H1532" s="1"/>
    </row>
    <row r="1533" spans="8:8" x14ac:dyDescent="0.25">
      <c r="H1533" s="1"/>
    </row>
    <row r="1534" spans="8:8" x14ac:dyDescent="0.25">
      <c r="H1534" s="1"/>
    </row>
    <row r="1535" spans="8:8" x14ac:dyDescent="0.25">
      <c r="H1535" s="1"/>
    </row>
    <row r="1536" spans="8:8" x14ac:dyDescent="0.25">
      <c r="H1536" s="1"/>
    </row>
    <row r="1537" spans="8:8" x14ac:dyDescent="0.25">
      <c r="H1537" s="1"/>
    </row>
    <row r="1538" spans="8:8" x14ac:dyDescent="0.25">
      <c r="H1538" s="1"/>
    </row>
    <row r="1539" spans="8:8" x14ac:dyDescent="0.25">
      <c r="H1539" s="1"/>
    </row>
    <row r="1540" spans="8:8" x14ac:dyDescent="0.25">
      <c r="H1540" s="1"/>
    </row>
    <row r="1541" spans="8:8" x14ac:dyDescent="0.25">
      <c r="H1541" s="1"/>
    </row>
    <row r="1542" spans="8:8" x14ac:dyDescent="0.25">
      <c r="H1542" s="1"/>
    </row>
    <row r="1543" spans="8:8" x14ac:dyDescent="0.25">
      <c r="H1543" s="1"/>
    </row>
    <row r="1544" spans="8:8" x14ac:dyDescent="0.25">
      <c r="H1544" s="1"/>
    </row>
    <row r="1545" spans="8:8" x14ac:dyDescent="0.25">
      <c r="H1545" s="1"/>
    </row>
    <row r="1546" spans="8:8" x14ac:dyDescent="0.25">
      <c r="H1546" s="1"/>
    </row>
    <row r="1547" spans="8:8" x14ac:dyDescent="0.25">
      <c r="H1547" s="1"/>
    </row>
    <row r="1548" spans="8:8" x14ac:dyDescent="0.25">
      <c r="H1548" s="1"/>
    </row>
    <row r="1549" spans="8:8" x14ac:dyDescent="0.25">
      <c r="H1549" s="1"/>
    </row>
    <row r="1550" spans="8:8" x14ac:dyDescent="0.25">
      <c r="H1550" s="1"/>
    </row>
    <row r="1551" spans="8:8" x14ac:dyDescent="0.25">
      <c r="H1551" s="1"/>
    </row>
    <row r="1552" spans="8:8" x14ac:dyDescent="0.25">
      <c r="H1552" s="1"/>
    </row>
    <row r="1553" spans="8:8" x14ac:dyDescent="0.25">
      <c r="H1553" s="1"/>
    </row>
    <row r="1554" spans="8:8" x14ac:dyDescent="0.25">
      <c r="H1554" s="1"/>
    </row>
    <row r="1555" spans="8:8" x14ac:dyDescent="0.25">
      <c r="H1555" s="1"/>
    </row>
    <row r="1556" spans="8:8" x14ac:dyDescent="0.25">
      <c r="H1556" s="1"/>
    </row>
    <row r="1557" spans="8:8" x14ac:dyDescent="0.25">
      <c r="H1557" s="1"/>
    </row>
    <row r="1558" spans="8:8" x14ac:dyDescent="0.25">
      <c r="H1558" s="1"/>
    </row>
    <row r="1559" spans="8:8" x14ac:dyDescent="0.25">
      <c r="H1559" s="1"/>
    </row>
    <row r="1560" spans="8:8" x14ac:dyDescent="0.25">
      <c r="H1560" s="1"/>
    </row>
    <row r="1561" spans="8:8" x14ac:dyDescent="0.25">
      <c r="H1561" s="1"/>
    </row>
    <row r="1562" spans="8:8" x14ac:dyDescent="0.25">
      <c r="H1562" s="1"/>
    </row>
    <row r="1563" spans="8:8" x14ac:dyDescent="0.25">
      <c r="H1563" s="1"/>
    </row>
    <row r="1564" spans="8:8" x14ac:dyDescent="0.25">
      <c r="H1564" s="1"/>
    </row>
    <row r="1565" spans="8:8" x14ac:dyDescent="0.25">
      <c r="H1565" s="1"/>
    </row>
    <row r="1566" spans="8:8" x14ac:dyDescent="0.25">
      <c r="H1566" s="1"/>
    </row>
    <row r="1567" spans="8:8" x14ac:dyDescent="0.25">
      <c r="H1567" s="1"/>
    </row>
    <row r="1568" spans="8:8" x14ac:dyDescent="0.25">
      <c r="H1568" s="1"/>
    </row>
    <row r="1569" spans="8:8" x14ac:dyDescent="0.25">
      <c r="H1569" s="1"/>
    </row>
    <row r="1570" spans="8:8" x14ac:dyDescent="0.25">
      <c r="H1570" s="1"/>
    </row>
    <row r="1571" spans="8:8" x14ac:dyDescent="0.25">
      <c r="H1571" s="1"/>
    </row>
    <row r="1572" spans="8:8" x14ac:dyDescent="0.25">
      <c r="H1572" s="1"/>
    </row>
    <row r="1573" spans="8:8" x14ac:dyDescent="0.25">
      <c r="H1573" s="1"/>
    </row>
    <row r="1574" spans="8:8" x14ac:dyDescent="0.25">
      <c r="H1574" s="1"/>
    </row>
    <row r="1575" spans="8:8" x14ac:dyDescent="0.25">
      <c r="H1575" s="1"/>
    </row>
    <row r="1576" spans="8:8" x14ac:dyDescent="0.25">
      <c r="H1576" s="1"/>
    </row>
    <row r="1577" spans="8:8" x14ac:dyDescent="0.25">
      <c r="H1577" s="1"/>
    </row>
    <row r="1578" spans="8:8" x14ac:dyDescent="0.25">
      <c r="H1578" s="1"/>
    </row>
    <row r="1579" spans="8:8" x14ac:dyDescent="0.25">
      <c r="H1579" s="1"/>
    </row>
    <row r="1580" spans="8:8" x14ac:dyDescent="0.25">
      <c r="H1580" s="1"/>
    </row>
    <row r="1581" spans="8:8" x14ac:dyDescent="0.25">
      <c r="H1581" s="1"/>
    </row>
    <row r="1582" spans="8:8" x14ac:dyDescent="0.25">
      <c r="H1582" s="1"/>
    </row>
    <row r="1583" spans="8:8" x14ac:dyDescent="0.25">
      <c r="H1583" s="1"/>
    </row>
    <row r="1584" spans="8:8" x14ac:dyDescent="0.25">
      <c r="H1584" s="1"/>
    </row>
    <row r="1585" spans="8:8" x14ac:dyDescent="0.25">
      <c r="H1585" s="1"/>
    </row>
    <row r="1586" spans="8:8" x14ac:dyDescent="0.25">
      <c r="H1586" s="1"/>
    </row>
    <row r="1587" spans="8:8" x14ac:dyDescent="0.25">
      <c r="H1587" s="1"/>
    </row>
    <row r="1588" spans="8:8" x14ac:dyDescent="0.25">
      <c r="H1588" s="1"/>
    </row>
    <row r="1589" spans="8:8" x14ac:dyDescent="0.25">
      <c r="H1589" s="1"/>
    </row>
    <row r="1590" spans="8:8" x14ac:dyDescent="0.25">
      <c r="H1590" s="1"/>
    </row>
    <row r="1591" spans="8:8" x14ac:dyDescent="0.25">
      <c r="H1591" s="1"/>
    </row>
    <row r="1592" spans="8:8" x14ac:dyDescent="0.25">
      <c r="H1592" s="1"/>
    </row>
    <row r="1593" spans="8:8" x14ac:dyDescent="0.25">
      <c r="H1593" s="1"/>
    </row>
    <row r="1594" spans="8:8" x14ac:dyDescent="0.25">
      <c r="H1594" s="1"/>
    </row>
    <row r="1595" spans="8:8" x14ac:dyDescent="0.25">
      <c r="H1595" s="1"/>
    </row>
    <row r="1596" spans="8:8" x14ac:dyDescent="0.25">
      <c r="H1596" s="1"/>
    </row>
    <row r="1597" spans="8:8" x14ac:dyDescent="0.25">
      <c r="H1597" s="1"/>
    </row>
    <row r="1598" spans="8:8" x14ac:dyDescent="0.25">
      <c r="H1598" s="1"/>
    </row>
    <row r="1599" spans="8:8" x14ac:dyDescent="0.25">
      <c r="H1599" s="1"/>
    </row>
    <row r="1600" spans="8:8" x14ac:dyDescent="0.25">
      <c r="H1600" s="1"/>
    </row>
    <row r="1601" spans="8:8" x14ac:dyDescent="0.25">
      <c r="H1601" s="1"/>
    </row>
    <row r="1602" spans="8:8" x14ac:dyDescent="0.25">
      <c r="H1602" s="1"/>
    </row>
    <row r="1603" spans="8:8" x14ac:dyDescent="0.25">
      <c r="H1603" s="1"/>
    </row>
    <row r="1604" spans="8:8" x14ac:dyDescent="0.25">
      <c r="H1604" s="1"/>
    </row>
    <row r="1605" spans="8:8" x14ac:dyDescent="0.25">
      <c r="H1605" s="1"/>
    </row>
    <row r="1606" spans="8:8" x14ac:dyDescent="0.25">
      <c r="H1606" s="1"/>
    </row>
    <row r="1607" spans="8:8" x14ac:dyDescent="0.25">
      <c r="H1607" s="1"/>
    </row>
    <row r="1608" spans="8:8" x14ac:dyDescent="0.25">
      <c r="H1608" s="1"/>
    </row>
    <row r="1609" spans="8:8" x14ac:dyDescent="0.25">
      <c r="H1609" s="1"/>
    </row>
    <row r="1610" spans="8:8" x14ac:dyDescent="0.25">
      <c r="H1610" s="1"/>
    </row>
    <row r="1611" spans="8:8" x14ac:dyDescent="0.25">
      <c r="H1611" s="1"/>
    </row>
    <row r="1612" spans="8:8" x14ac:dyDescent="0.25">
      <c r="H1612" s="1"/>
    </row>
    <row r="1613" spans="8:8" x14ac:dyDescent="0.25">
      <c r="H1613" s="1"/>
    </row>
    <row r="1614" spans="8:8" x14ac:dyDescent="0.25">
      <c r="H1614" s="1"/>
    </row>
    <row r="1615" spans="8:8" x14ac:dyDescent="0.25">
      <c r="H1615" s="1"/>
    </row>
    <row r="1616" spans="8:8" x14ac:dyDescent="0.25">
      <c r="H1616" s="1"/>
    </row>
    <row r="1617" spans="8:8" x14ac:dyDescent="0.25">
      <c r="H1617" s="1"/>
    </row>
    <row r="1618" spans="8:8" x14ac:dyDescent="0.25">
      <c r="H1618" s="1"/>
    </row>
    <row r="1619" spans="8:8" x14ac:dyDescent="0.25">
      <c r="H1619" s="1"/>
    </row>
    <row r="1620" spans="8:8" x14ac:dyDescent="0.25">
      <c r="H1620" s="1"/>
    </row>
    <row r="1621" spans="8:8" x14ac:dyDescent="0.25">
      <c r="H1621" s="1"/>
    </row>
    <row r="1622" spans="8:8" x14ac:dyDescent="0.25">
      <c r="H1622" s="1"/>
    </row>
    <row r="1623" spans="8:8" x14ac:dyDescent="0.25">
      <c r="H1623" s="1"/>
    </row>
    <row r="1624" spans="8:8" x14ac:dyDescent="0.25">
      <c r="H1624" s="1"/>
    </row>
    <row r="1625" spans="8:8" x14ac:dyDescent="0.25">
      <c r="H1625" s="1"/>
    </row>
    <row r="1626" spans="8:8" x14ac:dyDescent="0.25">
      <c r="H1626" s="1"/>
    </row>
    <row r="1627" spans="8:8" x14ac:dyDescent="0.25">
      <c r="H1627" s="1"/>
    </row>
    <row r="1628" spans="8:8" x14ac:dyDescent="0.25">
      <c r="H1628" s="1"/>
    </row>
    <row r="1629" spans="8:8" x14ac:dyDescent="0.25">
      <c r="H1629" s="1"/>
    </row>
    <row r="1630" spans="8:8" x14ac:dyDescent="0.25">
      <c r="H1630" s="1"/>
    </row>
    <row r="1631" spans="8:8" x14ac:dyDescent="0.25">
      <c r="H1631" s="1"/>
    </row>
    <row r="1632" spans="8:8" x14ac:dyDescent="0.25">
      <c r="H1632" s="1"/>
    </row>
    <row r="1633" spans="8:8" x14ac:dyDescent="0.25">
      <c r="H1633" s="1"/>
    </row>
    <row r="1634" spans="8:8" x14ac:dyDescent="0.25">
      <c r="H1634" s="1"/>
    </row>
    <row r="1635" spans="8:8" x14ac:dyDescent="0.25">
      <c r="H1635" s="1"/>
    </row>
    <row r="1636" spans="8:8" x14ac:dyDescent="0.25">
      <c r="H1636" s="1"/>
    </row>
    <row r="1637" spans="8:8" x14ac:dyDescent="0.25">
      <c r="H1637" s="1"/>
    </row>
    <row r="1638" spans="8:8" x14ac:dyDescent="0.25">
      <c r="H1638" s="1"/>
    </row>
    <row r="1639" spans="8:8" x14ac:dyDescent="0.25">
      <c r="H1639" s="1"/>
    </row>
    <row r="1640" spans="8:8" x14ac:dyDescent="0.25">
      <c r="H1640" s="1"/>
    </row>
    <row r="1641" spans="8:8" x14ac:dyDescent="0.25">
      <c r="H1641" s="1"/>
    </row>
    <row r="1642" spans="8:8" x14ac:dyDescent="0.25">
      <c r="H1642" s="1"/>
    </row>
    <row r="1643" spans="8:8" x14ac:dyDescent="0.25">
      <c r="H1643" s="1"/>
    </row>
    <row r="1644" spans="8:8" x14ac:dyDescent="0.25">
      <c r="H1644" s="1"/>
    </row>
    <row r="1645" spans="8:8" x14ac:dyDescent="0.25">
      <c r="H1645" s="1"/>
    </row>
    <row r="1646" spans="8:8" x14ac:dyDescent="0.25">
      <c r="H1646" s="1"/>
    </row>
    <row r="1647" spans="8:8" x14ac:dyDescent="0.25">
      <c r="H1647" s="1"/>
    </row>
    <row r="1648" spans="8:8" x14ac:dyDescent="0.25">
      <c r="H1648" s="1"/>
    </row>
    <row r="1649" spans="8:8" x14ac:dyDescent="0.25">
      <c r="H1649" s="1"/>
    </row>
    <row r="1650" spans="8:8" x14ac:dyDescent="0.25">
      <c r="H1650" s="1"/>
    </row>
    <row r="1651" spans="8:8" x14ac:dyDescent="0.25">
      <c r="H1651" s="1"/>
    </row>
    <row r="1652" spans="8:8" x14ac:dyDescent="0.25">
      <c r="H1652" s="1"/>
    </row>
    <row r="1653" spans="8:8" x14ac:dyDescent="0.25">
      <c r="H1653" s="1"/>
    </row>
    <row r="1654" spans="8:8" x14ac:dyDescent="0.25">
      <c r="H1654" s="1"/>
    </row>
    <row r="1655" spans="8:8" x14ac:dyDescent="0.25">
      <c r="H1655" s="1"/>
    </row>
    <row r="1656" spans="8:8" x14ac:dyDescent="0.25">
      <c r="H1656" s="1"/>
    </row>
    <row r="1657" spans="8:8" x14ac:dyDescent="0.25">
      <c r="H1657" s="1"/>
    </row>
    <row r="1658" spans="8:8" x14ac:dyDescent="0.25">
      <c r="H1658" s="1"/>
    </row>
    <row r="1659" spans="8:8" x14ac:dyDescent="0.25">
      <c r="H1659" s="1"/>
    </row>
    <row r="1660" spans="8:8" x14ac:dyDescent="0.25">
      <c r="H1660" s="1"/>
    </row>
    <row r="1661" spans="8:8" x14ac:dyDescent="0.25">
      <c r="H1661" s="1"/>
    </row>
    <row r="1662" spans="8:8" x14ac:dyDescent="0.25">
      <c r="H1662" s="1"/>
    </row>
    <row r="1663" spans="8:8" x14ac:dyDescent="0.25">
      <c r="H1663" s="1"/>
    </row>
    <row r="1664" spans="8:8" x14ac:dyDescent="0.25">
      <c r="H1664" s="1"/>
    </row>
    <row r="1665" spans="8:8" x14ac:dyDescent="0.25">
      <c r="H1665" s="1"/>
    </row>
    <row r="1666" spans="8:8" x14ac:dyDescent="0.25">
      <c r="H1666" s="1"/>
    </row>
    <row r="1667" spans="8:8" x14ac:dyDescent="0.25">
      <c r="H1667" s="1"/>
    </row>
    <row r="1668" spans="8:8" x14ac:dyDescent="0.25">
      <c r="H1668" s="1"/>
    </row>
    <row r="1669" spans="8:8" x14ac:dyDescent="0.25">
      <c r="H1669" s="1"/>
    </row>
    <row r="1670" spans="8:8" x14ac:dyDescent="0.25">
      <c r="H1670" s="1"/>
    </row>
    <row r="1671" spans="8:8" x14ac:dyDescent="0.25">
      <c r="H1671" s="1"/>
    </row>
    <row r="1672" spans="8:8" x14ac:dyDescent="0.25">
      <c r="H1672" s="1"/>
    </row>
    <row r="1673" spans="8:8" x14ac:dyDescent="0.25">
      <c r="H1673" s="1"/>
    </row>
    <row r="1674" spans="8:8" x14ac:dyDescent="0.25">
      <c r="H1674" s="1"/>
    </row>
    <row r="1675" spans="8:8" x14ac:dyDescent="0.25">
      <c r="H1675" s="1"/>
    </row>
    <row r="1676" spans="8:8" x14ac:dyDescent="0.25">
      <c r="H1676" s="1"/>
    </row>
    <row r="1677" spans="8:8" x14ac:dyDescent="0.25">
      <c r="H1677" s="1"/>
    </row>
    <row r="1678" spans="8:8" x14ac:dyDescent="0.25">
      <c r="H1678" s="1"/>
    </row>
    <row r="1679" spans="8:8" x14ac:dyDescent="0.25">
      <c r="H1679" s="1"/>
    </row>
    <row r="1680" spans="8:8" x14ac:dyDescent="0.25">
      <c r="H1680" s="1"/>
    </row>
    <row r="1681" spans="8:8" x14ac:dyDescent="0.25">
      <c r="H1681" s="1"/>
    </row>
    <row r="1682" spans="8:8" x14ac:dyDescent="0.25">
      <c r="H1682" s="1"/>
    </row>
    <row r="1683" spans="8:8" x14ac:dyDescent="0.25">
      <c r="H1683" s="1"/>
    </row>
    <row r="1684" spans="8:8" x14ac:dyDescent="0.25">
      <c r="H1684" s="1"/>
    </row>
    <row r="1685" spans="8:8" x14ac:dyDescent="0.25">
      <c r="H1685" s="1"/>
    </row>
    <row r="1686" spans="8:8" x14ac:dyDescent="0.25">
      <c r="H1686" s="1"/>
    </row>
    <row r="1687" spans="8:8" x14ac:dyDescent="0.25">
      <c r="H1687" s="1"/>
    </row>
    <row r="1688" spans="8:8" x14ac:dyDescent="0.25">
      <c r="H1688" s="1"/>
    </row>
    <row r="1689" spans="8:8" x14ac:dyDescent="0.25">
      <c r="H1689" s="1"/>
    </row>
    <row r="1690" spans="8:8" x14ac:dyDescent="0.25">
      <c r="H1690" s="1"/>
    </row>
    <row r="1691" spans="8:8" x14ac:dyDescent="0.25">
      <c r="H1691" s="1"/>
    </row>
    <row r="1692" spans="8:8" x14ac:dyDescent="0.25">
      <c r="H1692" s="1"/>
    </row>
    <row r="1693" spans="8:8" x14ac:dyDescent="0.25">
      <c r="H1693" s="1"/>
    </row>
    <row r="1694" spans="8:8" x14ac:dyDescent="0.25">
      <c r="H1694" s="1"/>
    </row>
    <row r="1695" spans="8:8" x14ac:dyDescent="0.25">
      <c r="H1695" s="1"/>
    </row>
    <row r="1696" spans="8:8" x14ac:dyDescent="0.25">
      <c r="H1696" s="1"/>
    </row>
    <row r="1697" spans="8:8" x14ac:dyDescent="0.25">
      <c r="H1697" s="1"/>
    </row>
    <row r="1698" spans="8:8" x14ac:dyDescent="0.25">
      <c r="H1698" s="1"/>
    </row>
    <row r="1699" spans="8:8" x14ac:dyDescent="0.25">
      <c r="H1699" s="1"/>
    </row>
    <row r="1700" spans="8:8" x14ac:dyDescent="0.25">
      <c r="H1700" s="1"/>
    </row>
    <row r="1701" spans="8:8" x14ac:dyDescent="0.25">
      <c r="H1701" s="1"/>
    </row>
    <row r="1702" spans="8:8" x14ac:dyDescent="0.25">
      <c r="H1702" s="1"/>
    </row>
    <row r="1703" spans="8:8" x14ac:dyDescent="0.25">
      <c r="H1703" s="1"/>
    </row>
    <row r="1704" spans="8:8" x14ac:dyDescent="0.25">
      <c r="H1704" s="1"/>
    </row>
    <row r="1705" spans="8:8" x14ac:dyDescent="0.25">
      <c r="H1705" s="1"/>
    </row>
    <row r="1706" spans="8:8" x14ac:dyDescent="0.25">
      <c r="H1706" s="1"/>
    </row>
    <row r="1707" spans="8:8" x14ac:dyDescent="0.25">
      <c r="H1707" s="1"/>
    </row>
    <row r="1708" spans="8:8" x14ac:dyDescent="0.25">
      <c r="H1708" s="1"/>
    </row>
    <row r="1709" spans="8:8" x14ac:dyDescent="0.25">
      <c r="H1709" s="1"/>
    </row>
    <row r="1710" spans="8:8" x14ac:dyDescent="0.25">
      <c r="H1710" s="1"/>
    </row>
    <row r="1711" spans="8:8" x14ac:dyDescent="0.25">
      <c r="H1711" s="1"/>
    </row>
    <row r="1712" spans="8:8" x14ac:dyDescent="0.25">
      <c r="H1712" s="1"/>
    </row>
    <row r="1713" spans="8:8" x14ac:dyDescent="0.25">
      <c r="H1713" s="1"/>
    </row>
    <row r="1714" spans="8:8" x14ac:dyDescent="0.25">
      <c r="H1714" s="1"/>
    </row>
    <row r="1715" spans="8:8" x14ac:dyDescent="0.25">
      <c r="H1715" s="1"/>
    </row>
    <row r="1716" spans="8:8" x14ac:dyDescent="0.25">
      <c r="H1716" s="1"/>
    </row>
    <row r="1717" spans="8:8" x14ac:dyDescent="0.25">
      <c r="H1717" s="1"/>
    </row>
    <row r="1718" spans="8:8" x14ac:dyDescent="0.25">
      <c r="H1718" s="1"/>
    </row>
    <row r="1719" spans="8:8" x14ac:dyDescent="0.25">
      <c r="H1719" s="1"/>
    </row>
    <row r="1720" spans="8:8" x14ac:dyDescent="0.25">
      <c r="H1720" s="1"/>
    </row>
    <row r="1721" spans="8:8" x14ac:dyDescent="0.25">
      <c r="H1721" s="1"/>
    </row>
    <row r="1722" spans="8:8" x14ac:dyDescent="0.25">
      <c r="H1722" s="1"/>
    </row>
    <row r="1723" spans="8:8" x14ac:dyDescent="0.25">
      <c r="H1723" s="1"/>
    </row>
    <row r="1724" spans="8:8" x14ac:dyDescent="0.25">
      <c r="H1724" s="1"/>
    </row>
    <row r="1725" spans="8:8" x14ac:dyDescent="0.25">
      <c r="H1725" s="1"/>
    </row>
    <row r="1726" spans="8:8" x14ac:dyDescent="0.25">
      <c r="H1726" s="1"/>
    </row>
    <row r="1727" spans="8:8" x14ac:dyDescent="0.25">
      <c r="H1727" s="1"/>
    </row>
    <row r="1728" spans="8:8" x14ac:dyDescent="0.25">
      <c r="H1728" s="1"/>
    </row>
    <row r="1729" spans="8:8" x14ac:dyDescent="0.25">
      <c r="H1729" s="1"/>
    </row>
    <row r="1730" spans="8:8" x14ac:dyDescent="0.25">
      <c r="H1730" s="1"/>
    </row>
    <row r="1731" spans="8:8" x14ac:dyDescent="0.25">
      <c r="H1731" s="1"/>
    </row>
    <row r="1732" spans="8:8" x14ac:dyDescent="0.25">
      <c r="H1732" s="1"/>
    </row>
    <row r="1733" spans="8:8" x14ac:dyDescent="0.25">
      <c r="H1733" s="1"/>
    </row>
    <row r="1734" spans="8:8" x14ac:dyDescent="0.25">
      <c r="H1734" s="1"/>
    </row>
    <row r="1735" spans="8:8" x14ac:dyDescent="0.25">
      <c r="H1735" s="1"/>
    </row>
    <row r="1736" spans="8:8" x14ac:dyDescent="0.25">
      <c r="H1736" s="1"/>
    </row>
    <row r="1737" spans="8:8" x14ac:dyDescent="0.25">
      <c r="H1737" s="1"/>
    </row>
    <row r="1738" spans="8:8" x14ac:dyDescent="0.25">
      <c r="H1738" s="1"/>
    </row>
    <row r="1739" spans="8:8" x14ac:dyDescent="0.25">
      <c r="H1739" s="1"/>
    </row>
    <row r="1740" spans="8:8" x14ac:dyDescent="0.25">
      <c r="H1740" s="1"/>
    </row>
    <row r="1741" spans="8:8" x14ac:dyDescent="0.25">
      <c r="H1741" s="1"/>
    </row>
    <row r="1742" spans="8:8" x14ac:dyDescent="0.25">
      <c r="H1742" s="1"/>
    </row>
    <row r="1743" spans="8:8" x14ac:dyDescent="0.25">
      <c r="H1743" s="1"/>
    </row>
    <row r="1744" spans="8:8" x14ac:dyDescent="0.25">
      <c r="H1744" s="1"/>
    </row>
    <row r="1745" spans="8:8" x14ac:dyDescent="0.25">
      <c r="H1745" s="1"/>
    </row>
    <row r="1746" spans="8:8" x14ac:dyDescent="0.25">
      <c r="H1746" s="1"/>
    </row>
    <row r="1747" spans="8:8" x14ac:dyDescent="0.25">
      <c r="H1747" s="1"/>
    </row>
    <row r="1748" spans="8:8" x14ac:dyDescent="0.25">
      <c r="H1748" s="1"/>
    </row>
    <row r="1749" spans="8:8" x14ac:dyDescent="0.25">
      <c r="H1749" s="1"/>
    </row>
    <row r="1750" spans="8:8" x14ac:dyDescent="0.25">
      <c r="H1750" s="1"/>
    </row>
    <row r="1751" spans="8:8" x14ac:dyDescent="0.25">
      <c r="H1751" s="1"/>
    </row>
    <row r="1752" spans="8:8" x14ac:dyDescent="0.25">
      <c r="H1752" s="1"/>
    </row>
    <row r="1753" spans="8:8" x14ac:dyDescent="0.25">
      <c r="H1753" s="1"/>
    </row>
    <row r="1754" spans="8:8" x14ac:dyDescent="0.25">
      <c r="H1754" s="1"/>
    </row>
    <row r="1755" spans="8:8" x14ac:dyDescent="0.25">
      <c r="H1755" s="1"/>
    </row>
    <row r="1756" spans="8:8" x14ac:dyDescent="0.25">
      <c r="H1756" s="1"/>
    </row>
    <row r="1757" spans="8:8" x14ac:dyDescent="0.25">
      <c r="H1757" s="1"/>
    </row>
    <row r="1758" spans="8:8" x14ac:dyDescent="0.25">
      <c r="H1758" s="1"/>
    </row>
    <row r="1759" spans="8:8" x14ac:dyDescent="0.25">
      <c r="H1759" s="1"/>
    </row>
    <row r="1760" spans="8:8" x14ac:dyDescent="0.25">
      <c r="H1760" s="1"/>
    </row>
    <row r="1761" spans="8:8" x14ac:dyDescent="0.25">
      <c r="H1761" s="1"/>
    </row>
    <row r="1762" spans="8:8" x14ac:dyDescent="0.25">
      <c r="H1762" s="1"/>
    </row>
    <row r="1763" spans="8:8" x14ac:dyDescent="0.25">
      <c r="H1763" s="1"/>
    </row>
    <row r="1764" spans="8:8" x14ac:dyDescent="0.25">
      <c r="H1764" s="1"/>
    </row>
    <row r="1765" spans="8:8" x14ac:dyDescent="0.25">
      <c r="H1765" s="1"/>
    </row>
    <row r="1766" spans="8:8" x14ac:dyDescent="0.25">
      <c r="H1766" s="1"/>
    </row>
    <row r="1767" spans="8:8" x14ac:dyDescent="0.25">
      <c r="H1767" s="1"/>
    </row>
    <row r="1768" spans="8:8" x14ac:dyDescent="0.25">
      <c r="H1768" s="1"/>
    </row>
    <row r="1769" spans="8:8" x14ac:dyDescent="0.25">
      <c r="H1769" s="1"/>
    </row>
    <row r="1770" spans="8:8" x14ac:dyDescent="0.25">
      <c r="H1770" s="1"/>
    </row>
    <row r="1771" spans="8:8" x14ac:dyDescent="0.25">
      <c r="H1771" s="1"/>
    </row>
    <row r="1772" spans="8:8" x14ac:dyDescent="0.25">
      <c r="H1772" s="1"/>
    </row>
    <row r="1773" spans="8:8" x14ac:dyDescent="0.25">
      <c r="H1773" s="1"/>
    </row>
    <row r="1774" spans="8:8" x14ac:dyDescent="0.25">
      <c r="H1774" s="1"/>
    </row>
    <row r="1775" spans="8:8" x14ac:dyDescent="0.25">
      <c r="H1775" s="1"/>
    </row>
    <row r="1776" spans="8:8" x14ac:dyDescent="0.25">
      <c r="H1776" s="1"/>
    </row>
    <row r="1777" spans="8:8" x14ac:dyDescent="0.25">
      <c r="H1777" s="1"/>
    </row>
    <row r="1778" spans="8:8" x14ac:dyDescent="0.25">
      <c r="H1778" s="1"/>
    </row>
    <row r="1779" spans="8:8" x14ac:dyDescent="0.25">
      <c r="H1779" s="1"/>
    </row>
    <row r="1780" spans="8:8" x14ac:dyDescent="0.25">
      <c r="H1780" s="1"/>
    </row>
    <row r="1781" spans="8:8" x14ac:dyDescent="0.25">
      <c r="H1781" s="1"/>
    </row>
    <row r="1782" spans="8:8" x14ac:dyDescent="0.25">
      <c r="H1782" s="1"/>
    </row>
    <row r="1783" spans="8:8" x14ac:dyDescent="0.25">
      <c r="H1783" s="1"/>
    </row>
    <row r="1784" spans="8:8" x14ac:dyDescent="0.25">
      <c r="H1784" s="1"/>
    </row>
    <row r="1785" spans="8:8" x14ac:dyDescent="0.25">
      <c r="H1785" s="1"/>
    </row>
    <row r="1786" spans="8:8" x14ac:dyDescent="0.25">
      <c r="H1786" s="1"/>
    </row>
    <row r="1787" spans="8:8" x14ac:dyDescent="0.25">
      <c r="H1787" s="1"/>
    </row>
    <row r="1788" spans="8:8" x14ac:dyDescent="0.25">
      <c r="H1788" s="1"/>
    </row>
    <row r="1789" spans="8:8" x14ac:dyDescent="0.25">
      <c r="H1789" s="1"/>
    </row>
    <row r="1790" spans="8:8" x14ac:dyDescent="0.25">
      <c r="H1790" s="1"/>
    </row>
    <row r="1791" spans="8:8" x14ac:dyDescent="0.25">
      <c r="H1791" s="1"/>
    </row>
    <row r="1792" spans="8:8" x14ac:dyDescent="0.25">
      <c r="H1792" s="1"/>
    </row>
    <row r="1793" spans="8:8" x14ac:dyDescent="0.25">
      <c r="H1793" s="1"/>
    </row>
    <row r="1794" spans="8:8" x14ac:dyDescent="0.25">
      <c r="H1794" s="1"/>
    </row>
    <row r="1795" spans="8:8" x14ac:dyDescent="0.25">
      <c r="H1795" s="1"/>
    </row>
    <row r="1796" spans="8:8" x14ac:dyDescent="0.25">
      <c r="H1796" s="1"/>
    </row>
    <row r="1797" spans="8:8" x14ac:dyDescent="0.25">
      <c r="H1797" s="1"/>
    </row>
    <row r="1798" spans="8:8" x14ac:dyDescent="0.25">
      <c r="H1798" s="1"/>
    </row>
    <row r="1799" spans="8:8" x14ac:dyDescent="0.25">
      <c r="H1799" s="1"/>
    </row>
    <row r="1800" spans="8:8" x14ac:dyDescent="0.25">
      <c r="H1800" s="1"/>
    </row>
    <row r="1801" spans="8:8" x14ac:dyDescent="0.25">
      <c r="H1801" s="1"/>
    </row>
    <row r="1802" spans="8:8" x14ac:dyDescent="0.25">
      <c r="H1802" s="1"/>
    </row>
    <row r="1803" spans="8:8" x14ac:dyDescent="0.25">
      <c r="H1803" s="1"/>
    </row>
    <row r="1804" spans="8:8" x14ac:dyDescent="0.25">
      <c r="H1804" s="1"/>
    </row>
    <row r="1805" spans="8:8" x14ac:dyDescent="0.25">
      <c r="H1805" s="1"/>
    </row>
    <row r="1806" spans="8:8" x14ac:dyDescent="0.25">
      <c r="H1806" s="1"/>
    </row>
    <row r="1807" spans="8:8" x14ac:dyDescent="0.25">
      <c r="H1807" s="1"/>
    </row>
    <row r="1808" spans="8:8" x14ac:dyDescent="0.25">
      <c r="H1808" s="1"/>
    </row>
    <row r="1809" spans="8:8" x14ac:dyDescent="0.25">
      <c r="H1809" s="1"/>
    </row>
    <row r="1810" spans="8:8" x14ac:dyDescent="0.25">
      <c r="H1810" s="1"/>
    </row>
    <row r="1811" spans="8:8" x14ac:dyDescent="0.25">
      <c r="H1811" s="1"/>
    </row>
    <row r="1812" spans="8:8" x14ac:dyDescent="0.25">
      <c r="H1812" s="1"/>
    </row>
    <row r="1813" spans="8:8" x14ac:dyDescent="0.25">
      <c r="H1813" s="1"/>
    </row>
    <row r="1814" spans="8:8" x14ac:dyDescent="0.25">
      <c r="H1814" s="1"/>
    </row>
    <row r="1815" spans="8:8" x14ac:dyDescent="0.25">
      <c r="H1815" s="1"/>
    </row>
    <row r="1816" spans="8:8" x14ac:dyDescent="0.25">
      <c r="H1816" s="1"/>
    </row>
    <row r="1817" spans="8:8" x14ac:dyDescent="0.25">
      <c r="H1817" s="1"/>
    </row>
    <row r="1818" spans="8:8" x14ac:dyDescent="0.25">
      <c r="H1818" s="1"/>
    </row>
    <row r="1819" spans="8:8" x14ac:dyDescent="0.25">
      <c r="H1819" s="1"/>
    </row>
    <row r="1820" spans="8:8" x14ac:dyDescent="0.25">
      <c r="H1820" s="1"/>
    </row>
    <row r="1821" spans="8:8" x14ac:dyDescent="0.25">
      <c r="H1821" s="1"/>
    </row>
    <row r="1822" spans="8:8" x14ac:dyDescent="0.25">
      <c r="H1822" s="1"/>
    </row>
    <row r="1823" spans="8:8" x14ac:dyDescent="0.25">
      <c r="H1823" s="1"/>
    </row>
    <row r="1824" spans="8:8" x14ac:dyDescent="0.25">
      <c r="H1824" s="1"/>
    </row>
    <row r="1825" spans="8:8" x14ac:dyDescent="0.25">
      <c r="H1825" s="1"/>
    </row>
    <row r="1826" spans="8:8" x14ac:dyDescent="0.25">
      <c r="H1826" s="1"/>
    </row>
    <row r="1827" spans="8:8" x14ac:dyDescent="0.25">
      <c r="H1827" s="1"/>
    </row>
    <row r="1828" spans="8:8" x14ac:dyDescent="0.25">
      <c r="H1828" s="1"/>
    </row>
    <row r="1829" spans="8:8" x14ac:dyDescent="0.25">
      <c r="H1829" s="1"/>
    </row>
    <row r="1830" spans="8:8" x14ac:dyDescent="0.25">
      <c r="H1830" s="1"/>
    </row>
    <row r="1831" spans="8:8" x14ac:dyDescent="0.25">
      <c r="H1831" s="1"/>
    </row>
    <row r="1832" spans="8:8" x14ac:dyDescent="0.25">
      <c r="H1832" s="1"/>
    </row>
    <row r="1833" spans="8:8" x14ac:dyDescent="0.25">
      <c r="H1833" s="1"/>
    </row>
    <row r="1834" spans="8:8" x14ac:dyDescent="0.25">
      <c r="H1834" s="1"/>
    </row>
    <row r="1835" spans="8:8" x14ac:dyDescent="0.25">
      <c r="H1835" s="1"/>
    </row>
    <row r="1836" spans="8:8" x14ac:dyDescent="0.25">
      <c r="H1836" s="1"/>
    </row>
    <row r="1837" spans="8:8" x14ac:dyDescent="0.25">
      <c r="H1837" s="1"/>
    </row>
    <row r="1838" spans="8:8" x14ac:dyDescent="0.25">
      <c r="H1838" s="1"/>
    </row>
    <row r="1839" spans="8:8" x14ac:dyDescent="0.25">
      <c r="H1839" s="1"/>
    </row>
    <row r="1840" spans="8:8" x14ac:dyDescent="0.25">
      <c r="H1840" s="1"/>
    </row>
    <row r="1841" spans="8:8" x14ac:dyDescent="0.25">
      <c r="H1841" s="1"/>
    </row>
    <row r="1842" spans="8:8" x14ac:dyDescent="0.25">
      <c r="H1842" s="1"/>
    </row>
    <row r="1843" spans="8:8" x14ac:dyDescent="0.25">
      <c r="H1843" s="1"/>
    </row>
    <row r="1844" spans="8:8" x14ac:dyDescent="0.25">
      <c r="H1844" s="1"/>
    </row>
    <row r="1845" spans="8:8" x14ac:dyDescent="0.25">
      <c r="H1845" s="1"/>
    </row>
    <row r="1846" spans="8:8" x14ac:dyDescent="0.25">
      <c r="H1846" s="1"/>
    </row>
    <row r="1847" spans="8:8" x14ac:dyDescent="0.25">
      <c r="H1847" s="1"/>
    </row>
    <row r="1848" spans="8:8" x14ac:dyDescent="0.25">
      <c r="H1848" s="1"/>
    </row>
    <row r="1849" spans="8:8" x14ac:dyDescent="0.25">
      <c r="H1849" s="1"/>
    </row>
    <row r="1850" spans="8:8" x14ac:dyDescent="0.25">
      <c r="H1850" s="1"/>
    </row>
    <row r="1851" spans="8:8" x14ac:dyDescent="0.25">
      <c r="H1851" s="1"/>
    </row>
    <row r="1852" spans="8:8" x14ac:dyDescent="0.25">
      <c r="H1852" s="1"/>
    </row>
    <row r="1853" spans="8:8" x14ac:dyDescent="0.25">
      <c r="H1853" s="1"/>
    </row>
    <row r="1854" spans="8:8" x14ac:dyDescent="0.25">
      <c r="H1854" s="1"/>
    </row>
    <row r="1855" spans="8:8" x14ac:dyDescent="0.25">
      <c r="H1855" s="1"/>
    </row>
    <row r="1856" spans="8:8" x14ac:dyDescent="0.25">
      <c r="H1856" s="1"/>
    </row>
    <row r="1857" spans="8:8" x14ac:dyDescent="0.25">
      <c r="H1857" s="1"/>
    </row>
    <row r="1858" spans="8:8" x14ac:dyDescent="0.25">
      <c r="H1858" s="1"/>
    </row>
    <row r="1859" spans="8:8" x14ac:dyDescent="0.25">
      <c r="H1859" s="1"/>
    </row>
    <row r="1860" spans="8:8" x14ac:dyDescent="0.25">
      <c r="H1860" s="1"/>
    </row>
    <row r="1861" spans="8:8" x14ac:dyDescent="0.25">
      <c r="H1861" s="1"/>
    </row>
    <row r="1862" spans="8:8" x14ac:dyDescent="0.25">
      <c r="H1862" s="1"/>
    </row>
    <row r="1863" spans="8:8" x14ac:dyDescent="0.25">
      <c r="H1863" s="1"/>
    </row>
    <row r="1864" spans="8:8" x14ac:dyDescent="0.25">
      <c r="H1864" s="1"/>
    </row>
    <row r="1865" spans="8:8" x14ac:dyDescent="0.25">
      <c r="H1865" s="1"/>
    </row>
    <row r="1866" spans="8:8" x14ac:dyDescent="0.25">
      <c r="H1866" s="1"/>
    </row>
    <row r="1867" spans="8:8" x14ac:dyDescent="0.25">
      <c r="H1867" s="1"/>
    </row>
    <row r="1868" spans="8:8" x14ac:dyDescent="0.25">
      <c r="H1868" s="1"/>
    </row>
    <row r="1869" spans="8:8" x14ac:dyDescent="0.25">
      <c r="H1869" s="1"/>
    </row>
    <row r="1870" spans="8:8" x14ac:dyDescent="0.25">
      <c r="H1870" s="1"/>
    </row>
    <row r="1871" spans="8:8" x14ac:dyDescent="0.25">
      <c r="H1871" s="1"/>
    </row>
    <row r="1872" spans="8:8" x14ac:dyDescent="0.25">
      <c r="H1872" s="1"/>
    </row>
    <row r="1873" spans="8:8" x14ac:dyDescent="0.25">
      <c r="H1873" s="1"/>
    </row>
    <row r="1874" spans="8:8" x14ac:dyDescent="0.25">
      <c r="H1874" s="1"/>
    </row>
    <row r="1875" spans="8:8" x14ac:dyDescent="0.25">
      <c r="H1875" s="1"/>
    </row>
    <row r="1876" spans="8:8" x14ac:dyDescent="0.25">
      <c r="H1876" s="1"/>
    </row>
    <row r="1877" spans="8:8" x14ac:dyDescent="0.25">
      <c r="H1877" s="1"/>
    </row>
    <row r="1878" spans="8:8" x14ac:dyDescent="0.25">
      <c r="H1878" s="1"/>
    </row>
    <row r="1879" spans="8:8" x14ac:dyDescent="0.25">
      <c r="H1879" s="1"/>
    </row>
    <row r="1880" spans="8:8" x14ac:dyDescent="0.25">
      <c r="H1880" s="1"/>
    </row>
    <row r="1881" spans="8:8" x14ac:dyDescent="0.25">
      <c r="H1881" s="1"/>
    </row>
    <row r="1882" spans="8:8" x14ac:dyDescent="0.25">
      <c r="H1882" s="1"/>
    </row>
    <row r="1883" spans="8:8" x14ac:dyDescent="0.25">
      <c r="H1883" s="1"/>
    </row>
    <row r="1884" spans="8:8" x14ac:dyDescent="0.25">
      <c r="H1884" s="1"/>
    </row>
    <row r="1885" spans="8:8" x14ac:dyDescent="0.25">
      <c r="H1885" s="1"/>
    </row>
    <row r="1886" spans="8:8" x14ac:dyDescent="0.25">
      <c r="H1886" s="1"/>
    </row>
    <row r="1887" spans="8:8" x14ac:dyDescent="0.25">
      <c r="H1887" s="1"/>
    </row>
    <row r="1888" spans="8:8" x14ac:dyDescent="0.25">
      <c r="H1888" s="1"/>
    </row>
    <row r="1889" spans="8:8" x14ac:dyDescent="0.25">
      <c r="H1889" s="1"/>
    </row>
    <row r="1890" spans="8:8" x14ac:dyDescent="0.25">
      <c r="H1890" s="1"/>
    </row>
    <row r="1891" spans="8:8" x14ac:dyDescent="0.25">
      <c r="H1891" s="1"/>
    </row>
    <row r="1892" spans="8:8" x14ac:dyDescent="0.25">
      <c r="H1892" s="1"/>
    </row>
    <row r="1893" spans="8:8" x14ac:dyDescent="0.25">
      <c r="H1893" s="1"/>
    </row>
    <row r="1894" spans="8:8" x14ac:dyDescent="0.25">
      <c r="H1894" s="1"/>
    </row>
    <row r="1895" spans="8:8" x14ac:dyDescent="0.25">
      <c r="H1895" s="1"/>
    </row>
    <row r="1896" spans="8:8" x14ac:dyDescent="0.25">
      <c r="H1896" s="1"/>
    </row>
    <row r="1897" spans="8:8" x14ac:dyDescent="0.25">
      <c r="H1897" s="1"/>
    </row>
    <row r="1898" spans="8:8" x14ac:dyDescent="0.25">
      <c r="H1898" s="1"/>
    </row>
    <row r="1899" spans="8:8" x14ac:dyDescent="0.25">
      <c r="H1899" s="1"/>
    </row>
    <row r="1900" spans="8:8" x14ac:dyDescent="0.25">
      <c r="H1900" s="1"/>
    </row>
    <row r="1901" spans="8:8" x14ac:dyDescent="0.25">
      <c r="H1901" s="1"/>
    </row>
    <row r="1902" spans="8:8" x14ac:dyDescent="0.25">
      <c r="H1902" s="1"/>
    </row>
    <row r="1903" spans="8:8" x14ac:dyDescent="0.25">
      <c r="H1903" s="1"/>
    </row>
    <row r="1904" spans="8:8" x14ac:dyDescent="0.25">
      <c r="H1904" s="1"/>
    </row>
    <row r="1905" spans="8:8" x14ac:dyDescent="0.25">
      <c r="H1905" s="1"/>
    </row>
    <row r="1906" spans="8:8" x14ac:dyDescent="0.25">
      <c r="H1906" s="1"/>
    </row>
    <row r="1907" spans="8:8" x14ac:dyDescent="0.25">
      <c r="H1907" s="1"/>
    </row>
    <row r="1908" spans="8:8" x14ac:dyDescent="0.25">
      <c r="H1908" s="1"/>
    </row>
    <row r="1909" spans="8:8" x14ac:dyDescent="0.25">
      <c r="H1909" s="1"/>
    </row>
    <row r="1910" spans="8:8" x14ac:dyDescent="0.25">
      <c r="H1910" s="1"/>
    </row>
    <row r="1911" spans="8:8" x14ac:dyDescent="0.25">
      <c r="H1911" s="1"/>
    </row>
    <row r="1912" spans="8:8" x14ac:dyDescent="0.25">
      <c r="H1912" s="1"/>
    </row>
    <row r="1913" spans="8:8" x14ac:dyDescent="0.25">
      <c r="H1913" s="1"/>
    </row>
    <row r="1914" spans="8:8" x14ac:dyDescent="0.25">
      <c r="H1914" s="1"/>
    </row>
    <row r="1915" spans="8:8" x14ac:dyDescent="0.25">
      <c r="H1915" s="1"/>
    </row>
    <row r="1916" spans="8:8" x14ac:dyDescent="0.25">
      <c r="H1916" s="1"/>
    </row>
    <row r="1917" spans="8:8" x14ac:dyDescent="0.25">
      <c r="H1917" s="1"/>
    </row>
    <row r="1918" spans="8:8" x14ac:dyDescent="0.25">
      <c r="H1918" s="1"/>
    </row>
    <row r="1919" spans="8:8" x14ac:dyDescent="0.25">
      <c r="H1919" s="1"/>
    </row>
    <row r="1920" spans="8:8" x14ac:dyDescent="0.25">
      <c r="H1920" s="1"/>
    </row>
    <row r="1921" spans="8:8" x14ac:dyDescent="0.25">
      <c r="H1921" s="1"/>
    </row>
    <row r="1922" spans="8:8" x14ac:dyDescent="0.25">
      <c r="H1922" s="1"/>
    </row>
    <row r="1923" spans="8:8" x14ac:dyDescent="0.25">
      <c r="H1923" s="1"/>
    </row>
    <row r="1924" spans="8:8" x14ac:dyDescent="0.25">
      <c r="H1924" s="1"/>
    </row>
    <row r="1925" spans="8:8" x14ac:dyDescent="0.25">
      <c r="H1925" s="1"/>
    </row>
    <row r="1926" spans="8:8" x14ac:dyDescent="0.25">
      <c r="H1926" s="1"/>
    </row>
    <row r="1927" spans="8:8" x14ac:dyDescent="0.25">
      <c r="H1927" s="1"/>
    </row>
    <row r="1928" spans="8:8" x14ac:dyDescent="0.25">
      <c r="H1928" s="1"/>
    </row>
    <row r="1929" spans="8:8" x14ac:dyDescent="0.25">
      <c r="H1929" s="1"/>
    </row>
    <row r="1930" spans="8:8" x14ac:dyDescent="0.25">
      <c r="H1930" s="1"/>
    </row>
    <row r="1931" spans="8:8" x14ac:dyDescent="0.25">
      <c r="H1931" s="1"/>
    </row>
    <row r="1932" spans="8:8" x14ac:dyDescent="0.25">
      <c r="H1932" s="1"/>
    </row>
    <row r="1933" spans="8:8" x14ac:dyDescent="0.25">
      <c r="H1933" s="1"/>
    </row>
    <row r="1934" spans="8:8" x14ac:dyDescent="0.25">
      <c r="H1934" s="1"/>
    </row>
    <row r="1935" spans="8:8" x14ac:dyDescent="0.25">
      <c r="H1935" s="1"/>
    </row>
    <row r="1936" spans="8:8" x14ac:dyDescent="0.25">
      <c r="H1936" s="1"/>
    </row>
    <row r="1937" spans="8:8" x14ac:dyDescent="0.25">
      <c r="H1937" s="1"/>
    </row>
    <row r="1938" spans="8:8" x14ac:dyDescent="0.25">
      <c r="H1938" s="1"/>
    </row>
    <row r="1939" spans="8:8" x14ac:dyDescent="0.25">
      <c r="H1939" s="1"/>
    </row>
    <row r="1940" spans="8:8" x14ac:dyDescent="0.25">
      <c r="H1940" s="1"/>
    </row>
    <row r="1941" spans="8:8" x14ac:dyDescent="0.25">
      <c r="H1941" s="1"/>
    </row>
    <row r="1942" spans="8:8" x14ac:dyDescent="0.25">
      <c r="H1942" s="1"/>
    </row>
    <row r="1943" spans="8:8" x14ac:dyDescent="0.25">
      <c r="H1943" s="1"/>
    </row>
    <row r="1944" spans="8:8" x14ac:dyDescent="0.25">
      <c r="H1944" s="1"/>
    </row>
    <row r="1945" spans="8:8" x14ac:dyDescent="0.25">
      <c r="H1945" s="1"/>
    </row>
    <row r="1946" spans="8:8" x14ac:dyDescent="0.25">
      <c r="H1946" s="1"/>
    </row>
    <row r="1947" spans="8:8" x14ac:dyDescent="0.25">
      <c r="H1947" s="1"/>
    </row>
    <row r="1948" spans="8:8" x14ac:dyDescent="0.25">
      <c r="H1948" s="1"/>
    </row>
    <row r="1949" spans="8:8" x14ac:dyDescent="0.25">
      <c r="H1949" s="1"/>
    </row>
    <row r="1950" spans="8:8" x14ac:dyDescent="0.25">
      <c r="H1950" s="1"/>
    </row>
    <row r="1951" spans="8:8" x14ac:dyDescent="0.25">
      <c r="H1951" s="1"/>
    </row>
    <row r="1952" spans="8:8" x14ac:dyDescent="0.25">
      <c r="H1952" s="1"/>
    </row>
    <row r="1953" spans="8:8" x14ac:dyDescent="0.25">
      <c r="H1953" s="1"/>
    </row>
    <row r="1954" spans="8:8" x14ac:dyDescent="0.25">
      <c r="H1954" s="1"/>
    </row>
    <row r="1955" spans="8:8" x14ac:dyDescent="0.25">
      <c r="H1955" s="1"/>
    </row>
    <row r="1956" spans="8:8" x14ac:dyDescent="0.25">
      <c r="H1956" s="1"/>
    </row>
    <row r="1957" spans="8:8" x14ac:dyDescent="0.25">
      <c r="H1957" s="1"/>
    </row>
    <row r="1958" spans="8:8" x14ac:dyDescent="0.25">
      <c r="H1958" s="1"/>
    </row>
    <row r="1959" spans="8:8" x14ac:dyDescent="0.25">
      <c r="H1959" s="1"/>
    </row>
    <row r="1960" spans="8:8" x14ac:dyDescent="0.25">
      <c r="H1960" s="1"/>
    </row>
    <row r="1961" spans="8:8" x14ac:dyDescent="0.25">
      <c r="H1961" s="1"/>
    </row>
    <row r="1962" spans="8:8" x14ac:dyDescent="0.25">
      <c r="H1962" s="1"/>
    </row>
    <row r="1963" spans="8:8" x14ac:dyDescent="0.25">
      <c r="H1963" s="1"/>
    </row>
    <row r="1964" spans="8:8" x14ac:dyDescent="0.25">
      <c r="H1964" s="1"/>
    </row>
    <row r="1965" spans="8:8" x14ac:dyDescent="0.25">
      <c r="H1965" s="1"/>
    </row>
    <row r="1966" spans="8:8" x14ac:dyDescent="0.25">
      <c r="H1966" s="1"/>
    </row>
    <row r="1967" spans="8:8" x14ac:dyDescent="0.25">
      <c r="H1967" s="1"/>
    </row>
    <row r="1968" spans="8:8" x14ac:dyDescent="0.25">
      <c r="H1968" s="1"/>
    </row>
    <row r="1969" spans="8:8" x14ac:dyDescent="0.25">
      <c r="H1969" s="1"/>
    </row>
    <row r="1970" spans="8:8" x14ac:dyDescent="0.25">
      <c r="H1970" s="1"/>
    </row>
    <row r="1971" spans="8:8" x14ac:dyDescent="0.25">
      <c r="H1971" s="1"/>
    </row>
    <row r="1972" spans="8:8" x14ac:dyDescent="0.25">
      <c r="H1972" s="1"/>
    </row>
    <row r="1973" spans="8:8" x14ac:dyDescent="0.25">
      <c r="H1973" s="1"/>
    </row>
    <row r="1974" spans="8:8" x14ac:dyDescent="0.25">
      <c r="H1974" s="1"/>
    </row>
    <row r="1975" spans="8:8" x14ac:dyDescent="0.25">
      <c r="H1975" s="1"/>
    </row>
    <row r="1976" spans="8:8" x14ac:dyDescent="0.25">
      <c r="H1976" s="1"/>
    </row>
    <row r="1977" spans="8:8" x14ac:dyDescent="0.25">
      <c r="H1977" s="1"/>
    </row>
    <row r="1978" spans="8:8" x14ac:dyDescent="0.25">
      <c r="H1978" s="1"/>
    </row>
    <row r="1979" spans="8:8" x14ac:dyDescent="0.25">
      <c r="H1979" s="1"/>
    </row>
    <row r="1980" spans="8:8" x14ac:dyDescent="0.25">
      <c r="H1980" s="1"/>
    </row>
    <row r="1981" spans="8:8" x14ac:dyDescent="0.25">
      <c r="H1981" s="1"/>
    </row>
    <row r="1982" spans="8:8" x14ac:dyDescent="0.25">
      <c r="H1982" s="1"/>
    </row>
    <row r="1983" spans="8:8" x14ac:dyDescent="0.25">
      <c r="H1983" s="1"/>
    </row>
    <row r="1984" spans="8:8" x14ac:dyDescent="0.25">
      <c r="H1984" s="1"/>
    </row>
    <row r="1985" spans="8:8" x14ac:dyDescent="0.25">
      <c r="H1985" s="1"/>
    </row>
    <row r="1986" spans="8:8" x14ac:dyDescent="0.25">
      <c r="H1986" s="1"/>
    </row>
    <row r="1987" spans="8:8" x14ac:dyDescent="0.25">
      <c r="H1987" s="1"/>
    </row>
    <row r="1988" spans="8:8" x14ac:dyDescent="0.25">
      <c r="H1988" s="1"/>
    </row>
    <row r="1989" spans="8:8" x14ac:dyDescent="0.25">
      <c r="H1989" s="1"/>
    </row>
    <row r="1990" spans="8:8" x14ac:dyDescent="0.25">
      <c r="H1990" s="1"/>
    </row>
    <row r="1991" spans="8:8" x14ac:dyDescent="0.25">
      <c r="H1991" s="1"/>
    </row>
    <row r="1992" spans="8:8" x14ac:dyDescent="0.25">
      <c r="H1992" s="1"/>
    </row>
    <row r="1993" spans="8:8" x14ac:dyDescent="0.25">
      <c r="H1993" s="1"/>
    </row>
    <row r="1994" spans="8:8" x14ac:dyDescent="0.25">
      <c r="H1994" s="1"/>
    </row>
    <row r="1995" spans="8:8" x14ac:dyDescent="0.25">
      <c r="H1995" s="1"/>
    </row>
    <row r="1996" spans="8:8" x14ac:dyDescent="0.25">
      <c r="H1996" s="1"/>
    </row>
    <row r="1997" spans="8:8" x14ac:dyDescent="0.25">
      <c r="H1997" s="1"/>
    </row>
    <row r="1998" spans="8:8" x14ac:dyDescent="0.25">
      <c r="H1998" s="1"/>
    </row>
    <row r="1999" spans="8:8" x14ac:dyDescent="0.25">
      <c r="H1999" s="1"/>
    </row>
    <row r="2000" spans="8:8" x14ac:dyDescent="0.25">
      <c r="H2000" s="1"/>
    </row>
    <row r="2001" spans="8:8" x14ac:dyDescent="0.25">
      <c r="H2001" s="1"/>
    </row>
    <row r="2002" spans="8:8" x14ac:dyDescent="0.25">
      <c r="H2002" s="1"/>
    </row>
    <row r="2003" spans="8:8" x14ac:dyDescent="0.25">
      <c r="H2003" s="1"/>
    </row>
    <row r="2004" spans="8:8" x14ac:dyDescent="0.25">
      <c r="H2004" s="1"/>
    </row>
    <row r="2005" spans="8:8" x14ac:dyDescent="0.25">
      <c r="H2005" s="1"/>
    </row>
    <row r="2006" spans="8:8" x14ac:dyDescent="0.25">
      <c r="H2006" s="1"/>
    </row>
    <row r="2007" spans="8:8" x14ac:dyDescent="0.25">
      <c r="H2007" s="1"/>
    </row>
    <row r="2008" spans="8:8" x14ac:dyDescent="0.25">
      <c r="H2008" s="1"/>
    </row>
    <row r="2009" spans="8:8" x14ac:dyDescent="0.25">
      <c r="H2009" s="1"/>
    </row>
    <row r="2010" spans="8:8" x14ac:dyDescent="0.25">
      <c r="H2010" s="1"/>
    </row>
    <row r="2011" spans="8:8" x14ac:dyDescent="0.25">
      <c r="H2011" s="1"/>
    </row>
    <row r="2012" spans="8:8" x14ac:dyDescent="0.25">
      <c r="H2012" s="1"/>
    </row>
    <row r="2013" spans="8:8" x14ac:dyDescent="0.25">
      <c r="H2013" s="1"/>
    </row>
    <row r="2014" spans="8:8" x14ac:dyDescent="0.25">
      <c r="H2014" s="1"/>
    </row>
    <row r="2015" spans="8:8" x14ac:dyDescent="0.25">
      <c r="H2015" s="1"/>
    </row>
    <row r="2016" spans="8:8" x14ac:dyDescent="0.25">
      <c r="H2016" s="1"/>
    </row>
    <row r="2017" spans="8:8" x14ac:dyDescent="0.25">
      <c r="H2017" s="1"/>
    </row>
    <row r="2018" spans="8:8" x14ac:dyDescent="0.25">
      <c r="H2018" s="1"/>
    </row>
    <row r="2019" spans="8:8" x14ac:dyDescent="0.25">
      <c r="H2019" s="1"/>
    </row>
    <row r="2020" spans="8:8" x14ac:dyDescent="0.25">
      <c r="H2020" s="1"/>
    </row>
    <row r="2021" spans="8:8" x14ac:dyDescent="0.25">
      <c r="H2021" s="1"/>
    </row>
    <row r="2022" spans="8:8" x14ac:dyDescent="0.25">
      <c r="H2022" s="1"/>
    </row>
    <row r="2023" spans="8:8" x14ac:dyDescent="0.25">
      <c r="H2023" s="1"/>
    </row>
    <row r="2024" spans="8:8" x14ac:dyDescent="0.25">
      <c r="H2024" s="1"/>
    </row>
    <row r="2025" spans="8:8" x14ac:dyDescent="0.25">
      <c r="H2025" s="1"/>
    </row>
    <row r="2026" spans="8:8" x14ac:dyDescent="0.25">
      <c r="H2026" s="1"/>
    </row>
    <row r="2027" spans="8:8" x14ac:dyDescent="0.25">
      <c r="H2027" s="1"/>
    </row>
    <row r="2028" spans="8:8" x14ac:dyDescent="0.25">
      <c r="H2028" s="1"/>
    </row>
    <row r="2029" spans="8:8" x14ac:dyDescent="0.25">
      <c r="H2029" s="1"/>
    </row>
    <row r="2030" spans="8:8" x14ac:dyDescent="0.25">
      <c r="H2030" s="1"/>
    </row>
    <row r="2031" spans="8:8" x14ac:dyDescent="0.25">
      <c r="H2031" s="1"/>
    </row>
    <row r="2032" spans="8:8" x14ac:dyDescent="0.25">
      <c r="H2032" s="1"/>
    </row>
    <row r="2033" spans="8:8" x14ac:dyDescent="0.25">
      <c r="H2033" s="1"/>
    </row>
    <row r="2034" spans="8:8" x14ac:dyDescent="0.25">
      <c r="H2034" s="1"/>
    </row>
    <row r="2035" spans="8:8" x14ac:dyDescent="0.25">
      <c r="H2035" s="1"/>
    </row>
    <row r="2036" spans="8:8" x14ac:dyDescent="0.25">
      <c r="H2036" s="1"/>
    </row>
    <row r="2037" spans="8:8" x14ac:dyDescent="0.25">
      <c r="H2037" s="1"/>
    </row>
    <row r="2038" spans="8:8" x14ac:dyDescent="0.25">
      <c r="H2038" s="1"/>
    </row>
    <row r="2039" spans="8:8" x14ac:dyDescent="0.25">
      <c r="H2039" s="1"/>
    </row>
    <row r="2040" spans="8:8" x14ac:dyDescent="0.25">
      <c r="H2040" s="1"/>
    </row>
    <row r="2041" spans="8:8" x14ac:dyDescent="0.25">
      <c r="H2041" s="1"/>
    </row>
    <row r="2042" spans="8:8" x14ac:dyDescent="0.25">
      <c r="H2042" s="1"/>
    </row>
    <row r="2043" spans="8:8" x14ac:dyDescent="0.25">
      <c r="H2043" s="1"/>
    </row>
    <row r="2044" spans="8:8" x14ac:dyDescent="0.25">
      <c r="H2044" s="1"/>
    </row>
    <row r="2045" spans="8:8" x14ac:dyDescent="0.25">
      <c r="H2045" s="1"/>
    </row>
    <row r="2046" spans="8:8" x14ac:dyDescent="0.25">
      <c r="H2046" s="1"/>
    </row>
    <row r="2047" spans="8:8" x14ac:dyDescent="0.25">
      <c r="H2047" s="1"/>
    </row>
    <row r="2048" spans="8:8" x14ac:dyDescent="0.25">
      <c r="H2048" s="1"/>
    </row>
    <row r="2049" spans="8:8" x14ac:dyDescent="0.25">
      <c r="H2049" s="1"/>
    </row>
    <row r="2050" spans="8:8" x14ac:dyDescent="0.25">
      <c r="H2050" s="1"/>
    </row>
    <row r="2051" spans="8:8" x14ac:dyDescent="0.25">
      <c r="H2051" s="1"/>
    </row>
    <row r="2052" spans="8:8" x14ac:dyDescent="0.25">
      <c r="H2052" s="1"/>
    </row>
    <row r="2053" spans="8:8" x14ac:dyDescent="0.25">
      <c r="H2053" s="1"/>
    </row>
    <row r="2054" spans="8:8" x14ac:dyDescent="0.25">
      <c r="H2054" s="1"/>
    </row>
    <row r="2055" spans="8:8" x14ac:dyDescent="0.25">
      <c r="H2055" s="1"/>
    </row>
    <row r="2056" spans="8:8" x14ac:dyDescent="0.25">
      <c r="H2056" s="1"/>
    </row>
    <row r="2057" spans="8:8" x14ac:dyDescent="0.25">
      <c r="H2057" s="1"/>
    </row>
    <row r="2058" spans="8:8" x14ac:dyDescent="0.25">
      <c r="H2058" s="1"/>
    </row>
    <row r="2059" spans="8:8" x14ac:dyDescent="0.25">
      <c r="H2059" s="1"/>
    </row>
    <row r="2060" spans="8:8" x14ac:dyDescent="0.25">
      <c r="H2060" s="1"/>
    </row>
    <row r="2061" spans="8:8" x14ac:dyDescent="0.25">
      <c r="H2061" s="1"/>
    </row>
    <row r="2062" spans="8:8" x14ac:dyDescent="0.25">
      <c r="H2062" s="1"/>
    </row>
    <row r="2063" spans="8:8" x14ac:dyDescent="0.25">
      <c r="H2063" s="1"/>
    </row>
    <row r="2064" spans="8:8" x14ac:dyDescent="0.25">
      <c r="H2064" s="1"/>
    </row>
    <row r="2065" spans="8:8" x14ac:dyDescent="0.25">
      <c r="H2065" s="1"/>
    </row>
    <row r="2066" spans="8:8" x14ac:dyDescent="0.25">
      <c r="H2066" s="1"/>
    </row>
    <row r="2067" spans="8:8" x14ac:dyDescent="0.25">
      <c r="H2067" s="1"/>
    </row>
    <row r="2068" spans="8:8" x14ac:dyDescent="0.25">
      <c r="H2068" s="1"/>
    </row>
    <row r="2069" spans="8:8" x14ac:dyDescent="0.25">
      <c r="H2069" s="1"/>
    </row>
    <row r="2070" spans="8:8" x14ac:dyDescent="0.25">
      <c r="H2070" s="1"/>
    </row>
    <row r="2071" spans="8:8" x14ac:dyDescent="0.25">
      <c r="H2071" s="1"/>
    </row>
    <row r="2072" spans="8:8" x14ac:dyDescent="0.25">
      <c r="H2072" s="1"/>
    </row>
    <row r="2073" spans="8:8" x14ac:dyDescent="0.25">
      <c r="H2073" s="1"/>
    </row>
    <row r="2074" spans="8:8" x14ac:dyDescent="0.25">
      <c r="H2074" s="1"/>
    </row>
    <row r="2075" spans="8:8" x14ac:dyDescent="0.25">
      <c r="H2075" s="1"/>
    </row>
    <row r="2076" spans="8:8" x14ac:dyDescent="0.25">
      <c r="H2076" s="1"/>
    </row>
    <row r="2077" spans="8:8" x14ac:dyDescent="0.25">
      <c r="H2077" s="1"/>
    </row>
    <row r="2078" spans="8:8" x14ac:dyDescent="0.25">
      <c r="H2078" s="1"/>
    </row>
    <row r="2079" spans="8:8" x14ac:dyDescent="0.25">
      <c r="H2079" s="1"/>
    </row>
    <row r="2080" spans="8:8" x14ac:dyDescent="0.25">
      <c r="H2080" s="1"/>
    </row>
    <row r="2081" spans="8:8" x14ac:dyDescent="0.25">
      <c r="H2081" s="1"/>
    </row>
    <row r="2082" spans="8:8" x14ac:dyDescent="0.25">
      <c r="H2082" s="1"/>
    </row>
    <row r="2083" spans="8:8" x14ac:dyDescent="0.25">
      <c r="H2083" s="1"/>
    </row>
    <row r="2084" spans="8:8" x14ac:dyDescent="0.25">
      <c r="H2084" s="1"/>
    </row>
    <row r="2085" spans="8:8" x14ac:dyDescent="0.25">
      <c r="H2085" s="1"/>
    </row>
    <row r="2086" spans="8:8" x14ac:dyDescent="0.25">
      <c r="H2086" s="1"/>
    </row>
    <row r="2087" spans="8:8" x14ac:dyDescent="0.25">
      <c r="H2087" s="1"/>
    </row>
    <row r="2088" spans="8:8" x14ac:dyDescent="0.25">
      <c r="H2088" s="1"/>
    </row>
    <row r="2089" spans="8:8" x14ac:dyDescent="0.25">
      <c r="H2089" s="1"/>
    </row>
    <row r="2090" spans="8:8" x14ac:dyDescent="0.25">
      <c r="H2090" s="1"/>
    </row>
    <row r="2091" spans="8:8" x14ac:dyDescent="0.25">
      <c r="H2091" s="1"/>
    </row>
    <row r="2092" spans="8:8" x14ac:dyDescent="0.25">
      <c r="H2092" s="1"/>
    </row>
    <row r="2093" spans="8:8" x14ac:dyDescent="0.25">
      <c r="H2093" s="1"/>
    </row>
    <row r="2094" spans="8:8" x14ac:dyDescent="0.25">
      <c r="H2094" s="1"/>
    </row>
    <row r="2095" spans="8:8" x14ac:dyDescent="0.25">
      <c r="H2095" s="1"/>
    </row>
    <row r="2096" spans="8:8" x14ac:dyDescent="0.25">
      <c r="H2096" s="1"/>
    </row>
    <row r="2097" spans="8:8" x14ac:dyDescent="0.25">
      <c r="H2097" s="1"/>
    </row>
    <row r="2098" spans="8:8" x14ac:dyDescent="0.25">
      <c r="H2098" s="1"/>
    </row>
    <row r="2099" spans="8:8" x14ac:dyDescent="0.25">
      <c r="H2099" s="1"/>
    </row>
    <row r="2100" spans="8:8" x14ac:dyDescent="0.25">
      <c r="H2100" s="1"/>
    </row>
    <row r="2101" spans="8:8" x14ac:dyDescent="0.25">
      <c r="H2101" s="1"/>
    </row>
    <row r="2102" spans="8:8" x14ac:dyDescent="0.25">
      <c r="H2102" s="1"/>
    </row>
    <row r="2103" spans="8:8" x14ac:dyDescent="0.25">
      <c r="H2103" s="1"/>
    </row>
    <row r="2104" spans="8:8" x14ac:dyDescent="0.25">
      <c r="H2104" s="1"/>
    </row>
    <row r="2105" spans="8:8" x14ac:dyDescent="0.25">
      <c r="H2105" s="1"/>
    </row>
    <row r="2106" spans="8:8" x14ac:dyDescent="0.25">
      <c r="H2106" s="1"/>
    </row>
    <row r="2107" spans="8:8" x14ac:dyDescent="0.25">
      <c r="H2107" s="1"/>
    </row>
    <row r="2108" spans="8:8" x14ac:dyDescent="0.25">
      <c r="H2108" s="1"/>
    </row>
    <row r="2109" spans="8:8" x14ac:dyDescent="0.25">
      <c r="H2109" s="1"/>
    </row>
    <row r="2110" spans="8:8" x14ac:dyDescent="0.25">
      <c r="H2110" s="1"/>
    </row>
    <row r="2111" spans="8:8" x14ac:dyDescent="0.25">
      <c r="H2111" s="1"/>
    </row>
    <row r="2112" spans="8:8" x14ac:dyDescent="0.25">
      <c r="H2112" s="1"/>
    </row>
    <row r="2113" spans="8:8" x14ac:dyDescent="0.25">
      <c r="H2113" s="1"/>
    </row>
    <row r="2114" spans="8:8" x14ac:dyDescent="0.25">
      <c r="H2114" s="1"/>
    </row>
    <row r="2115" spans="8:8" x14ac:dyDescent="0.25">
      <c r="H2115" s="1"/>
    </row>
    <row r="2116" spans="8:8" x14ac:dyDescent="0.25">
      <c r="H2116" s="1"/>
    </row>
    <row r="2117" spans="8:8" x14ac:dyDescent="0.25">
      <c r="H2117" s="1"/>
    </row>
    <row r="2118" spans="8:8" x14ac:dyDescent="0.25">
      <c r="H2118" s="1"/>
    </row>
    <row r="2119" spans="8:8" x14ac:dyDescent="0.25">
      <c r="H2119" s="1"/>
    </row>
    <row r="2120" spans="8:8" x14ac:dyDescent="0.25">
      <c r="H2120" s="1"/>
    </row>
    <row r="2121" spans="8:8" x14ac:dyDescent="0.25">
      <c r="H2121" s="1"/>
    </row>
    <row r="2122" spans="8:8" x14ac:dyDescent="0.25">
      <c r="H2122" s="1"/>
    </row>
    <row r="2123" spans="8:8" x14ac:dyDescent="0.25">
      <c r="H2123" s="1"/>
    </row>
    <row r="2124" spans="8:8" x14ac:dyDescent="0.25">
      <c r="H2124" s="1"/>
    </row>
    <row r="2125" spans="8:8" x14ac:dyDescent="0.25">
      <c r="H2125" s="1"/>
    </row>
    <row r="2126" spans="8:8" x14ac:dyDescent="0.25">
      <c r="H2126" s="1"/>
    </row>
    <row r="2127" spans="8:8" x14ac:dyDescent="0.25">
      <c r="H2127" s="1"/>
    </row>
    <row r="2128" spans="8:8" x14ac:dyDescent="0.25">
      <c r="H2128" s="1"/>
    </row>
    <row r="2129" spans="8:8" x14ac:dyDescent="0.25">
      <c r="H2129" s="1"/>
    </row>
    <row r="2130" spans="8:8" x14ac:dyDescent="0.25">
      <c r="H2130" s="1"/>
    </row>
    <row r="2131" spans="8:8" x14ac:dyDescent="0.25">
      <c r="H2131" s="1"/>
    </row>
    <row r="2132" spans="8:8" x14ac:dyDescent="0.25">
      <c r="H2132" s="1"/>
    </row>
    <row r="2133" spans="8:8" x14ac:dyDescent="0.25">
      <c r="H2133" s="1"/>
    </row>
    <row r="2134" spans="8:8" x14ac:dyDescent="0.25">
      <c r="H2134" s="1"/>
    </row>
    <row r="2135" spans="8:8" x14ac:dyDescent="0.25">
      <c r="H2135" s="1"/>
    </row>
    <row r="2136" spans="8:8" x14ac:dyDescent="0.25">
      <c r="H2136" s="1"/>
    </row>
    <row r="2137" spans="8:8" x14ac:dyDescent="0.25">
      <c r="H2137" s="1"/>
    </row>
    <row r="2138" spans="8:8" x14ac:dyDescent="0.25">
      <c r="H2138" s="1"/>
    </row>
    <row r="2139" spans="8:8" x14ac:dyDescent="0.25">
      <c r="H2139" s="1"/>
    </row>
    <row r="2140" spans="8:8" x14ac:dyDescent="0.25">
      <c r="H2140" s="1"/>
    </row>
    <row r="2141" spans="8:8" x14ac:dyDescent="0.25">
      <c r="H2141" s="1"/>
    </row>
    <row r="2142" spans="8:8" x14ac:dyDescent="0.25">
      <c r="H2142" s="1"/>
    </row>
    <row r="2143" spans="8:8" x14ac:dyDescent="0.25">
      <c r="H2143" s="1"/>
    </row>
    <row r="2144" spans="8:8" x14ac:dyDescent="0.25">
      <c r="H2144" s="1"/>
    </row>
    <row r="2145" spans="8:8" x14ac:dyDescent="0.25">
      <c r="H2145" s="1"/>
    </row>
    <row r="2146" spans="8:8" x14ac:dyDescent="0.25">
      <c r="H2146" s="1"/>
    </row>
    <row r="2147" spans="8:8" x14ac:dyDescent="0.25">
      <c r="H2147" s="1"/>
    </row>
    <row r="2148" spans="8:8" x14ac:dyDescent="0.25">
      <c r="H2148" s="1"/>
    </row>
    <row r="2149" spans="8:8" x14ac:dyDescent="0.25">
      <c r="H2149" s="1"/>
    </row>
    <row r="2150" spans="8:8" x14ac:dyDescent="0.25">
      <c r="H2150" s="1"/>
    </row>
    <row r="2151" spans="8:8" x14ac:dyDescent="0.25">
      <c r="H2151" s="1"/>
    </row>
    <row r="2152" spans="8:8" x14ac:dyDescent="0.25">
      <c r="H2152" s="1"/>
    </row>
    <row r="2153" spans="8:8" x14ac:dyDescent="0.25">
      <c r="H2153" s="1"/>
    </row>
    <row r="2154" spans="8:8" x14ac:dyDescent="0.25">
      <c r="H2154" s="1"/>
    </row>
    <row r="2155" spans="8:8" x14ac:dyDescent="0.25">
      <c r="H2155" s="1"/>
    </row>
    <row r="2156" spans="8:8" x14ac:dyDescent="0.25">
      <c r="H2156" s="1"/>
    </row>
    <row r="2157" spans="8:8" x14ac:dyDescent="0.25">
      <c r="H2157" s="1"/>
    </row>
    <row r="2158" spans="8:8" x14ac:dyDescent="0.25">
      <c r="H2158" s="1"/>
    </row>
    <row r="2159" spans="8:8" x14ac:dyDescent="0.25">
      <c r="H2159" s="1"/>
    </row>
    <row r="2160" spans="8:8" x14ac:dyDescent="0.25">
      <c r="H2160" s="1"/>
    </row>
    <row r="2161" spans="8:8" x14ac:dyDescent="0.25">
      <c r="H2161" s="1"/>
    </row>
    <row r="2162" spans="8:8" x14ac:dyDescent="0.25">
      <c r="H2162" s="1"/>
    </row>
    <row r="2163" spans="8:8" x14ac:dyDescent="0.25">
      <c r="H2163" s="1"/>
    </row>
    <row r="2164" spans="8:8" x14ac:dyDescent="0.25">
      <c r="H2164" s="1"/>
    </row>
    <row r="2165" spans="8:8" x14ac:dyDescent="0.25">
      <c r="H2165" s="1"/>
    </row>
    <row r="2166" spans="8:8" x14ac:dyDescent="0.25">
      <c r="H2166" s="1"/>
    </row>
    <row r="2167" spans="8:8" x14ac:dyDescent="0.25">
      <c r="H2167" s="1"/>
    </row>
    <row r="2168" spans="8:8" x14ac:dyDescent="0.25">
      <c r="H2168" s="1"/>
    </row>
    <row r="2169" spans="8:8" x14ac:dyDescent="0.25">
      <c r="H2169" s="1"/>
    </row>
    <row r="2170" spans="8:8" x14ac:dyDescent="0.25">
      <c r="H2170" s="1"/>
    </row>
    <row r="2171" spans="8:8" x14ac:dyDescent="0.25">
      <c r="H2171" s="1"/>
    </row>
    <row r="2172" spans="8:8" x14ac:dyDescent="0.25">
      <c r="H2172" s="1"/>
    </row>
    <row r="2173" spans="8:8" x14ac:dyDescent="0.25">
      <c r="H2173" s="1"/>
    </row>
    <row r="2174" spans="8:8" x14ac:dyDescent="0.25">
      <c r="H2174" s="1"/>
    </row>
    <row r="2175" spans="8:8" x14ac:dyDescent="0.25">
      <c r="H2175" s="1"/>
    </row>
    <row r="2176" spans="8:8" x14ac:dyDescent="0.25">
      <c r="H2176" s="1"/>
    </row>
    <row r="2177" spans="8:8" x14ac:dyDescent="0.25">
      <c r="H2177" s="1"/>
    </row>
    <row r="2178" spans="8:8" x14ac:dyDescent="0.25">
      <c r="H2178" s="1"/>
    </row>
    <row r="2179" spans="8:8" x14ac:dyDescent="0.25">
      <c r="H2179" s="1"/>
    </row>
    <row r="2180" spans="8:8" x14ac:dyDescent="0.25">
      <c r="H2180" s="1"/>
    </row>
    <row r="2181" spans="8:8" x14ac:dyDescent="0.25">
      <c r="H2181" s="1"/>
    </row>
    <row r="2182" spans="8:8" x14ac:dyDescent="0.25">
      <c r="H2182" s="1"/>
    </row>
    <row r="2183" spans="8:8" x14ac:dyDescent="0.25">
      <c r="H2183" s="1"/>
    </row>
    <row r="2184" spans="8:8" x14ac:dyDescent="0.25">
      <c r="H2184" s="1"/>
    </row>
    <row r="2185" spans="8:8" x14ac:dyDescent="0.25">
      <c r="H2185" s="1"/>
    </row>
    <row r="2186" spans="8:8" x14ac:dyDescent="0.25">
      <c r="H2186" s="1"/>
    </row>
    <row r="2187" spans="8:8" x14ac:dyDescent="0.25">
      <c r="H2187" s="1"/>
    </row>
    <row r="2188" spans="8:8" x14ac:dyDescent="0.25">
      <c r="H2188" s="1"/>
    </row>
    <row r="2189" spans="8:8" x14ac:dyDescent="0.25">
      <c r="H2189" s="1"/>
    </row>
    <row r="2190" spans="8:8" x14ac:dyDescent="0.25">
      <c r="H2190" s="1"/>
    </row>
    <row r="2191" spans="8:8" x14ac:dyDescent="0.25">
      <c r="H2191" s="1"/>
    </row>
    <row r="2192" spans="8:8" x14ac:dyDescent="0.25">
      <c r="H2192" s="1"/>
    </row>
    <row r="2193" spans="8:8" x14ac:dyDescent="0.25">
      <c r="H2193" s="1"/>
    </row>
    <row r="2194" spans="8:8" x14ac:dyDescent="0.25">
      <c r="H2194" s="1"/>
    </row>
    <row r="2195" spans="8:8" x14ac:dyDescent="0.25">
      <c r="H2195" s="1"/>
    </row>
    <row r="2196" spans="8:8" x14ac:dyDescent="0.25">
      <c r="H2196" s="1"/>
    </row>
    <row r="2197" spans="8:8" x14ac:dyDescent="0.25">
      <c r="H2197" s="1"/>
    </row>
    <row r="2198" spans="8:8" x14ac:dyDescent="0.25">
      <c r="H2198" s="1"/>
    </row>
    <row r="2199" spans="8:8" x14ac:dyDescent="0.25">
      <c r="H2199" s="1"/>
    </row>
    <row r="2200" spans="8:8" x14ac:dyDescent="0.25">
      <c r="H2200" s="1"/>
    </row>
    <row r="2201" spans="8:8" x14ac:dyDescent="0.25">
      <c r="H2201" s="1"/>
    </row>
    <row r="2202" spans="8:8" x14ac:dyDescent="0.25">
      <c r="H2202" s="1"/>
    </row>
    <row r="2203" spans="8:8" x14ac:dyDescent="0.25">
      <c r="H2203" s="1"/>
    </row>
    <row r="2204" spans="8:8" x14ac:dyDescent="0.25">
      <c r="H2204" s="1"/>
    </row>
    <row r="2205" spans="8:8" x14ac:dyDescent="0.25">
      <c r="H2205" s="1"/>
    </row>
    <row r="2206" spans="8:8" x14ac:dyDescent="0.25">
      <c r="H2206" s="1"/>
    </row>
  </sheetData>
  <phoneticPr fontId="8" type="noConversion"/>
  <conditionalFormatting sqref="D2207:D1048576 D1258:D1336 D1120 D1075 D1067:D1068 D446:D452 D454:D455 D457:D458 D461:D470 D356:D360 D192:D352 D1:K1">
    <cfRule type="cellIs" dxfId="6517" priority="10308" operator="equal">
      <formula>"Folyamatban"</formula>
    </cfRule>
    <cfRule type="cellIs" dxfId="6516" priority="10309" operator="equal">
      <formula>"Kész"</formula>
    </cfRule>
  </conditionalFormatting>
  <conditionalFormatting sqref="D1257">
    <cfRule type="cellIs" dxfId="6515" priority="10304" operator="equal">
      <formula>"Folyamatban"</formula>
    </cfRule>
    <cfRule type="cellIs" dxfId="6514" priority="10305" operator="equal">
      <formula>"Kész"</formula>
    </cfRule>
  </conditionalFormatting>
  <conditionalFormatting sqref="D1256">
    <cfRule type="cellIs" dxfId="6513" priority="10288" operator="equal">
      <formula>"Folyamatban"</formula>
    </cfRule>
    <cfRule type="cellIs" dxfId="6512" priority="10289" operator="equal">
      <formula>"Kész"</formula>
    </cfRule>
  </conditionalFormatting>
  <conditionalFormatting sqref="D1255">
    <cfRule type="cellIs" dxfId="6511" priority="10286" operator="equal">
      <formula>"Folyamatban"</formula>
    </cfRule>
    <cfRule type="cellIs" dxfId="6510" priority="10287" operator="equal">
      <formula>"Kész"</formula>
    </cfRule>
  </conditionalFormatting>
  <conditionalFormatting sqref="D1254">
    <cfRule type="cellIs" dxfId="6509" priority="10284" operator="equal">
      <formula>"Folyamatban"</formula>
    </cfRule>
    <cfRule type="cellIs" dxfId="6508" priority="10285" operator="equal">
      <formula>"Kész"</formula>
    </cfRule>
  </conditionalFormatting>
  <conditionalFormatting sqref="D1253">
    <cfRule type="cellIs" dxfId="6507" priority="10282" operator="equal">
      <formula>"Folyamatban"</formula>
    </cfRule>
    <cfRule type="cellIs" dxfId="6506" priority="10283" operator="equal">
      <formula>"Kész"</formula>
    </cfRule>
  </conditionalFormatting>
  <conditionalFormatting sqref="D1252">
    <cfRule type="cellIs" dxfId="6505" priority="10280" operator="equal">
      <formula>"Folyamatban"</formula>
    </cfRule>
    <cfRule type="cellIs" dxfId="6504" priority="10281" operator="equal">
      <formula>"Kész"</formula>
    </cfRule>
  </conditionalFormatting>
  <conditionalFormatting sqref="D1251">
    <cfRule type="cellIs" dxfId="6503" priority="10274" operator="equal">
      <formula>"Folyamatban"</formula>
    </cfRule>
    <cfRule type="cellIs" dxfId="6502" priority="10275" operator="equal">
      <formula>"Kész"</formula>
    </cfRule>
  </conditionalFormatting>
  <conditionalFormatting sqref="D1250">
    <cfRule type="cellIs" dxfId="6501" priority="10272" operator="equal">
      <formula>"Folyamatban"</formula>
    </cfRule>
    <cfRule type="cellIs" dxfId="6500" priority="10273" operator="equal">
      <formula>"Kész"</formula>
    </cfRule>
  </conditionalFormatting>
  <conditionalFormatting sqref="D1249">
    <cfRule type="cellIs" dxfId="6499" priority="10270" operator="equal">
      <formula>"Folyamatban"</formula>
    </cfRule>
    <cfRule type="cellIs" dxfId="6498" priority="10271" operator="equal">
      <formula>"Kész"</formula>
    </cfRule>
  </conditionalFormatting>
  <conditionalFormatting sqref="D1248">
    <cfRule type="cellIs" dxfId="6497" priority="10268" operator="equal">
      <formula>"Folyamatban"</formula>
    </cfRule>
    <cfRule type="cellIs" dxfId="6496" priority="10269" operator="equal">
      <formula>"Kész"</formula>
    </cfRule>
  </conditionalFormatting>
  <conditionalFormatting sqref="D1247">
    <cfRule type="cellIs" dxfId="6495" priority="10266" operator="equal">
      <formula>"Folyamatban"</formula>
    </cfRule>
    <cfRule type="cellIs" dxfId="6494" priority="10267" operator="equal">
      <formula>"Kész"</formula>
    </cfRule>
  </conditionalFormatting>
  <conditionalFormatting sqref="D1246">
    <cfRule type="cellIs" dxfId="6493" priority="10264" operator="equal">
      <formula>"Folyamatban"</formula>
    </cfRule>
    <cfRule type="cellIs" dxfId="6492" priority="10265" operator="equal">
      <formula>"Kész"</formula>
    </cfRule>
  </conditionalFormatting>
  <conditionalFormatting sqref="D1245">
    <cfRule type="cellIs" dxfId="6491" priority="10262" operator="equal">
      <formula>"Folyamatban"</formula>
    </cfRule>
    <cfRule type="cellIs" dxfId="6490" priority="10263" operator="equal">
      <formula>"Kész"</formula>
    </cfRule>
  </conditionalFormatting>
  <conditionalFormatting sqref="D1244">
    <cfRule type="cellIs" dxfId="6489" priority="10260" operator="equal">
      <formula>"Folyamatban"</formula>
    </cfRule>
    <cfRule type="cellIs" dxfId="6488" priority="10261" operator="equal">
      <formula>"Kész"</formula>
    </cfRule>
  </conditionalFormatting>
  <conditionalFormatting sqref="D1243">
    <cfRule type="cellIs" dxfId="6487" priority="10258" operator="equal">
      <formula>"Folyamatban"</formula>
    </cfRule>
    <cfRule type="cellIs" dxfId="6486" priority="10259" operator="equal">
      <formula>"Kész"</formula>
    </cfRule>
  </conditionalFormatting>
  <conditionalFormatting sqref="D1242">
    <cfRule type="cellIs" dxfId="6485" priority="10256" operator="equal">
      <formula>"Folyamatban"</formula>
    </cfRule>
    <cfRule type="cellIs" dxfId="6484" priority="10257" operator="equal">
      <formula>"Kész"</formula>
    </cfRule>
  </conditionalFormatting>
  <conditionalFormatting sqref="D1241">
    <cfRule type="cellIs" dxfId="6483" priority="10254" operator="equal">
      <formula>"Folyamatban"</formula>
    </cfRule>
    <cfRule type="cellIs" dxfId="6482" priority="10255" operator="equal">
      <formula>"Kész"</formula>
    </cfRule>
  </conditionalFormatting>
  <conditionalFormatting sqref="D1240">
    <cfRule type="cellIs" dxfId="6481" priority="10252" operator="equal">
      <formula>"Folyamatban"</formula>
    </cfRule>
    <cfRule type="cellIs" dxfId="6480" priority="10253" operator="equal">
      <formula>"Kész"</formula>
    </cfRule>
  </conditionalFormatting>
  <conditionalFormatting sqref="D1239">
    <cfRule type="cellIs" dxfId="6479" priority="10250" operator="equal">
      <formula>"Folyamatban"</formula>
    </cfRule>
    <cfRule type="cellIs" dxfId="6478" priority="10251" operator="equal">
      <formula>"Kész"</formula>
    </cfRule>
  </conditionalFormatting>
  <conditionalFormatting sqref="D1238">
    <cfRule type="cellIs" dxfId="6477" priority="10248" operator="equal">
      <formula>"Folyamatban"</formula>
    </cfRule>
    <cfRule type="cellIs" dxfId="6476" priority="10249" operator="equal">
      <formula>"Kész"</formula>
    </cfRule>
  </conditionalFormatting>
  <conditionalFormatting sqref="D1237">
    <cfRule type="cellIs" dxfId="6475" priority="10246" operator="equal">
      <formula>"Folyamatban"</formula>
    </cfRule>
    <cfRule type="cellIs" dxfId="6474" priority="10247" operator="equal">
      <formula>"Kész"</formula>
    </cfRule>
  </conditionalFormatting>
  <conditionalFormatting sqref="D1236">
    <cfRule type="cellIs" dxfId="6473" priority="10244" operator="equal">
      <formula>"Folyamatban"</formula>
    </cfRule>
    <cfRule type="cellIs" dxfId="6472" priority="10245" operator="equal">
      <formula>"Kész"</formula>
    </cfRule>
  </conditionalFormatting>
  <conditionalFormatting sqref="D1235">
    <cfRule type="cellIs" dxfId="6471" priority="10242" operator="equal">
      <formula>"Folyamatban"</formula>
    </cfRule>
    <cfRule type="cellIs" dxfId="6470" priority="10243" operator="equal">
      <formula>"Kész"</formula>
    </cfRule>
  </conditionalFormatting>
  <conditionalFormatting sqref="D1234">
    <cfRule type="cellIs" dxfId="6469" priority="10240" operator="equal">
      <formula>"Folyamatban"</formula>
    </cfRule>
    <cfRule type="cellIs" dxfId="6468" priority="10241" operator="equal">
      <formula>"Kész"</formula>
    </cfRule>
  </conditionalFormatting>
  <conditionalFormatting sqref="D1233">
    <cfRule type="cellIs" dxfId="6467" priority="10238" operator="equal">
      <formula>"Folyamatban"</formula>
    </cfRule>
    <cfRule type="cellIs" dxfId="6466" priority="10239" operator="equal">
      <formula>"Kész"</formula>
    </cfRule>
  </conditionalFormatting>
  <conditionalFormatting sqref="D1232">
    <cfRule type="cellIs" dxfId="6465" priority="10236" operator="equal">
      <formula>"Folyamatban"</formula>
    </cfRule>
    <cfRule type="cellIs" dxfId="6464" priority="10237" operator="equal">
      <formula>"Kész"</formula>
    </cfRule>
  </conditionalFormatting>
  <conditionalFormatting sqref="D1231">
    <cfRule type="cellIs" dxfId="6463" priority="10232" operator="equal">
      <formula>"Folyamatban"</formula>
    </cfRule>
    <cfRule type="cellIs" dxfId="6462" priority="10233" operator="equal">
      <formula>"Kész"</formula>
    </cfRule>
  </conditionalFormatting>
  <conditionalFormatting sqref="D1230">
    <cfRule type="cellIs" dxfId="6461" priority="10230" operator="equal">
      <formula>"Folyamatban"</formula>
    </cfRule>
    <cfRule type="cellIs" dxfId="6460" priority="10231" operator="equal">
      <formula>"Kész"</formula>
    </cfRule>
  </conditionalFormatting>
  <conditionalFormatting sqref="D1229">
    <cfRule type="cellIs" dxfId="6459" priority="10228" operator="equal">
      <formula>"Folyamatban"</formula>
    </cfRule>
    <cfRule type="cellIs" dxfId="6458" priority="10229" operator="equal">
      <formula>"Kész"</formula>
    </cfRule>
  </conditionalFormatting>
  <conditionalFormatting sqref="D1228">
    <cfRule type="cellIs" dxfId="6457" priority="10224" operator="equal">
      <formula>"Folyamatban"</formula>
    </cfRule>
    <cfRule type="cellIs" dxfId="6456" priority="10225" operator="equal">
      <formula>"Kész"</formula>
    </cfRule>
  </conditionalFormatting>
  <conditionalFormatting sqref="D1227">
    <cfRule type="cellIs" dxfId="6455" priority="10222" operator="equal">
      <formula>"Folyamatban"</formula>
    </cfRule>
    <cfRule type="cellIs" dxfId="6454" priority="10223" operator="equal">
      <formula>"Kész"</formula>
    </cfRule>
  </conditionalFormatting>
  <conditionalFormatting sqref="D1226">
    <cfRule type="cellIs" dxfId="6453" priority="10218" operator="equal">
      <formula>"Folyamatban"</formula>
    </cfRule>
    <cfRule type="cellIs" dxfId="6452" priority="10219" operator="equal">
      <formula>"Kész"</formula>
    </cfRule>
  </conditionalFormatting>
  <conditionalFormatting sqref="D1225">
    <cfRule type="cellIs" dxfId="6451" priority="10216" operator="equal">
      <formula>"Folyamatban"</formula>
    </cfRule>
    <cfRule type="cellIs" dxfId="6450" priority="10217" operator="equal">
      <formula>"Kész"</formula>
    </cfRule>
  </conditionalFormatting>
  <conditionalFormatting sqref="D1224">
    <cfRule type="cellIs" dxfId="6449" priority="10214" operator="equal">
      <formula>"Folyamatban"</formula>
    </cfRule>
    <cfRule type="cellIs" dxfId="6448" priority="10215" operator="equal">
      <formula>"Kész"</formula>
    </cfRule>
  </conditionalFormatting>
  <conditionalFormatting sqref="D1223">
    <cfRule type="cellIs" dxfId="6447" priority="10212" operator="equal">
      <formula>"Folyamatban"</formula>
    </cfRule>
    <cfRule type="cellIs" dxfId="6446" priority="10213" operator="equal">
      <formula>"Kész"</formula>
    </cfRule>
  </conditionalFormatting>
  <conditionalFormatting sqref="D1222">
    <cfRule type="cellIs" dxfId="6445" priority="10210" operator="equal">
      <formula>"Folyamatban"</formula>
    </cfRule>
    <cfRule type="cellIs" dxfId="6444" priority="10211" operator="equal">
      <formula>"Kész"</formula>
    </cfRule>
  </conditionalFormatting>
  <conditionalFormatting sqref="D1221">
    <cfRule type="cellIs" dxfId="6443" priority="10206" operator="equal">
      <formula>"Folyamatban"</formula>
    </cfRule>
    <cfRule type="cellIs" dxfId="6442" priority="10207" operator="equal">
      <formula>"Kész"</formula>
    </cfRule>
  </conditionalFormatting>
  <conditionalFormatting sqref="D1220">
    <cfRule type="cellIs" dxfId="6441" priority="10126" operator="equal">
      <formula>"Folyamatban"</formula>
    </cfRule>
    <cfRule type="cellIs" dxfId="6440" priority="10127" operator="equal">
      <formula>"Kész"</formula>
    </cfRule>
  </conditionalFormatting>
  <conditionalFormatting sqref="D1219">
    <cfRule type="cellIs" dxfId="6439" priority="10124" operator="equal">
      <formula>"Folyamatban"</formula>
    </cfRule>
    <cfRule type="cellIs" dxfId="6438" priority="10125" operator="equal">
      <formula>"Kész"</formula>
    </cfRule>
  </conditionalFormatting>
  <conditionalFormatting sqref="D1218">
    <cfRule type="cellIs" dxfId="6437" priority="10122" operator="equal">
      <formula>"Folyamatban"</formula>
    </cfRule>
    <cfRule type="cellIs" dxfId="6436" priority="10123" operator="equal">
      <formula>"Kész"</formula>
    </cfRule>
  </conditionalFormatting>
  <conditionalFormatting sqref="D1217">
    <cfRule type="cellIs" dxfId="6435" priority="10120" operator="equal">
      <formula>"Folyamatban"</formula>
    </cfRule>
    <cfRule type="cellIs" dxfId="6434" priority="10121" operator="equal">
      <formula>"Kész"</formula>
    </cfRule>
  </conditionalFormatting>
  <conditionalFormatting sqref="D1216">
    <cfRule type="cellIs" dxfId="6433" priority="10118" operator="equal">
      <formula>"Folyamatban"</formula>
    </cfRule>
    <cfRule type="cellIs" dxfId="6432" priority="10119" operator="equal">
      <formula>"Kész"</formula>
    </cfRule>
  </conditionalFormatting>
  <conditionalFormatting sqref="D1215">
    <cfRule type="cellIs" dxfId="6431" priority="10116" operator="equal">
      <formula>"Folyamatban"</formula>
    </cfRule>
    <cfRule type="cellIs" dxfId="6430" priority="10117" operator="equal">
      <formula>"Kész"</formula>
    </cfRule>
  </conditionalFormatting>
  <conditionalFormatting sqref="D1214">
    <cfRule type="cellIs" dxfId="6429" priority="10114" operator="equal">
      <formula>"Folyamatban"</formula>
    </cfRule>
    <cfRule type="cellIs" dxfId="6428" priority="10115" operator="equal">
      <formula>"Kész"</formula>
    </cfRule>
  </conditionalFormatting>
  <conditionalFormatting sqref="D1213">
    <cfRule type="cellIs" dxfId="6427" priority="10112" operator="equal">
      <formula>"Folyamatban"</formula>
    </cfRule>
    <cfRule type="cellIs" dxfId="6426" priority="10113" operator="equal">
      <formula>"Kész"</formula>
    </cfRule>
  </conditionalFormatting>
  <conditionalFormatting sqref="D1212">
    <cfRule type="cellIs" dxfId="6425" priority="10110" operator="equal">
      <formula>"Folyamatban"</formula>
    </cfRule>
    <cfRule type="cellIs" dxfId="6424" priority="10111" operator="equal">
      <formula>"Kész"</formula>
    </cfRule>
  </conditionalFormatting>
  <conditionalFormatting sqref="D1211">
    <cfRule type="cellIs" dxfId="6423" priority="10108" operator="equal">
      <formula>"Folyamatban"</formula>
    </cfRule>
    <cfRule type="cellIs" dxfId="6422" priority="10109" operator="equal">
      <formula>"Kész"</formula>
    </cfRule>
  </conditionalFormatting>
  <conditionalFormatting sqref="D1210">
    <cfRule type="cellIs" dxfId="6421" priority="10106" operator="equal">
      <formula>"Folyamatban"</formula>
    </cfRule>
    <cfRule type="cellIs" dxfId="6420" priority="10107" operator="equal">
      <formula>"Kész"</formula>
    </cfRule>
  </conditionalFormatting>
  <conditionalFormatting sqref="D1209">
    <cfRule type="cellIs" dxfId="6419" priority="10104" operator="equal">
      <formula>"Folyamatban"</formula>
    </cfRule>
    <cfRule type="cellIs" dxfId="6418" priority="10105" operator="equal">
      <formula>"Kész"</formula>
    </cfRule>
  </conditionalFormatting>
  <conditionalFormatting sqref="D1208">
    <cfRule type="cellIs" dxfId="6417" priority="10100" operator="equal">
      <formula>"Folyamatban"</formula>
    </cfRule>
    <cfRule type="cellIs" dxfId="6416" priority="10101" operator="equal">
      <formula>"Kész"</formula>
    </cfRule>
  </conditionalFormatting>
  <conditionalFormatting sqref="D1207">
    <cfRule type="cellIs" dxfId="6415" priority="10096" operator="equal">
      <formula>"Folyamatban"</formula>
    </cfRule>
    <cfRule type="cellIs" dxfId="6414" priority="10097" operator="equal">
      <formula>"Kész"</formula>
    </cfRule>
  </conditionalFormatting>
  <conditionalFormatting sqref="D1206">
    <cfRule type="cellIs" dxfId="6413" priority="10094" operator="equal">
      <formula>"Folyamatban"</formula>
    </cfRule>
    <cfRule type="cellIs" dxfId="6412" priority="10095" operator="equal">
      <formula>"Kész"</formula>
    </cfRule>
  </conditionalFormatting>
  <conditionalFormatting sqref="D1205">
    <cfRule type="cellIs" dxfId="6411" priority="10092" operator="equal">
      <formula>"Folyamatban"</formula>
    </cfRule>
    <cfRule type="cellIs" dxfId="6410" priority="10093" operator="equal">
      <formula>"Kész"</formula>
    </cfRule>
  </conditionalFormatting>
  <conditionalFormatting sqref="D1204">
    <cfRule type="cellIs" dxfId="6409" priority="10090" operator="equal">
      <formula>"Folyamatban"</formula>
    </cfRule>
    <cfRule type="cellIs" dxfId="6408" priority="10091" operator="equal">
      <formula>"Kész"</formula>
    </cfRule>
  </conditionalFormatting>
  <conditionalFormatting sqref="D1203">
    <cfRule type="cellIs" dxfId="6407" priority="10088" operator="equal">
      <formula>"Folyamatban"</formula>
    </cfRule>
    <cfRule type="cellIs" dxfId="6406" priority="10089" operator="equal">
      <formula>"Kész"</formula>
    </cfRule>
  </conditionalFormatting>
  <conditionalFormatting sqref="D1202">
    <cfRule type="cellIs" dxfId="6405" priority="10086" operator="equal">
      <formula>"Folyamatban"</formula>
    </cfRule>
    <cfRule type="cellIs" dxfId="6404" priority="10087" operator="equal">
      <formula>"Kész"</formula>
    </cfRule>
  </conditionalFormatting>
  <conditionalFormatting sqref="D1201">
    <cfRule type="cellIs" dxfId="6403" priority="10084" operator="equal">
      <formula>"Folyamatban"</formula>
    </cfRule>
    <cfRule type="cellIs" dxfId="6402" priority="10085" operator="equal">
      <formula>"Kész"</formula>
    </cfRule>
  </conditionalFormatting>
  <conditionalFormatting sqref="D1200">
    <cfRule type="cellIs" dxfId="6401" priority="10082" operator="equal">
      <formula>"Folyamatban"</formula>
    </cfRule>
    <cfRule type="cellIs" dxfId="6400" priority="10083" operator="equal">
      <formula>"Kész"</formula>
    </cfRule>
  </conditionalFormatting>
  <conditionalFormatting sqref="D1199">
    <cfRule type="cellIs" dxfId="6399" priority="10080" operator="equal">
      <formula>"Folyamatban"</formula>
    </cfRule>
    <cfRule type="cellIs" dxfId="6398" priority="10081" operator="equal">
      <formula>"Kész"</formula>
    </cfRule>
  </conditionalFormatting>
  <conditionalFormatting sqref="D1198">
    <cfRule type="cellIs" dxfId="6397" priority="10078" operator="equal">
      <formula>"Folyamatban"</formula>
    </cfRule>
    <cfRule type="cellIs" dxfId="6396" priority="10079" operator="equal">
      <formula>"Kész"</formula>
    </cfRule>
  </conditionalFormatting>
  <conditionalFormatting sqref="D1197">
    <cfRule type="cellIs" dxfId="6395" priority="10076" operator="equal">
      <formula>"Folyamatban"</formula>
    </cfRule>
    <cfRule type="cellIs" dxfId="6394" priority="10077" operator="equal">
      <formula>"Kész"</formula>
    </cfRule>
  </conditionalFormatting>
  <conditionalFormatting sqref="D1196">
    <cfRule type="cellIs" dxfId="6393" priority="10074" operator="equal">
      <formula>"Folyamatban"</formula>
    </cfRule>
    <cfRule type="cellIs" dxfId="6392" priority="10075" operator="equal">
      <formula>"Kész"</formula>
    </cfRule>
  </conditionalFormatting>
  <conditionalFormatting sqref="D1195">
    <cfRule type="cellIs" dxfId="6391" priority="10072" operator="equal">
      <formula>"Folyamatban"</formula>
    </cfRule>
    <cfRule type="cellIs" dxfId="6390" priority="10073" operator="equal">
      <formula>"Kész"</formula>
    </cfRule>
  </conditionalFormatting>
  <conditionalFormatting sqref="D1194">
    <cfRule type="cellIs" dxfId="6389" priority="10054" operator="equal">
      <formula>"Folyamatban"</formula>
    </cfRule>
    <cfRule type="cellIs" dxfId="6388" priority="10055" operator="equal">
      <formula>"Kész"</formula>
    </cfRule>
  </conditionalFormatting>
  <conditionalFormatting sqref="D1193">
    <cfRule type="cellIs" dxfId="6387" priority="10050" operator="equal">
      <formula>"Folyamatban"</formula>
    </cfRule>
    <cfRule type="cellIs" dxfId="6386" priority="10051" operator="equal">
      <formula>"Kész"</formula>
    </cfRule>
  </conditionalFormatting>
  <conditionalFormatting sqref="D1192">
    <cfRule type="cellIs" dxfId="6385" priority="10046" operator="equal">
      <formula>"Folyamatban"</formula>
    </cfRule>
    <cfRule type="cellIs" dxfId="6384" priority="10047" operator="equal">
      <formula>"Kész"</formula>
    </cfRule>
  </conditionalFormatting>
  <conditionalFormatting sqref="D1191">
    <cfRule type="cellIs" dxfId="6383" priority="10042" operator="equal">
      <formula>"Folyamatban"</formula>
    </cfRule>
    <cfRule type="cellIs" dxfId="6382" priority="10043" operator="equal">
      <formula>"Kész"</formula>
    </cfRule>
  </conditionalFormatting>
  <conditionalFormatting sqref="D1190">
    <cfRule type="cellIs" dxfId="6381" priority="10038" operator="equal">
      <formula>"Folyamatban"</formula>
    </cfRule>
    <cfRule type="cellIs" dxfId="6380" priority="10039" operator="equal">
      <formula>"Kész"</formula>
    </cfRule>
  </conditionalFormatting>
  <conditionalFormatting sqref="D1189">
    <cfRule type="cellIs" dxfId="6379" priority="10034" operator="equal">
      <formula>"Folyamatban"</formula>
    </cfRule>
    <cfRule type="cellIs" dxfId="6378" priority="10035" operator="equal">
      <formula>"Kész"</formula>
    </cfRule>
  </conditionalFormatting>
  <conditionalFormatting sqref="D1188">
    <cfRule type="cellIs" dxfId="6377" priority="10030" operator="equal">
      <formula>"Folyamatban"</formula>
    </cfRule>
    <cfRule type="cellIs" dxfId="6376" priority="10031" operator="equal">
      <formula>"Kész"</formula>
    </cfRule>
  </conditionalFormatting>
  <conditionalFormatting sqref="D1187">
    <cfRule type="cellIs" dxfId="6375" priority="10026" operator="equal">
      <formula>"Folyamatban"</formula>
    </cfRule>
    <cfRule type="cellIs" dxfId="6374" priority="10027" operator="equal">
      <formula>"Kész"</formula>
    </cfRule>
  </conditionalFormatting>
  <conditionalFormatting sqref="D1186">
    <cfRule type="cellIs" dxfId="6373" priority="10022" operator="equal">
      <formula>"Folyamatban"</formula>
    </cfRule>
    <cfRule type="cellIs" dxfId="6372" priority="10023" operator="equal">
      <formula>"Kész"</formula>
    </cfRule>
  </conditionalFormatting>
  <conditionalFormatting sqref="D1185">
    <cfRule type="cellIs" dxfId="6371" priority="10018" operator="equal">
      <formula>"Folyamatban"</formula>
    </cfRule>
    <cfRule type="cellIs" dxfId="6370" priority="10019" operator="equal">
      <formula>"Kész"</formula>
    </cfRule>
  </conditionalFormatting>
  <conditionalFormatting sqref="D1184">
    <cfRule type="cellIs" dxfId="6369" priority="10014" operator="equal">
      <formula>"Folyamatban"</formula>
    </cfRule>
    <cfRule type="cellIs" dxfId="6368" priority="10015" operator="equal">
      <formula>"Kész"</formula>
    </cfRule>
  </conditionalFormatting>
  <conditionalFormatting sqref="D1183">
    <cfRule type="cellIs" dxfId="6367" priority="10010" operator="equal">
      <formula>"Folyamatban"</formula>
    </cfRule>
    <cfRule type="cellIs" dxfId="6366" priority="10011" operator="equal">
      <formula>"Kész"</formula>
    </cfRule>
  </conditionalFormatting>
  <conditionalFormatting sqref="D1182">
    <cfRule type="cellIs" dxfId="6365" priority="10006" operator="equal">
      <formula>"Folyamatban"</formula>
    </cfRule>
    <cfRule type="cellIs" dxfId="6364" priority="10007" operator="equal">
      <formula>"Kész"</formula>
    </cfRule>
  </conditionalFormatting>
  <conditionalFormatting sqref="D1181">
    <cfRule type="cellIs" dxfId="6363" priority="9998" operator="equal">
      <formula>"Folyamatban"</formula>
    </cfRule>
    <cfRule type="cellIs" dxfId="6362" priority="9999" operator="equal">
      <formula>"Kész"</formula>
    </cfRule>
  </conditionalFormatting>
  <conditionalFormatting sqref="D1180">
    <cfRule type="cellIs" dxfId="6361" priority="9994" operator="equal">
      <formula>"Folyamatban"</formula>
    </cfRule>
    <cfRule type="cellIs" dxfId="6360" priority="9995" operator="equal">
      <formula>"Kész"</formula>
    </cfRule>
  </conditionalFormatting>
  <conditionalFormatting sqref="D1179">
    <cfRule type="cellIs" dxfId="6359" priority="9986" operator="equal">
      <formula>"Folyamatban"</formula>
    </cfRule>
    <cfRule type="cellIs" dxfId="6358" priority="9987" operator="equal">
      <formula>"Kész"</formula>
    </cfRule>
  </conditionalFormatting>
  <conditionalFormatting sqref="D1178">
    <cfRule type="cellIs" dxfId="6357" priority="9982" operator="equal">
      <formula>"Folyamatban"</formula>
    </cfRule>
    <cfRule type="cellIs" dxfId="6356" priority="9983" operator="equal">
      <formula>"Kész"</formula>
    </cfRule>
  </conditionalFormatting>
  <conditionalFormatting sqref="D1177">
    <cfRule type="cellIs" dxfId="6355" priority="9968" operator="equal">
      <formula>"Folyamatban"</formula>
    </cfRule>
    <cfRule type="cellIs" dxfId="6354" priority="9969" operator="equal">
      <formula>"Kész"</formula>
    </cfRule>
  </conditionalFormatting>
  <conditionalFormatting sqref="D1176">
    <cfRule type="cellIs" dxfId="6353" priority="9966" operator="equal">
      <formula>"Folyamatban"</formula>
    </cfRule>
    <cfRule type="cellIs" dxfId="6352" priority="9967" operator="equal">
      <formula>"Kész"</formula>
    </cfRule>
  </conditionalFormatting>
  <conditionalFormatting sqref="D1175">
    <cfRule type="cellIs" dxfId="6351" priority="9964" operator="equal">
      <formula>"Folyamatban"</formula>
    </cfRule>
    <cfRule type="cellIs" dxfId="6350" priority="9965" operator="equal">
      <formula>"Kész"</formula>
    </cfRule>
  </conditionalFormatting>
  <conditionalFormatting sqref="D1174">
    <cfRule type="cellIs" dxfId="6349" priority="9962" operator="equal">
      <formula>"Folyamatban"</formula>
    </cfRule>
    <cfRule type="cellIs" dxfId="6348" priority="9963" operator="equal">
      <formula>"Kész"</formula>
    </cfRule>
  </conditionalFormatting>
  <conditionalFormatting sqref="D1173">
    <cfRule type="cellIs" dxfId="6347" priority="9960" operator="equal">
      <formula>"Folyamatban"</formula>
    </cfRule>
    <cfRule type="cellIs" dxfId="6346" priority="9961" operator="equal">
      <formula>"Kész"</formula>
    </cfRule>
  </conditionalFormatting>
  <conditionalFormatting sqref="D1172">
    <cfRule type="cellIs" dxfId="6345" priority="9958" operator="equal">
      <formula>"Folyamatban"</formula>
    </cfRule>
    <cfRule type="cellIs" dxfId="6344" priority="9959" operator="equal">
      <formula>"Kész"</formula>
    </cfRule>
  </conditionalFormatting>
  <conditionalFormatting sqref="D1171">
    <cfRule type="cellIs" dxfId="6343" priority="9956" operator="equal">
      <formula>"Folyamatban"</formula>
    </cfRule>
    <cfRule type="cellIs" dxfId="6342" priority="9957" operator="equal">
      <formula>"Kész"</formula>
    </cfRule>
  </conditionalFormatting>
  <conditionalFormatting sqref="D1170">
    <cfRule type="cellIs" dxfId="6341" priority="9954" operator="equal">
      <formula>"Folyamatban"</formula>
    </cfRule>
    <cfRule type="cellIs" dxfId="6340" priority="9955" operator="equal">
      <formula>"Kész"</formula>
    </cfRule>
  </conditionalFormatting>
  <conditionalFormatting sqref="D1169">
    <cfRule type="cellIs" dxfId="6339" priority="9952" operator="equal">
      <formula>"Folyamatban"</formula>
    </cfRule>
    <cfRule type="cellIs" dxfId="6338" priority="9953" operator="equal">
      <formula>"Kész"</formula>
    </cfRule>
  </conditionalFormatting>
  <conditionalFormatting sqref="D1168">
    <cfRule type="cellIs" dxfId="6337" priority="9950" operator="equal">
      <formula>"Folyamatban"</formula>
    </cfRule>
    <cfRule type="cellIs" dxfId="6336" priority="9951" operator="equal">
      <formula>"Kész"</formula>
    </cfRule>
  </conditionalFormatting>
  <conditionalFormatting sqref="D1167">
    <cfRule type="cellIs" dxfId="6335" priority="9948" operator="equal">
      <formula>"Folyamatban"</formula>
    </cfRule>
    <cfRule type="cellIs" dxfId="6334" priority="9949" operator="equal">
      <formula>"Kész"</formula>
    </cfRule>
  </conditionalFormatting>
  <conditionalFormatting sqref="D1166">
    <cfRule type="cellIs" dxfId="6333" priority="9946" operator="equal">
      <formula>"Folyamatban"</formula>
    </cfRule>
    <cfRule type="cellIs" dxfId="6332" priority="9947" operator="equal">
      <formula>"Kész"</formula>
    </cfRule>
  </conditionalFormatting>
  <conditionalFormatting sqref="D1165">
    <cfRule type="cellIs" dxfId="6331" priority="9944" operator="equal">
      <formula>"Folyamatban"</formula>
    </cfRule>
    <cfRule type="cellIs" dxfId="6330" priority="9945" operator="equal">
      <formula>"Kész"</formula>
    </cfRule>
  </conditionalFormatting>
  <conditionalFormatting sqref="D1164">
    <cfRule type="cellIs" dxfId="6329" priority="9942" operator="equal">
      <formula>"Folyamatban"</formula>
    </cfRule>
    <cfRule type="cellIs" dxfId="6328" priority="9943" operator="equal">
      <formula>"Kész"</formula>
    </cfRule>
  </conditionalFormatting>
  <conditionalFormatting sqref="D1163">
    <cfRule type="cellIs" dxfId="6327" priority="9940" operator="equal">
      <formula>"Folyamatban"</formula>
    </cfRule>
    <cfRule type="cellIs" dxfId="6326" priority="9941" operator="equal">
      <formula>"Kész"</formula>
    </cfRule>
  </conditionalFormatting>
  <conditionalFormatting sqref="D1162">
    <cfRule type="cellIs" dxfId="6325" priority="9938" operator="equal">
      <formula>"Folyamatban"</formula>
    </cfRule>
    <cfRule type="cellIs" dxfId="6324" priority="9939" operator="equal">
      <formula>"Kész"</formula>
    </cfRule>
  </conditionalFormatting>
  <conditionalFormatting sqref="D1161">
    <cfRule type="cellIs" dxfId="6323" priority="9936" operator="equal">
      <formula>"Folyamatban"</formula>
    </cfRule>
    <cfRule type="cellIs" dxfId="6322" priority="9937" operator="equal">
      <formula>"Kész"</formula>
    </cfRule>
  </conditionalFormatting>
  <conditionalFormatting sqref="D1160">
    <cfRule type="cellIs" dxfId="6321" priority="9932" operator="equal">
      <formula>"Folyamatban"</formula>
    </cfRule>
    <cfRule type="cellIs" dxfId="6320" priority="9933" operator="equal">
      <formula>"Kész"</formula>
    </cfRule>
  </conditionalFormatting>
  <conditionalFormatting sqref="D1159">
    <cfRule type="cellIs" dxfId="6319" priority="9930" operator="equal">
      <formula>"Folyamatban"</formula>
    </cfRule>
    <cfRule type="cellIs" dxfId="6318" priority="9931" operator="equal">
      <formula>"Kész"</formula>
    </cfRule>
  </conditionalFormatting>
  <conditionalFormatting sqref="D1157:D1158">
    <cfRule type="cellIs" dxfId="6317" priority="9928" operator="equal">
      <formula>"Folyamatban"</formula>
    </cfRule>
    <cfRule type="cellIs" dxfId="6316" priority="9929" operator="equal">
      <formula>"Kész"</formula>
    </cfRule>
  </conditionalFormatting>
  <conditionalFormatting sqref="D1156">
    <cfRule type="cellIs" dxfId="6315" priority="9926" operator="equal">
      <formula>"Folyamatban"</formula>
    </cfRule>
    <cfRule type="cellIs" dxfId="6314" priority="9927" operator="equal">
      <formula>"Kész"</formula>
    </cfRule>
  </conditionalFormatting>
  <conditionalFormatting sqref="D1155">
    <cfRule type="cellIs" dxfId="6313" priority="9924" operator="equal">
      <formula>"Folyamatban"</formula>
    </cfRule>
    <cfRule type="cellIs" dxfId="6312" priority="9925" operator="equal">
      <formula>"Kész"</formula>
    </cfRule>
  </conditionalFormatting>
  <conditionalFormatting sqref="D1154">
    <cfRule type="cellIs" dxfId="6311" priority="9922" operator="equal">
      <formula>"Folyamatban"</formula>
    </cfRule>
    <cfRule type="cellIs" dxfId="6310" priority="9923" operator="equal">
      <formula>"Kész"</formula>
    </cfRule>
  </conditionalFormatting>
  <conditionalFormatting sqref="D1153">
    <cfRule type="cellIs" dxfId="6309" priority="9920" operator="equal">
      <formula>"Folyamatban"</formula>
    </cfRule>
    <cfRule type="cellIs" dxfId="6308" priority="9921" operator="equal">
      <formula>"Kész"</formula>
    </cfRule>
  </conditionalFormatting>
  <conditionalFormatting sqref="D1152">
    <cfRule type="cellIs" dxfId="6307" priority="9918" operator="equal">
      <formula>"Folyamatban"</formula>
    </cfRule>
    <cfRule type="cellIs" dxfId="6306" priority="9919" operator="equal">
      <formula>"Kész"</formula>
    </cfRule>
  </conditionalFormatting>
  <conditionalFormatting sqref="D1151">
    <cfRule type="cellIs" dxfId="6305" priority="9914" operator="equal">
      <formula>"Folyamatban"</formula>
    </cfRule>
    <cfRule type="cellIs" dxfId="6304" priority="9915" operator="equal">
      <formula>"Kész"</formula>
    </cfRule>
  </conditionalFormatting>
  <conditionalFormatting sqref="D1150">
    <cfRule type="cellIs" dxfId="6303" priority="9912" operator="equal">
      <formula>"Folyamatban"</formula>
    </cfRule>
    <cfRule type="cellIs" dxfId="6302" priority="9913" operator="equal">
      <formula>"Kész"</formula>
    </cfRule>
  </conditionalFormatting>
  <conditionalFormatting sqref="D1148:D1149">
    <cfRule type="cellIs" dxfId="6301" priority="9910" operator="equal">
      <formula>"Folyamatban"</formula>
    </cfRule>
    <cfRule type="cellIs" dxfId="6300" priority="9911" operator="equal">
      <formula>"Kész"</formula>
    </cfRule>
  </conditionalFormatting>
  <conditionalFormatting sqref="D1147">
    <cfRule type="cellIs" dxfId="6299" priority="9908" operator="equal">
      <formula>"Folyamatban"</formula>
    </cfRule>
    <cfRule type="cellIs" dxfId="6298" priority="9909" operator="equal">
      <formula>"Kész"</formula>
    </cfRule>
  </conditionalFormatting>
  <conditionalFormatting sqref="D1146">
    <cfRule type="cellIs" dxfId="6297" priority="9906" operator="equal">
      <formula>"Folyamatban"</formula>
    </cfRule>
    <cfRule type="cellIs" dxfId="6296" priority="9907" operator="equal">
      <formula>"Kész"</formula>
    </cfRule>
  </conditionalFormatting>
  <conditionalFormatting sqref="D1145">
    <cfRule type="cellIs" dxfId="6295" priority="9904" operator="equal">
      <formula>"Folyamatban"</formula>
    </cfRule>
    <cfRule type="cellIs" dxfId="6294" priority="9905" operator="equal">
      <formula>"Kész"</formula>
    </cfRule>
  </conditionalFormatting>
  <conditionalFormatting sqref="D1144">
    <cfRule type="cellIs" dxfId="6293" priority="9902" operator="equal">
      <formula>"Folyamatban"</formula>
    </cfRule>
    <cfRule type="cellIs" dxfId="6292" priority="9903" operator="equal">
      <formula>"Kész"</formula>
    </cfRule>
  </conditionalFormatting>
  <conditionalFormatting sqref="D1143">
    <cfRule type="cellIs" dxfId="6291" priority="9900" operator="equal">
      <formula>"Folyamatban"</formula>
    </cfRule>
    <cfRule type="cellIs" dxfId="6290" priority="9901" operator="equal">
      <formula>"Kész"</formula>
    </cfRule>
  </conditionalFormatting>
  <conditionalFormatting sqref="D1142">
    <cfRule type="cellIs" dxfId="6289" priority="9898" operator="equal">
      <formula>"Folyamatban"</formula>
    </cfRule>
    <cfRule type="cellIs" dxfId="6288" priority="9899" operator="equal">
      <formula>"Kész"</formula>
    </cfRule>
  </conditionalFormatting>
  <conditionalFormatting sqref="D1141">
    <cfRule type="cellIs" dxfId="6287" priority="9894" operator="equal">
      <formula>"Folyamatban"</formula>
    </cfRule>
    <cfRule type="cellIs" dxfId="6286" priority="9895" operator="equal">
      <formula>"Kész"</formula>
    </cfRule>
  </conditionalFormatting>
  <conditionalFormatting sqref="D1140">
    <cfRule type="cellIs" dxfId="6285" priority="9892" operator="equal">
      <formula>"Folyamatban"</formula>
    </cfRule>
    <cfRule type="cellIs" dxfId="6284" priority="9893" operator="equal">
      <formula>"Kész"</formula>
    </cfRule>
  </conditionalFormatting>
  <conditionalFormatting sqref="D1139">
    <cfRule type="cellIs" dxfId="6283" priority="9890" operator="equal">
      <formula>"Folyamatban"</formula>
    </cfRule>
    <cfRule type="cellIs" dxfId="6282" priority="9891" operator="equal">
      <formula>"Kész"</formula>
    </cfRule>
  </conditionalFormatting>
  <conditionalFormatting sqref="D1138">
    <cfRule type="cellIs" dxfId="6281" priority="9888" operator="equal">
      <formula>"Folyamatban"</formula>
    </cfRule>
    <cfRule type="cellIs" dxfId="6280" priority="9889" operator="equal">
      <formula>"Kész"</formula>
    </cfRule>
  </conditionalFormatting>
  <conditionalFormatting sqref="D1137">
    <cfRule type="cellIs" dxfId="6279" priority="9886" operator="equal">
      <formula>"Folyamatban"</formula>
    </cfRule>
    <cfRule type="cellIs" dxfId="6278" priority="9887" operator="equal">
      <formula>"Kész"</formula>
    </cfRule>
  </conditionalFormatting>
  <conditionalFormatting sqref="D1136">
    <cfRule type="cellIs" dxfId="6277" priority="9884" operator="equal">
      <formula>"Folyamatban"</formula>
    </cfRule>
    <cfRule type="cellIs" dxfId="6276" priority="9885" operator="equal">
      <formula>"Kész"</formula>
    </cfRule>
  </conditionalFormatting>
  <conditionalFormatting sqref="D1135">
    <cfRule type="cellIs" dxfId="6275" priority="9882" operator="equal">
      <formula>"Folyamatban"</formula>
    </cfRule>
    <cfRule type="cellIs" dxfId="6274" priority="9883" operator="equal">
      <formula>"Kész"</formula>
    </cfRule>
  </conditionalFormatting>
  <conditionalFormatting sqref="D1134">
    <cfRule type="cellIs" dxfId="6273" priority="9878" operator="equal">
      <formula>"Folyamatban"</formula>
    </cfRule>
    <cfRule type="cellIs" dxfId="6272" priority="9879" operator="equal">
      <formula>"Kész"</formula>
    </cfRule>
  </conditionalFormatting>
  <conditionalFormatting sqref="D1133">
    <cfRule type="cellIs" dxfId="6271" priority="9876" operator="equal">
      <formula>"Folyamatban"</formula>
    </cfRule>
    <cfRule type="cellIs" dxfId="6270" priority="9877" operator="equal">
      <formula>"Kész"</formula>
    </cfRule>
  </conditionalFormatting>
  <conditionalFormatting sqref="D1132">
    <cfRule type="cellIs" dxfId="6269" priority="9872" operator="equal">
      <formula>"Folyamatban"</formula>
    </cfRule>
    <cfRule type="cellIs" dxfId="6268" priority="9873" operator="equal">
      <formula>"Kész"</formula>
    </cfRule>
  </conditionalFormatting>
  <conditionalFormatting sqref="D1131">
    <cfRule type="cellIs" dxfId="6267" priority="9870" operator="equal">
      <formula>"Folyamatban"</formula>
    </cfRule>
    <cfRule type="cellIs" dxfId="6266" priority="9871" operator="equal">
      <formula>"Kész"</formula>
    </cfRule>
  </conditionalFormatting>
  <conditionalFormatting sqref="D1129:D1130">
    <cfRule type="cellIs" dxfId="6265" priority="9868" operator="equal">
      <formula>"Folyamatban"</formula>
    </cfRule>
    <cfRule type="cellIs" dxfId="6264" priority="9869" operator="equal">
      <formula>"Kész"</formula>
    </cfRule>
  </conditionalFormatting>
  <conditionalFormatting sqref="D1128">
    <cfRule type="cellIs" dxfId="6263" priority="9864" operator="equal">
      <formula>"Folyamatban"</formula>
    </cfRule>
    <cfRule type="cellIs" dxfId="6262" priority="9865" operator="equal">
      <formula>"Kész"</formula>
    </cfRule>
  </conditionalFormatting>
  <conditionalFormatting sqref="D1127">
    <cfRule type="cellIs" dxfId="6261" priority="9862" operator="equal">
      <formula>"Folyamatban"</formula>
    </cfRule>
    <cfRule type="cellIs" dxfId="6260" priority="9863" operator="equal">
      <formula>"Kész"</formula>
    </cfRule>
  </conditionalFormatting>
  <conditionalFormatting sqref="D1126">
    <cfRule type="cellIs" dxfId="6259" priority="9860" operator="equal">
      <formula>"Folyamatban"</formula>
    </cfRule>
    <cfRule type="cellIs" dxfId="6258" priority="9861" operator="equal">
      <formula>"Kész"</formula>
    </cfRule>
  </conditionalFormatting>
  <conditionalFormatting sqref="D1125">
    <cfRule type="cellIs" dxfId="6257" priority="9856" operator="equal">
      <formula>"Folyamatban"</formula>
    </cfRule>
    <cfRule type="cellIs" dxfId="6256" priority="9857" operator="equal">
      <formula>"Kész"</formula>
    </cfRule>
  </conditionalFormatting>
  <conditionalFormatting sqref="D1124">
    <cfRule type="cellIs" dxfId="6255" priority="9854" operator="equal">
      <formula>"Folyamatban"</formula>
    </cfRule>
    <cfRule type="cellIs" dxfId="6254" priority="9855" operator="equal">
      <formula>"Kész"</formula>
    </cfRule>
  </conditionalFormatting>
  <conditionalFormatting sqref="D1123">
    <cfRule type="cellIs" dxfId="6253" priority="9852" operator="equal">
      <formula>"Folyamatban"</formula>
    </cfRule>
    <cfRule type="cellIs" dxfId="6252" priority="9853" operator="equal">
      <formula>"Kész"</formula>
    </cfRule>
  </conditionalFormatting>
  <conditionalFormatting sqref="D1122">
    <cfRule type="cellIs" dxfId="6251" priority="9850" operator="equal">
      <formula>"Folyamatban"</formula>
    </cfRule>
    <cfRule type="cellIs" dxfId="6250" priority="9851" operator="equal">
      <formula>"Kész"</formula>
    </cfRule>
  </conditionalFormatting>
  <conditionalFormatting sqref="D1121">
    <cfRule type="cellIs" dxfId="6249" priority="9848" operator="equal">
      <formula>"Folyamatban"</formula>
    </cfRule>
    <cfRule type="cellIs" dxfId="6248" priority="9849" operator="equal">
      <formula>"Kész"</formula>
    </cfRule>
  </conditionalFormatting>
  <conditionalFormatting sqref="D1119">
    <cfRule type="cellIs" dxfId="6247" priority="9842" operator="equal">
      <formula>"Folyamatban"</formula>
    </cfRule>
    <cfRule type="cellIs" dxfId="6246" priority="9843" operator="equal">
      <formula>"Kész"</formula>
    </cfRule>
  </conditionalFormatting>
  <conditionalFormatting sqref="D1116:D1118">
    <cfRule type="cellIs" dxfId="6245" priority="9840" operator="equal">
      <formula>"Folyamatban"</formula>
    </cfRule>
    <cfRule type="cellIs" dxfId="6244" priority="9841" operator="equal">
      <formula>"Kész"</formula>
    </cfRule>
  </conditionalFormatting>
  <conditionalFormatting sqref="D1115">
    <cfRule type="cellIs" dxfId="6243" priority="9836" operator="equal">
      <formula>"Folyamatban"</formula>
    </cfRule>
    <cfRule type="cellIs" dxfId="6242" priority="9837" operator="equal">
      <formula>"Kész"</formula>
    </cfRule>
  </conditionalFormatting>
  <conditionalFormatting sqref="D1114">
    <cfRule type="cellIs" dxfId="6241" priority="9834" operator="equal">
      <formula>"Folyamatban"</formula>
    </cfRule>
    <cfRule type="cellIs" dxfId="6240" priority="9835" operator="equal">
      <formula>"Kész"</formula>
    </cfRule>
  </conditionalFormatting>
  <conditionalFormatting sqref="D1113">
    <cfRule type="cellIs" dxfId="6239" priority="9832" operator="equal">
      <formula>"Folyamatban"</formula>
    </cfRule>
    <cfRule type="cellIs" dxfId="6238" priority="9833" operator="equal">
      <formula>"Kész"</formula>
    </cfRule>
  </conditionalFormatting>
  <conditionalFormatting sqref="D1112">
    <cfRule type="cellIs" dxfId="6237" priority="9828" operator="equal">
      <formula>"Folyamatban"</formula>
    </cfRule>
    <cfRule type="cellIs" dxfId="6236" priority="9829" operator="equal">
      <formula>"Kész"</formula>
    </cfRule>
  </conditionalFormatting>
  <conditionalFormatting sqref="D1111">
    <cfRule type="cellIs" dxfId="6235" priority="9824" operator="equal">
      <formula>"Folyamatban"</formula>
    </cfRule>
    <cfRule type="cellIs" dxfId="6234" priority="9825" operator="equal">
      <formula>"Kész"</formula>
    </cfRule>
  </conditionalFormatting>
  <conditionalFormatting sqref="D1110">
    <cfRule type="cellIs" dxfId="6233" priority="9822" operator="equal">
      <formula>"Folyamatban"</formula>
    </cfRule>
    <cfRule type="cellIs" dxfId="6232" priority="9823" operator="equal">
      <formula>"Kész"</formula>
    </cfRule>
  </conditionalFormatting>
  <conditionalFormatting sqref="D1109">
    <cfRule type="cellIs" dxfId="6231" priority="9820" operator="equal">
      <formula>"Folyamatban"</formula>
    </cfRule>
    <cfRule type="cellIs" dxfId="6230" priority="9821" operator="equal">
      <formula>"Kész"</formula>
    </cfRule>
  </conditionalFormatting>
  <conditionalFormatting sqref="D1108">
    <cfRule type="cellIs" dxfId="6229" priority="9818" operator="equal">
      <formula>"Folyamatban"</formula>
    </cfRule>
    <cfRule type="cellIs" dxfId="6228" priority="9819" operator="equal">
      <formula>"Kész"</formula>
    </cfRule>
  </conditionalFormatting>
  <conditionalFormatting sqref="D1107">
    <cfRule type="cellIs" dxfId="6227" priority="9816" operator="equal">
      <formula>"Folyamatban"</formula>
    </cfRule>
    <cfRule type="cellIs" dxfId="6226" priority="9817" operator="equal">
      <formula>"Kész"</formula>
    </cfRule>
  </conditionalFormatting>
  <conditionalFormatting sqref="D1106">
    <cfRule type="cellIs" dxfId="6225" priority="9814" operator="equal">
      <formula>"Folyamatban"</formula>
    </cfRule>
    <cfRule type="cellIs" dxfId="6224" priority="9815" operator="equal">
      <formula>"Kész"</formula>
    </cfRule>
  </conditionalFormatting>
  <conditionalFormatting sqref="D1105">
    <cfRule type="cellIs" dxfId="6223" priority="9808" operator="equal">
      <formula>"Folyamatban"</formula>
    </cfRule>
    <cfRule type="cellIs" dxfId="6222" priority="9809" operator="equal">
      <formula>"Kész"</formula>
    </cfRule>
  </conditionalFormatting>
  <conditionalFormatting sqref="D1104">
    <cfRule type="cellIs" dxfId="6221" priority="9806" operator="equal">
      <formula>"Folyamatban"</formula>
    </cfRule>
    <cfRule type="cellIs" dxfId="6220" priority="9807" operator="equal">
      <formula>"Kész"</formula>
    </cfRule>
  </conditionalFormatting>
  <conditionalFormatting sqref="D1103">
    <cfRule type="cellIs" dxfId="6219" priority="9804" operator="equal">
      <formula>"Folyamatban"</formula>
    </cfRule>
    <cfRule type="cellIs" dxfId="6218" priority="9805" operator="equal">
      <formula>"Kész"</formula>
    </cfRule>
  </conditionalFormatting>
  <conditionalFormatting sqref="D1102">
    <cfRule type="cellIs" dxfId="6217" priority="9802" operator="equal">
      <formula>"Folyamatban"</formula>
    </cfRule>
    <cfRule type="cellIs" dxfId="6216" priority="9803" operator="equal">
      <formula>"Kész"</formula>
    </cfRule>
  </conditionalFormatting>
  <conditionalFormatting sqref="D1101">
    <cfRule type="cellIs" dxfId="6215" priority="9800" operator="equal">
      <formula>"Folyamatban"</formula>
    </cfRule>
    <cfRule type="cellIs" dxfId="6214" priority="9801" operator="equal">
      <formula>"Kész"</formula>
    </cfRule>
  </conditionalFormatting>
  <conditionalFormatting sqref="D1100">
    <cfRule type="cellIs" dxfId="6213" priority="9798" operator="equal">
      <formula>"Folyamatban"</formula>
    </cfRule>
    <cfRule type="cellIs" dxfId="6212" priority="9799" operator="equal">
      <formula>"Kész"</formula>
    </cfRule>
  </conditionalFormatting>
  <conditionalFormatting sqref="D1099">
    <cfRule type="cellIs" dxfId="6211" priority="9796" operator="equal">
      <formula>"Folyamatban"</formula>
    </cfRule>
    <cfRule type="cellIs" dxfId="6210" priority="9797" operator="equal">
      <formula>"Kész"</formula>
    </cfRule>
  </conditionalFormatting>
  <conditionalFormatting sqref="D1098">
    <cfRule type="cellIs" dxfId="6209" priority="9794" operator="equal">
      <formula>"Folyamatban"</formula>
    </cfRule>
    <cfRule type="cellIs" dxfId="6208" priority="9795" operator="equal">
      <formula>"Kész"</formula>
    </cfRule>
  </conditionalFormatting>
  <conditionalFormatting sqref="D1097">
    <cfRule type="cellIs" dxfId="6207" priority="9792" operator="equal">
      <formula>"Folyamatban"</formula>
    </cfRule>
    <cfRule type="cellIs" dxfId="6206" priority="9793" operator="equal">
      <formula>"Kész"</formula>
    </cfRule>
  </conditionalFormatting>
  <conditionalFormatting sqref="D1096">
    <cfRule type="cellIs" dxfId="6205" priority="9790" operator="equal">
      <formula>"Folyamatban"</formula>
    </cfRule>
    <cfRule type="cellIs" dxfId="6204" priority="9791" operator="equal">
      <formula>"Kész"</formula>
    </cfRule>
  </conditionalFormatting>
  <conditionalFormatting sqref="D1095">
    <cfRule type="cellIs" dxfId="6203" priority="9788" operator="equal">
      <formula>"Folyamatban"</formula>
    </cfRule>
    <cfRule type="cellIs" dxfId="6202" priority="9789" operator="equal">
      <formula>"Kész"</formula>
    </cfRule>
  </conditionalFormatting>
  <conditionalFormatting sqref="D1094">
    <cfRule type="cellIs" dxfId="6201" priority="9786" operator="equal">
      <formula>"Folyamatban"</formula>
    </cfRule>
    <cfRule type="cellIs" dxfId="6200" priority="9787" operator="equal">
      <formula>"Kész"</formula>
    </cfRule>
  </conditionalFormatting>
  <conditionalFormatting sqref="D1093">
    <cfRule type="cellIs" dxfId="6199" priority="9784" operator="equal">
      <formula>"Folyamatban"</formula>
    </cfRule>
    <cfRule type="cellIs" dxfId="6198" priority="9785" operator="equal">
      <formula>"Kész"</formula>
    </cfRule>
  </conditionalFormatting>
  <conditionalFormatting sqref="D1092">
    <cfRule type="cellIs" dxfId="6197" priority="9782" operator="equal">
      <formula>"Folyamatban"</formula>
    </cfRule>
    <cfRule type="cellIs" dxfId="6196" priority="9783" operator="equal">
      <formula>"Kész"</formula>
    </cfRule>
  </conditionalFormatting>
  <conditionalFormatting sqref="D1091">
    <cfRule type="cellIs" dxfId="6195" priority="9780" operator="equal">
      <formula>"Folyamatban"</formula>
    </cfRule>
    <cfRule type="cellIs" dxfId="6194" priority="9781" operator="equal">
      <formula>"Kész"</formula>
    </cfRule>
  </conditionalFormatting>
  <conditionalFormatting sqref="D1090">
    <cfRule type="cellIs" dxfId="6193" priority="9778" operator="equal">
      <formula>"Folyamatban"</formula>
    </cfRule>
    <cfRule type="cellIs" dxfId="6192" priority="9779" operator="equal">
      <formula>"Kész"</formula>
    </cfRule>
  </conditionalFormatting>
  <conditionalFormatting sqref="D1089">
    <cfRule type="cellIs" dxfId="6191" priority="9776" operator="equal">
      <formula>"Folyamatban"</formula>
    </cfRule>
    <cfRule type="cellIs" dxfId="6190" priority="9777" operator="equal">
      <formula>"Kész"</formula>
    </cfRule>
  </conditionalFormatting>
  <conditionalFormatting sqref="D1088">
    <cfRule type="cellIs" dxfId="6189" priority="9770" operator="equal">
      <formula>"Folyamatban"</formula>
    </cfRule>
    <cfRule type="cellIs" dxfId="6188" priority="9771" operator="equal">
      <formula>"Kész"</formula>
    </cfRule>
  </conditionalFormatting>
  <conditionalFormatting sqref="D1087">
    <cfRule type="cellIs" dxfId="6187" priority="9768" operator="equal">
      <formula>"Folyamatban"</formula>
    </cfRule>
    <cfRule type="cellIs" dxfId="6186" priority="9769" operator="equal">
      <formula>"Kész"</formula>
    </cfRule>
  </conditionalFormatting>
  <conditionalFormatting sqref="D1086">
    <cfRule type="cellIs" dxfId="6185" priority="9766" operator="equal">
      <formula>"Folyamatban"</formula>
    </cfRule>
    <cfRule type="cellIs" dxfId="6184" priority="9767" operator="equal">
      <formula>"Kész"</formula>
    </cfRule>
  </conditionalFormatting>
  <conditionalFormatting sqref="D1085">
    <cfRule type="cellIs" dxfId="6183" priority="9764" operator="equal">
      <formula>"Folyamatban"</formula>
    </cfRule>
    <cfRule type="cellIs" dxfId="6182" priority="9765" operator="equal">
      <formula>"Kész"</formula>
    </cfRule>
  </conditionalFormatting>
  <conditionalFormatting sqref="D1084">
    <cfRule type="cellIs" dxfId="6181" priority="9762" operator="equal">
      <formula>"Folyamatban"</formula>
    </cfRule>
    <cfRule type="cellIs" dxfId="6180" priority="9763" operator="equal">
      <formula>"Kész"</formula>
    </cfRule>
  </conditionalFormatting>
  <conditionalFormatting sqref="D1083">
    <cfRule type="cellIs" dxfId="6179" priority="9760" operator="equal">
      <formula>"Folyamatban"</formula>
    </cfRule>
    <cfRule type="cellIs" dxfId="6178" priority="9761" operator="equal">
      <formula>"Kész"</formula>
    </cfRule>
  </conditionalFormatting>
  <conditionalFormatting sqref="D1082">
    <cfRule type="cellIs" dxfId="6177" priority="9758" operator="equal">
      <formula>"Folyamatban"</formula>
    </cfRule>
    <cfRule type="cellIs" dxfId="6176" priority="9759" operator="equal">
      <formula>"Kész"</formula>
    </cfRule>
  </conditionalFormatting>
  <conditionalFormatting sqref="D1081">
    <cfRule type="cellIs" dxfId="6175" priority="9756" operator="equal">
      <formula>"Folyamatban"</formula>
    </cfRule>
    <cfRule type="cellIs" dxfId="6174" priority="9757" operator="equal">
      <formula>"Kész"</formula>
    </cfRule>
  </conditionalFormatting>
  <conditionalFormatting sqref="D1080">
    <cfRule type="cellIs" dxfId="6173" priority="9754" operator="equal">
      <formula>"Folyamatban"</formula>
    </cfRule>
    <cfRule type="cellIs" dxfId="6172" priority="9755" operator="equal">
      <formula>"Kész"</formula>
    </cfRule>
  </conditionalFormatting>
  <conditionalFormatting sqref="D1079">
    <cfRule type="cellIs" dxfId="6171" priority="9750" operator="equal">
      <formula>"Folyamatban"</formula>
    </cfRule>
    <cfRule type="cellIs" dxfId="6170" priority="9751" operator="equal">
      <formula>"Kész"</formula>
    </cfRule>
  </conditionalFormatting>
  <conditionalFormatting sqref="D1078">
    <cfRule type="cellIs" dxfId="6169" priority="9746" operator="equal">
      <formula>"Folyamatban"</formula>
    </cfRule>
    <cfRule type="cellIs" dxfId="6168" priority="9747" operator="equal">
      <formula>"Kész"</formula>
    </cfRule>
  </conditionalFormatting>
  <conditionalFormatting sqref="D1077">
    <cfRule type="cellIs" dxfId="6167" priority="9744" operator="equal">
      <formula>"Folyamatban"</formula>
    </cfRule>
    <cfRule type="cellIs" dxfId="6166" priority="9745" operator="equal">
      <formula>"Kész"</formula>
    </cfRule>
  </conditionalFormatting>
  <conditionalFormatting sqref="D1076">
    <cfRule type="cellIs" dxfId="6165" priority="9742" operator="equal">
      <formula>"Folyamatban"</formula>
    </cfRule>
    <cfRule type="cellIs" dxfId="6164" priority="9743" operator="equal">
      <formula>"Kész"</formula>
    </cfRule>
  </conditionalFormatting>
  <conditionalFormatting sqref="D1074">
    <cfRule type="cellIs" dxfId="6163" priority="9736" operator="equal">
      <formula>"Folyamatban"</formula>
    </cfRule>
    <cfRule type="cellIs" dxfId="6162" priority="9737" operator="equal">
      <formula>"Kész"</formula>
    </cfRule>
  </conditionalFormatting>
  <conditionalFormatting sqref="D1073">
    <cfRule type="cellIs" dxfId="6161" priority="9734" operator="equal">
      <formula>"Folyamatban"</formula>
    </cfRule>
    <cfRule type="cellIs" dxfId="6160" priority="9735" operator="equal">
      <formula>"Kész"</formula>
    </cfRule>
  </conditionalFormatting>
  <conditionalFormatting sqref="D1072">
    <cfRule type="cellIs" dxfId="6159" priority="9732" operator="equal">
      <formula>"Folyamatban"</formula>
    </cfRule>
    <cfRule type="cellIs" dxfId="6158" priority="9733" operator="equal">
      <formula>"Kész"</formula>
    </cfRule>
  </conditionalFormatting>
  <conditionalFormatting sqref="D1071">
    <cfRule type="cellIs" dxfId="6157" priority="9730" operator="equal">
      <formula>"Folyamatban"</formula>
    </cfRule>
    <cfRule type="cellIs" dxfId="6156" priority="9731" operator="equal">
      <formula>"Kész"</formula>
    </cfRule>
  </conditionalFormatting>
  <conditionalFormatting sqref="D1070">
    <cfRule type="cellIs" dxfId="6155" priority="9728" operator="equal">
      <formula>"Folyamatban"</formula>
    </cfRule>
    <cfRule type="cellIs" dxfId="6154" priority="9729" operator="equal">
      <formula>"Kész"</formula>
    </cfRule>
  </conditionalFormatting>
  <conditionalFormatting sqref="D1069">
    <cfRule type="cellIs" dxfId="6153" priority="9726" operator="equal">
      <formula>"Folyamatban"</formula>
    </cfRule>
    <cfRule type="cellIs" dxfId="6152" priority="9727" operator="equal">
      <formula>"Kész"</formula>
    </cfRule>
  </conditionalFormatting>
  <conditionalFormatting sqref="D1066">
    <cfRule type="cellIs" dxfId="6151" priority="9716" operator="equal">
      <formula>"Folyamatban"</formula>
    </cfRule>
    <cfRule type="cellIs" dxfId="6150" priority="9717" operator="equal">
      <formula>"Kész"</formula>
    </cfRule>
  </conditionalFormatting>
  <conditionalFormatting sqref="D1065">
    <cfRule type="cellIs" dxfId="6149" priority="9714" operator="equal">
      <formula>"Folyamatban"</formula>
    </cfRule>
    <cfRule type="cellIs" dxfId="6148" priority="9715" operator="equal">
      <formula>"Kész"</formula>
    </cfRule>
  </conditionalFormatting>
  <conditionalFormatting sqref="D1064">
    <cfRule type="cellIs" dxfId="6147" priority="9712" operator="equal">
      <formula>"Folyamatban"</formula>
    </cfRule>
    <cfRule type="cellIs" dxfId="6146" priority="9713" operator="equal">
      <formula>"Kész"</formula>
    </cfRule>
  </conditionalFormatting>
  <conditionalFormatting sqref="D1063">
    <cfRule type="cellIs" dxfId="6145" priority="9706" operator="equal">
      <formula>"Folyamatban"</formula>
    </cfRule>
    <cfRule type="cellIs" dxfId="6144" priority="9707" operator="equal">
      <formula>"Kész"</formula>
    </cfRule>
  </conditionalFormatting>
  <conditionalFormatting sqref="D1062">
    <cfRule type="cellIs" dxfId="6143" priority="9704" operator="equal">
      <formula>"Folyamatban"</formula>
    </cfRule>
    <cfRule type="cellIs" dxfId="6142" priority="9705" operator="equal">
      <formula>"Kész"</formula>
    </cfRule>
  </conditionalFormatting>
  <conditionalFormatting sqref="D1061">
    <cfRule type="cellIs" dxfId="6141" priority="9702" operator="equal">
      <formula>"Folyamatban"</formula>
    </cfRule>
    <cfRule type="cellIs" dxfId="6140" priority="9703" operator="equal">
      <formula>"Kész"</formula>
    </cfRule>
  </conditionalFormatting>
  <conditionalFormatting sqref="D1060">
    <cfRule type="cellIs" dxfId="6139" priority="9700" operator="equal">
      <formula>"Folyamatban"</formula>
    </cfRule>
    <cfRule type="cellIs" dxfId="6138" priority="9701" operator="equal">
      <formula>"Kész"</formula>
    </cfRule>
  </conditionalFormatting>
  <conditionalFormatting sqref="D1059">
    <cfRule type="cellIs" dxfId="6137" priority="9698" operator="equal">
      <formula>"Folyamatban"</formula>
    </cfRule>
    <cfRule type="cellIs" dxfId="6136" priority="9699" operator="equal">
      <formula>"Kész"</formula>
    </cfRule>
  </conditionalFormatting>
  <conditionalFormatting sqref="D1058">
    <cfRule type="cellIs" dxfId="6135" priority="9696" operator="equal">
      <formula>"Folyamatban"</formula>
    </cfRule>
    <cfRule type="cellIs" dxfId="6134" priority="9697" operator="equal">
      <formula>"Kész"</formula>
    </cfRule>
  </conditionalFormatting>
  <conditionalFormatting sqref="D1057">
    <cfRule type="cellIs" dxfId="6133" priority="9690" operator="equal">
      <formula>"Folyamatban"</formula>
    </cfRule>
    <cfRule type="cellIs" dxfId="6132" priority="9691" operator="equal">
      <formula>"Kész"</formula>
    </cfRule>
  </conditionalFormatting>
  <conditionalFormatting sqref="D1056">
    <cfRule type="cellIs" dxfId="6131" priority="9688" operator="equal">
      <formula>"Folyamatban"</formula>
    </cfRule>
    <cfRule type="cellIs" dxfId="6130" priority="9689" operator="equal">
      <formula>"Kész"</formula>
    </cfRule>
  </conditionalFormatting>
  <conditionalFormatting sqref="D1055">
    <cfRule type="cellIs" dxfId="6129" priority="9686" operator="equal">
      <formula>"Folyamatban"</formula>
    </cfRule>
    <cfRule type="cellIs" dxfId="6128" priority="9687" operator="equal">
      <formula>"Kész"</formula>
    </cfRule>
  </conditionalFormatting>
  <conditionalFormatting sqref="D1054">
    <cfRule type="cellIs" dxfId="6127" priority="9684" operator="equal">
      <formula>"Folyamatban"</formula>
    </cfRule>
    <cfRule type="cellIs" dxfId="6126" priority="9685" operator="equal">
      <formula>"Kész"</formula>
    </cfRule>
  </conditionalFormatting>
  <conditionalFormatting sqref="D1053">
    <cfRule type="cellIs" dxfId="6125" priority="9680" operator="equal">
      <formula>"Folyamatban"</formula>
    </cfRule>
    <cfRule type="cellIs" dxfId="6124" priority="9681" operator="equal">
      <formula>"Kész"</formula>
    </cfRule>
  </conditionalFormatting>
  <conditionalFormatting sqref="D1052">
    <cfRule type="cellIs" dxfId="6123" priority="9678" operator="equal">
      <formula>"Folyamatban"</formula>
    </cfRule>
    <cfRule type="cellIs" dxfId="6122" priority="9679" operator="equal">
      <formula>"Kész"</formula>
    </cfRule>
  </conditionalFormatting>
  <conditionalFormatting sqref="D1051">
    <cfRule type="cellIs" dxfId="6121" priority="9676" operator="equal">
      <formula>"Folyamatban"</formula>
    </cfRule>
    <cfRule type="cellIs" dxfId="6120" priority="9677" operator="equal">
      <formula>"Kész"</formula>
    </cfRule>
  </conditionalFormatting>
  <conditionalFormatting sqref="D1050">
    <cfRule type="cellIs" dxfId="6119" priority="9674" operator="equal">
      <formula>"Folyamatban"</formula>
    </cfRule>
    <cfRule type="cellIs" dxfId="6118" priority="9675" operator="equal">
      <formula>"Kész"</formula>
    </cfRule>
  </conditionalFormatting>
  <conditionalFormatting sqref="D1049">
    <cfRule type="cellIs" dxfId="6117" priority="9672" operator="equal">
      <formula>"Folyamatban"</formula>
    </cfRule>
    <cfRule type="cellIs" dxfId="6116" priority="9673" operator="equal">
      <formula>"Kész"</formula>
    </cfRule>
  </conditionalFormatting>
  <conditionalFormatting sqref="D1048">
    <cfRule type="cellIs" dxfId="6115" priority="9670" operator="equal">
      <formula>"Folyamatban"</formula>
    </cfRule>
    <cfRule type="cellIs" dxfId="6114" priority="9671" operator="equal">
      <formula>"Kész"</formula>
    </cfRule>
  </conditionalFormatting>
  <conditionalFormatting sqref="D1047">
    <cfRule type="cellIs" dxfId="6113" priority="9668" operator="equal">
      <formula>"Folyamatban"</formula>
    </cfRule>
    <cfRule type="cellIs" dxfId="6112" priority="9669" operator="equal">
      <formula>"Kész"</formula>
    </cfRule>
  </conditionalFormatting>
  <conditionalFormatting sqref="D1046">
    <cfRule type="cellIs" dxfId="6111" priority="9666" operator="equal">
      <formula>"Folyamatban"</formula>
    </cfRule>
    <cfRule type="cellIs" dxfId="6110" priority="9667" operator="equal">
      <formula>"Kész"</formula>
    </cfRule>
  </conditionalFormatting>
  <conditionalFormatting sqref="D1045">
    <cfRule type="cellIs" dxfId="6109" priority="9664" operator="equal">
      <formula>"Folyamatban"</formula>
    </cfRule>
    <cfRule type="cellIs" dxfId="6108" priority="9665" operator="equal">
      <formula>"Kész"</formula>
    </cfRule>
  </conditionalFormatting>
  <conditionalFormatting sqref="D1044">
    <cfRule type="cellIs" dxfId="6107" priority="9662" operator="equal">
      <formula>"Folyamatban"</formula>
    </cfRule>
    <cfRule type="cellIs" dxfId="6106" priority="9663" operator="equal">
      <formula>"Kész"</formula>
    </cfRule>
  </conditionalFormatting>
  <conditionalFormatting sqref="D1043">
    <cfRule type="cellIs" dxfId="6105" priority="9660" operator="equal">
      <formula>"Folyamatban"</formula>
    </cfRule>
    <cfRule type="cellIs" dxfId="6104" priority="9661" operator="equal">
      <formula>"Kész"</formula>
    </cfRule>
  </conditionalFormatting>
  <conditionalFormatting sqref="D1042">
    <cfRule type="cellIs" dxfId="6103" priority="9658" operator="equal">
      <formula>"Folyamatban"</formula>
    </cfRule>
    <cfRule type="cellIs" dxfId="6102" priority="9659" operator="equal">
      <formula>"Kész"</formula>
    </cfRule>
  </conditionalFormatting>
  <conditionalFormatting sqref="D1041">
    <cfRule type="cellIs" dxfId="6101" priority="9656" operator="equal">
      <formula>"Folyamatban"</formula>
    </cfRule>
    <cfRule type="cellIs" dxfId="6100" priority="9657" operator="equal">
      <formula>"Kész"</formula>
    </cfRule>
  </conditionalFormatting>
  <conditionalFormatting sqref="D1040">
    <cfRule type="cellIs" dxfId="6099" priority="9654" operator="equal">
      <formula>"Folyamatban"</formula>
    </cfRule>
    <cfRule type="cellIs" dxfId="6098" priority="9655" operator="equal">
      <formula>"Kész"</formula>
    </cfRule>
  </conditionalFormatting>
  <conditionalFormatting sqref="D1039">
    <cfRule type="cellIs" dxfId="6097" priority="9652" operator="equal">
      <formula>"Folyamatban"</formula>
    </cfRule>
    <cfRule type="cellIs" dxfId="6096" priority="9653" operator="equal">
      <formula>"Kész"</formula>
    </cfRule>
  </conditionalFormatting>
  <conditionalFormatting sqref="D1038">
    <cfRule type="cellIs" dxfId="6095" priority="9650" operator="equal">
      <formula>"Folyamatban"</formula>
    </cfRule>
    <cfRule type="cellIs" dxfId="6094" priority="9651" operator="equal">
      <formula>"Kész"</formula>
    </cfRule>
  </conditionalFormatting>
  <conditionalFormatting sqref="D1037">
    <cfRule type="cellIs" dxfId="6093" priority="9648" operator="equal">
      <formula>"Folyamatban"</formula>
    </cfRule>
    <cfRule type="cellIs" dxfId="6092" priority="9649" operator="equal">
      <formula>"Kész"</formula>
    </cfRule>
  </conditionalFormatting>
  <conditionalFormatting sqref="D1036">
    <cfRule type="cellIs" dxfId="6091" priority="9646" operator="equal">
      <formula>"Folyamatban"</formula>
    </cfRule>
    <cfRule type="cellIs" dxfId="6090" priority="9647" operator="equal">
      <formula>"Kész"</formula>
    </cfRule>
  </conditionalFormatting>
  <conditionalFormatting sqref="D1035">
    <cfRule type="cellIs" dxfId="6089" priority="9644" operator="equal">
      <formula>"Folyamatban"</formula>
    </cfRule>
    <cfRule type="cellIs" dxfId="6088" priority="9645" operator="equal">
      <formula>"Kész"</formula>
    </cfRule>
  </conditionalFormatting>
  <conditionalFormatting sqref="D1034">
    <cfRule type="cellIs" dxfId="6087" priority="9642" operator="equal">
      <formula>"Folyamatban"</formula>
    </cfRule>
    <cfRule type="cellIs" dxfId="6086" priority="9643" operator="equal">
      <formula>"Kész"</formula>
    </cfRule>
  </conditionalFormatting>
  <conditionalFormatting sqref="D1033">
    <cfRule type="cellIs" dxfId="6085" priority="9640" operator="equal">
      <formula>"Folyamatban"</formula>
    </cfRule>
    <cfRule type="cellIs" dxfId="6084" priority="9641" operator="equal">
      <formula>"Kész"</formula>
    </cfRule>
  </conditionalFormatting>
  <conditionalFormatting sqref="D1032">
    <cfRule type="cellIs" dxfId="6083" priority="9638" operator="equal">
      <formula>"Folyamatban"</formula>
    </cfRule>
    <cfRule type="cellIs" dxfId="6082" priority="9639" operator="equal">
      <formula>"Kész"</formula>
    </cfRule>
  </conditionalFormatting>
  <conditionalFormatting sqref="D1031">
    <cfRule type="cellIs" dxfId="6081" priority="9634" operator="equal">
      <formula>"Folyamatban"</formula>
    </cfRule>
    <cfRule type="cellIs" dxfId="6080" priority="9635" operator="equal">
      <formula>"Kész"</formula>
    </cfRule>
  </conditionalFormatting>
  <conditionalFormatting sqref="D1030">
    <cfRule type="cellIs" dxfId="6079" priority="9632" operator="equal">
      <formula>"Folyamatban"</formula>
    </cfRule>
    <cfRule type="cellIs" dxfId="6078" priority="9633" operator="equal">
      <formula>"Kész"</formula>
    </cfRule>
  </conditionalFormatting>
  <conditionalFormatting sqref="D1029">
    <cfRule type="cellIs" dxfId="6077" priority="9630" operator="equal">
      <formula>"Folyamatban"</formula>
    </cfRule>
    <cfRule type="cellIs" dxfId="6076" priority="9631" operator="equal">
      <formula>"Kész"</formula>
    </cfRule>
  </conditionalFormatting>
  <conditionalFormatting sqref="D1028">
    <cfRule type="cellIs" dxfId="6075" priority="9628" operator="equal">
      <formula>"Folyamatban"</formula>
    </cfRule>
    <cfRule type="cellIs" dxfId="6074" priority="9629" operator="equal">
      <formula>"Kész"</formula>
    </cfRule>
  </conditionalFormatting>
  <conditionalFormatting sqref="D1027">
    <cfRule type="cellIs" dxfId="6073" priority="9626" operator="equal">
      <formula>"Folyamatban"</formula>
    </cfRule>
    <cfRule type="cellIs" dxfId="6072" priority="9627" operator="equal">
      <formula>"Kész"</formula>
    </cfRule>
  </conditionalFormatting>
  <conditionalFormatting sqref="D1026">
    <cfRule type="cellIs" dxfId="6071" priority="9624" operator="equal">
      <formula>"Folyamatban"</formula>
    </cfRule>
    <cfRule type="cellIs" dxfId="6070" priority="9625" operator="equal">
      <formula>"Kész"</formula>
    </cfRule>
  </conditionalFormatting>
  <conditionalFormatting sqref="D1025">
    <cfRule type="cellIs" dxfId="6069" priority="9622" operator="equal">
      <formula>"Folyamatban"</formula>
    </cfRule>
    <cfRule type="cellIs" dxfId="6068" priority="9623" operator="equal">
      <formula>"Kész"</formula>
    </cfRule>
  </conditionalFormatting>
  <conditionalFormatting sqref="D1024">
    <cfRule type="cellIs" dxfId="6067" priority="9620" operator="equal">
      <formula>"Folyamatban"</formula>
    </cfRule>
    <cfRule type="cellIs" dxfId="6066" priority="9621" operator="equal">
      <formula>"Kész"</formula>
    </cfRule>
  </conditionalFormatting>
  <conditionalFormatting sqref="D1023">
    <cfRule type="cellIs" dxfId="6065" priority="9618" operator="equal">
      <formula>"Folyamatban"</formula>
    </cfRule>
    <cfRule type="cellIs" dxfId="6064" priority="9619" operator="equal">
      <formula>"Kész"</formula>
    </cfRule>
  </conditionalFormatting>
  <conditionalFormatting sqref="D1022">
    <cfRule type="cellIs" dxfId="6063" priority="9616" operator="equal">
      <formula>"Folyamatban"</formula>
    </cfRule>
    <cfRule type="cellIs" dxfId="6062" priority="9617" operator="equal">
      <formula>"Kész"</formula>
    </cfRule>
  </conditionalFormatting>
  <conditionalFormatting sqref="D1021">
    <cfRule type="cellIs" dxfId="6061" priority="9614" operator="equal">
      <formula>"Folyamatban"</formula>
    </cfRule>
    <cfRule type="cellIs" dxfId="6060" priority="9615" operator="equal">
      <formula>"Kész"</formula>
    </cfRule>
  </conditionalFormatting>
  <conditionalFormatting sqref="D1020">
    <cfRule type="cellIs" dxfId="6059" priority="9612" operator="equal">
      <formula>"Folyamatban"</formula>
    </cfRule>
    <cfRule type="cellIs" dxfId="6058" priority="9613" operator="equal">
      <formula>"Kész"</formula>
    </cfRule>
  </conditionalFormatting>
  <conditionalFormatting sqref="D1019">
    <cfRule type="cellIs" dxfId="6057" priority="9610" operator="equal">
      <formula>"Folyamatban"</formula>
    </cfRule>
    <cfRule type="cellIs" dxfId="6056" priority="9611" operator="equal">
      <formula>"Kész"</formula>
    </cfRule>
  </conditionalFormatting>
  <conditionalFormatting sqref="D1018">
    <cfRule type="cellIs" dxfId="6055" priority="9608" operator="equal">
      <formula>"Folyamatban"</formula>
    </cfRule>
    <cfRule type="cellIs" dxfId="6054" priority="9609" operator="equal">
      <formula>"Kész"</formula>
    </cfRule>
  </conditionalFormatting>
  <conditionalFormatting sqref="D1017">
    <cfRule type="cellIs" dxfId="6053" priority="9606" operator="equal">
      <formula>"Folyamatban"</formula>
    </cfRule>
    <cfRule type="cellIs" dxfId="6052" priority="9607" operator="equal">
      <formula>"Kész"</formula>
    </cfRule>
  </conditionalFormatting>
  <conditionalFormatting sqref="D1016">
    <cfRule type="cellIs" dxfId="6051" priority="9604" operator="equal">
      <formula>"Folyamatban"</formula>
    </cfRule>
    <cfRule type="cellIs" dxfId="6050" priority="9605" operator="equal">
      <formula>"Kész"</formula>
    </cfRule>
  </conditionalFormatting>
  <conditionalFormatting sqref="D1015">
    <cfRule type="cellIs" dxfId="6049" priority="9602" operator="equal">
      <formula>"Folyamatban"</formula>
    </cfRule>
    <cfRule type="cellIs" dxfId="6048" priority="9603" operator="equal">
      <formula>"Kész"</formula>
    </cfRule>
  </conditionalFormatting>
  <conditionalFormatting sqref="D1014">
    <cfRule type="cellIs" dxfId="6047" priority="9600" operator="equal">
      <formula>"Folyamatban"</formula>
    </cfRule>
    <cfRule type="cellIs" dxfId="6046" priority="9601" operator="equal">
      <formula>"Kész"</formula>
    </cfRule>
  </conditionalFormatting>
  <conditionalFormatting sqref="D1013">
    <cfRule type="cellIs" dxfId="6045" priority="9598" operator="equal">
      <formula>"Folyamatban"</formula>
    </cfRule>
    <cfRule type="cellIs" dxfId="6044" priority="9599" operator="equal">
      <formula>"Kész"</formula>
    </cfRule>
  </conditionalFormatting>
  <conditionalFormatting sqref="D1012">
    <cfRule type="cellIs" dxfId="6043" priority="9596" operator="equal">
      <formula>"Folyamatban"</formula>
    </cfRule>
    <cfRule type="cellIs" dxfId="6042" priority="9597" operator="equal">
      <formula>"Kész"</formula>
    </cfRule>
  </conditionalFormatting>
  <conditionalFormatting sqref="D1011">
    <cfRule type="cellIs" dxfId="6041" priority="9594" operator="equal">
      <formula>"Folyamatban"</formula>
    </cfRule>
    <cfRule type="cellIs" dxfId="6040" priority="9595" operator="equal">
      <formula>"Kész"</formula>
    </cfRule>
  </conditionalFormatting>
  <conditionalFormatting sqref="D1010">
    <cfRule type="cellIs" dxfId="6039" priority="9592" operator="equal">
      <formula>"Folyamatban"</formula>
    </cfRule>
    <cfRule type="cellIs" dxfId="6038" priority="9593" operator="equal">
      <formula>"Kész"</formula>
    </cfRule>
  </conditionalFormatting>
  <conditionalFormatting sqref="D1009">
    <cfRule type="cellIs" dxfId="6037" priority="9586" operator="equal">
      <formula>"Folyamatban"</formula>
    </cfRule>
    <cfRule type="cellIs" dxfId="6036" priority="9587" operator="equal">
      <formula>"Kész"</formula>
    </cfRule>
  </conditionalFormatting>
  <conditionalFormatting sqref="D1008">
    <cfRule type="cellIs" dxfId="6035" priority="9584" operator="equal">
      <formula>"Folyamatban"</formula>
    </cfRule>
    <cfRule type="cellIs" dxfId="6034" priority="9585" operator="equal">
      <formula>"Kész"</formula>
    </cfRule>
  </conditionalFormatting>
  <conditionalFormatting sqref="D1007">
    <cfRule type="cellIs" dxfId="6033" priority="9582" operator="equal">
      <formula>"Folyamatban"</formula>
    </cfRule>
    <cfRule type="cellIs" dxfId="6032" priority="9583" operator="equal">
      <formula>"Kész"</formula>
    </cfRule>
  </conditionalFormatting>
  <conditionalFormatting sqref="D1006">
    <cfRule type="cellIs" dxfId="6031" priority="9580" operator="equal">
      <formula>"Folyamatban"</formula>
    </cfRule>
    <cfRule type="cellIs" dxfId="6030" priority="9581" operator="equal">
      <formula>"Kész"</formula>
    </cfRule>
  </conditionalFormatting>
  <conditionalFormatting sqref="D1005">
    <cfRule type="cellIs" dxfId="6029" priority="9578" operator="equal">
      <formula>"Folyamatban"</formula>
    </cfRule>
    <cfRule type="cellIs" dxfId="6028" priority="9579" operator="equal">
      <formula>"Kész"</formula>
    </cfRule>
  </conditionalFormatting>
  <conditionalFormatting sqref="D1004">
    <cfRule type="cellIs" dxfId="6027" priority="9576" operator="equal">
      <formula>"Folyamatban"</formula>
    </cfRule>
    <cfRule type="cellIs" dxfId="6026" priority="9577" operator="equal">
      <formula>"Kész"</formula>
    </cfRule>
  </conditionalFormatting>
  <conditionalFormatting sqref="D1003">
    <cfRule type="cellIs" dxfId="6025" priority="9572" operator="equal">
      <formula>"Folyamatban"</formula>
    </cfRule>
    <cfRule type="cellIs" dxfId="6024" priority="9573" operator="equal">
      <formula>"Kész"</formula>
    </cfRule>
  </conditionalFormatting>
  <conditionalFormatting sqref="D1002">
    <cfRule type="cellIs" dxfId="6023" priority="9570" operator="equal">
      <formula>"Folyamatban"</formula>
    </cfRule>
    <cfRule type="cellIs" dxfId="6022" priority="9571" operator="equal">
      <formula>"Kész"</formula>
    </cfRule>
  </conditionalFormatting>
  <conditionalFormatting sqref="D1001">
    <cfRule type="cellIs" dxfId="6021" priority="9568" operator="equal">
      <formula>"Folyamatban"</formula>
    </cfRule>
    <cfRule type="cellIs" dxfId="6020" priority="9569" operator="equal">
      <formula>"Kész"</formula>
    </cfRule>
  </conditionalFormatting>
  <conditionalFormatting sqref="D1000">
    <cfRule type="cellIs" dxfId="6019" priority="9566" operator="equal">
      <formula>"Folyamatban"</formula>
    </cfRule>
    <cfRule type="cellIs" dxfId="6018" priority="9567" operator="equal">
      <formula>"Kész"</formula>
    </cfRule>
  </conditionalFormatting>
  <conditionalFormatting sqref="D999">
    <cfRule type="cellIs" dxfId="6017" priority="9564" operator="equal">
      <formula>"Folyamatban"</formula>
    </cfRule>
    <cfRule type="cellIs" dxfId="6016" priority="9565" operator="equal">
      <formula>"Kész"</formula>
    </cfRule>
  </conditionalFormatting>
  <conditionalFormatting sqref="D998">
    <cfRule type="cellIs" dxfId="6015" priority="9562" operator="equal">
      <formula>"Folyamatban"</formula>
    </cfRule>
    <cfRule type="cellIs" dxfId="6014" priority="9563" operator="equal">
      <formula>"Kész"</formula>
    </cfRule>
  </conditionalFormatting>
  <conditionalFormatting sqref="D997">
    <cfRule type="cellIs" dxfId="6013" priority="9560" operator="equal">
      <formula>"Folyamatban"</formula>
    </cfRule>
    <cfRule type="cellIs" dxfId="6012" priority="9561" operator="equal">
      <formula>"Kész"</formula>
    </cfRule>
  </conditionalFormatting>
  <conditionalFormatting sqref="D996">
    <cfRule type="cellIs" dxfId="6011" priority="9558" operator="equal">
      <formula>"Folyamatban"</formula>
    </cfRule>
    <cfRule type="cellIs" dxfId="6010" priority="9559" operator="equal">
      <formula>"Kész"</formula>
    </cfRule>
  </conditionalFormatting>
  <conditionalFormatting sqref="D995">
    <cfRule type="cellIs" dxfId="6009" priority="9556" operator="equal">
      <formula>"Folyamatban"</formula>
    </cfRule>
    <cfRule type="cellIs" dxfId="6008" priority="9557" operator="equal">
      <formula>"Kész"</formula>
    </cfRule>
  </conditionalFormatting>
  <conditionalFormatting sqref="D994">
    <cfRule type="cellIs" dxfId="6007" priority="9554" operator="equal">
      <formula>"Folyamatban"</formula>
    </cfRule>
    <cfRule type="cellIs" dxfId="6006" priority="9555" operator="equal">
      <formula>"Kész"</formula>
    </cfRule>
  </conditionalFormatting>
  <conditionalFormatting sqref="D993">
    <cfRule type="cellIs" dxfId="6005" priority="9552" operator="equal">
      <formula>"Folyamatban"</formula>
    </cfRule>
    <cfRule type="cellIs" dxfId="6004" priority="9553" operator="equal">
      <formula>"Kész"</formula>
    </cfRule>
  </conditionalFormatting>
  <conditionalFormatting sqref="D992">
    <cfRule type="cellIs" dxfId="6003" priority="9546" operator="equal">
      <formula>"Folyamatban"</formula>
    </cfRule>
    <cfRule type="cellIs" dxfId="6002" priority="9547" operator="equal">
      <formula>"Kész"</formula>
    </cfRule>
  </conditionalFormatting>
  <conditionalFormatting sqref="D991">
    <cfRule type="cellIs" dxfId="6001" priority="9544" operator="equal">
      <formula>"Folyamatban"</formula>
    </cfRule>
    <cfRule type="cellIs" dxfId="6000" priority="9545" operator="equal">
      <formula>"Kész"</formula>
    </cfRule>
  </conditionalFormatting>
  <conditionalFormatting sqref="D990">
    <cfRule type="cellIs" dxfId="5999" priority="9542" operator="equal">
      <formula>"Folyamatban"</formula>
    </cfRule>
    <cfRule type="cellIs" dxfId="5998" priority="9543" operator="equal">
      <formula>"Kész"</formula>
    </cfRule>
  </conditionalFormatting>
  <conditionalFormatting sqref="D989">
    <cfRule type="cellIs" dxfId="5997" priority="9540" operator="equal">
      <formula>"Folyamatban"</formula>
    </cfRule>
    <cfRule type="cellIs" dxfId="5996" priority="9541" operator="equal">
      <formula>"Kész"</formula>
    </cfRule>
  </conditionalFormatting>
  <conditionalFormatting sqref="D988">
    <cfRule type="cellIs" dxfId="5995" priority="9538" operator="equal">
      <formula>"Folyamatban"</formula>
    </cfRule>
    <cfRule type="cellIs" dxfId="5994" priority="9539" operator="equal">
      <formula>"Kész"</formula>
    </cfRule>
  </conditionalFormatting>
  <conditionalFormatting sqref="D987">
    <cfRule type="cellIs" dxfId="5993" priority="9536" operator="equal">
      <formula>"Folyamatban"</formula>
    </cfRule>
    <cfRule type="cellIs" dxfId="5992" priority="9537" operator="equal">
      <formula>"Kész"</formula>
    </cfRule>
  </conditionalFormatting>
  <conditionalFormatting sqref="D986">
    <cfRule type="cellIs" dxfId="5991" priority="9534" operator="equal">
      <formula>"Folyamatban"</formula>
    </cfRule>
    <cfRule type="cellIs" dxfId="5990" priority="9535" operator="equal">
      <formula>"Kész"</formula>
    </cfRule>
  </conditionalFormatting>
  <conditionalFormatting sqref="D985">
    <cfRule type="cellIs" dxfId="5989" priority="9532" operator="equal">
      <formula>"Folyamatban"</formula>
    </cfRule>
    <cfRule type="cellIs" dxfId="5988" priority="9533" operator="equal">
      <formula>"Kész"</formula>
    </cfRule>
  </conditionalFormatting>
  <conditionalFormatting sqref="D984">
    <cfRule type="cellIs" dxfId="5987" priority="9530" operator="equal">
      <formula>"Folyamatban"</formula>
    </cfRule>
    <cfRule type="cellIs" dxfId="5986" priority="9531" operator="equal">
      <formula>"Kész"</formula>
    </cfRule>
  </conditionalFormatting>
  <conditionalFormatting sqref="D983">
    <cfRule type="cellIs" dxfId="5985" priority="9528" operator="equal">
      <formula>"Folyamatban"</formula>
    </cfRule>
    <cfRule type="cellIs" dxfId="5984" priority="9529" operator="equal">
      <formula>"Kész"</formula>
    </cfRule>
  </conditionalFormatting>
  <conditionalFormatting sqref="D982">
    <cfRule type="cellIs" dxfId="5983" priority="9526" operator="equal">
      <formula>"Folyamatban"</formula>
    </cfRule>
    <cfRule type="cellIs" dxfId="5982" priority="9527" operator="equal">
      <formula>"Kész"</formula>
    </cfRule>
  </conditionalFormatting>
  <conditionalFormatting sqref="D981">
    <cfRule type="cellIs" dxfId="5981" priority="9524" operator="equal">
      <formula>"Folyamatban"</formula>
    </cfRule>
    <cfRule type="cellIs" dxfId="5980" priority="9525" operator="equal">
      <formula>"Kész"</formula>
    </cfRule>
  </conditionalFormatting>
  <conditionalFormatting sqref="D980">
    <cfRule type="cellIs" dxfId="5979" priority="9522" operator="equal">
      <formula>"Folyamatban"</formula>
    </cfRule>
    <cfRule type="cellIs" dxfId="5978" priority="9523" operator="equal">
      <formula>"Kész"</formula>
    </cfRule>
  </conditionalFormatting>
  <conditionalFormatting sqref="D979">
    <cfRule type="cellIs" dxfId="5977" priority="9520" operator="equal">
      <formula>"Folyamatban"</formula>
    </cfRule>
    <cfRule type="cellIs" dxfId="5976" priority="9521" operator="equal">
      <formula>"Kész"</formula>
    </cfRule>
  </conditionalFormatting>
  <conditionalFormatting sqref="D978">
    <cfRule type="cellIs" dxfId="5975" priority="9518" operator="equal">
      <formula>"Folyamatban"</formula>
    </cfRule>
    <cfRule type="cellIs" dxfId="5974" priority="9519" operator="equal">
      <formula>"Kész"</formula>
    </cfRule>
  </conditionalFormatting>
  <conditionalFormatting sqref="D977">
    <cfRule type="cellIs" dxfId="5973" priority="9516" operator="equal">
      <formula>"Folyamatban"</formula>
    </cfRule>
    <cfRule type="cellIs" dxfId="5972" priority="9517" operator="equal">
      <formula>"Kész"</formula>
    </cfRule>
  </conditionalFormatting>
  <conditionalFormatting sqref="D976">
    <cfRule type="cellIs" dxfId="5971" priority="9514" operator="equal">
      <formula>"Folyamatban"</formula>
    </cfRule>
    <cfRule type="cellIs" dxfId="5970" priority="9515" operator="equal">
      <formula>"Kész"</formula>
    </cfRule>
  </conditionalFormatting>
  <conditionalFormatting sqref="D972:D975">
    <cfRule type="cellIs" dxfId="5969" priority="9512" operator="equal">
      <formula>"Folyamatban"</formula>
    </cfRule>
    <cfRule type="cellIs" dxfId="5968" priority="9513" operator="equal">
      <formula>"Kész"</formula>
    </cfRule>
  </conditionalFormatting>
  <conditionalFormatting sqref="D971">
    <cfRule type="cellIs" dxfId="5967" priority="9504" operator="equal">
      <formula>"Folyamatban"</formula>
    </cfRule>
    <cfRule type="cellIs" dxfId="5966" priority="9505" operator="equal">
      <formula>"Kész"</formula>
    </cfRule>
  </conditionalFormatting>
  <conditionalFormatting sqref="D970">
    <cfRule type="cellIs" dxfId="5965" priority="9502" operator="equal">
      <formula>"Folyamatban"</formula>
    </cfRule>
    <cfRule type="cellIs" dxfId="5964" priority="9503" operator="equal">
      <formula>"Kész"</formula>
    </cfRule>
  </conditionalFormatting>
  <conditionalFormatting sqref="D969">
    <cfRule type="cellIs" dxfId="5963" priority="9500" operator="equal">
      <formula>"Folyamatban"</formula>
    </cfRule>
    <cfRule type="cellIs" dxfId="5962" priority="9501" operator="equal">
      <formula>"Kész"</formula>
    </cfRule>
  </conditionalFormatting>
  <conditionalFormatting sqref="D968">
    <cfRule type="cellIs" dxfId="5961" priority="9498" operator="equal">
      <formula>"Folyamatban"</formula>
    </cfRule>
    <cfRule type="cellIs" dxfId="5960" priority="9499" operator="equal">
      <formula>"Kész"</formula>
    </cfRule>
  </conditionalFormatting>
  <conditionalFormatting sqref="D967">
    <cfRule type="cellIs" dxfId="5959" priority="9496" operator="equal">
      <formula>"Folyamatban"</formula>
    </cfRule>
    <cfRule type="cellIs" dxfId="5958" priority="9497" operator="equal">
      <formula>"Kész"</formula>
    </cfRule>
  </conditionalFormatting>
  <conditionalFormatting sqref="D966">
    <cfRule type="cellIs" dxfId="5957" priority="9494" operator="equal">
      <formula>"Folyamatban"</formula>
    </cfRule>
    <cfRule type="cellIs" dxfId="5956" priority="9495" operator="equal">
      <formula>"Kész"</formula>
    </cfRule>
  </conditionalFormatting>
  <conditionalFormatting sqref="D965">
    <cfRule type="cellIs" dxfId="5955" priority="9492" operator="equal">
      <formula>"Folyamatban"</formula>
    </cfRule>
    <cfRule type="cellIs" dxfId="5954" priority="9493" operator="equal">
      <formula>"Kész"</formula>
    </cfRule>
  </conditionalFormatting>
  <conditionalFormatting sqref="D964">
    <cfRule type="cellIs" dxfId="5953" priority="9490" operator="equal">
      <formula>"Folyamatban"</formula>
    </cfRule>
    <cfRule type="cellIs" dxfId="5952" priority="9491" operator="equal">
      <formula>"Kész"</formula>
    </cfRule>
  </conditionalFormatting>
  <conditionalFormatting sqref="D963">
    <cfRule type="cellIs" dxfId="5951" priority="9488" operator="equal">
      <formula>"Folyamatban"</formula>
    </cfRule>
    <cfRule type="cellIs" dxfId="5950" priority="9489" operator="equal">
      <formula>"Kész"</formula>
    </cfRule>
  </conditionalFormatting>
  <conditionalFormatting sqref="D962">
    <cfRule type="cellIs" dxfId="5949" priority="9486" operator="equal">
      <formula>"Folyamatban"</formula>
    </cfRule>
    <cfRule type="cellIs" dxfId="5948" priority="9487" operator="equal">
      <formula>"Kész"</formula>
    </cfRule>
  </conditionalFormatting>
  <conditionalFormatting sqref="D961">
    <cfRule type="cellIs" dxfId="5947" priority="9484" operator="equal">
      <formula>"Folyamatban"</formula>
    </cfRule>
    <cfRule type="cellIs" dxfId="5946" priority="9485" operator="equal">
      <formula>"Kész"</formula>
    </cfRule>
  </conditionalFormatting>
  <conditionalFormatting sqref="D960">
    <cfRule type="cellIs" dxfId="5945" priority="9482" operator="equal">
      <formula>"Folyamatban"</formula>
    </cfRule>
    <cfRule type="cellIs" dxfId="5944" priority="9483" operator="equal">
      <formula>"Kész"</formula>
    </cfRule>
  </conditionalFormatting>
  <conditionalFormatting sqref="D959">
    <cfRule type="cellIs" dxfId="5943" priority="9480" operator="equal">
      <formula>"Folyamatban"</formula>
    </cfRule>
    <cfRule type="cellIs" dxfId="5942" priority="9481" operator="equal">
      <formula>"Kész"</formula>
    </cfRule>
  </conditionalFormatting>
  <conditionalFormatting sqref="D958">
    <cfRule type="cellIs" dxfId="5941" priority="9472" operator="equal">
      <formula>"Folyamatban"</formula>
    </cfRule>
    <cfRule type="cellIs" dxfId="5940" priority="9473" operator="equal">
      <formula>"Kész"</formula>
    </cfRule>
  </conditionalFormatting>
  <conditionalFormatting sqref="D957">
    <cfRule type="cellIs" dxfId="5939" priority="9468" operator="equal">
      <formula>"Folyamatban"</formula>
    </cfRule>
    <cfRule type="cellIs" dxfId="5938" priority="9469" operator="equal">
      <formula>"Kész"</formula>
    </cfRule>
  </conditionalFormatting>
  <conditionalFormatting sqref="D956">
    <cfRule type="cellIs" dxfId="5937" priority="9466" operator="equal">
      <formula>"Folyamatban"</formula>
    </cfRule>
    <cfRule type="cellIs" dxfId="5936" priority="9467" operator="equal">
      <formula>"Kész"</formula>
    </cfRule>
  </conditionalFormatting>
  <conditionalFormatting sqref="D955">
    <cfRule type="cellIs" dxfId="5935" priority="9464" operator="equal">
      <formula>"Folyamatban"</formula>
    </cfRule>
    <cfRule type="cellIs" dxfId="5934" priority="9465" operator="equal">
      <formula>"Kész"</formula>
    </cfRule>
  </conditionalFormatting>
  <conditionalFormatting sqref="D954">
    <cfRule type="cellIs" dxfId="5933" priority="9462" operator="equal">
      <formula>"Folyamatban"</formula>
    </cfRule>
    <cfRule type="cellIs" dxfId="5932" priority="9463" operator="equal">
      <formula>"Kész"</formula>
    </cfRule>
  </conditionalFormatting>
  <conditionalFormatting sqref="D953">
    <cfRule type="cellIs" dxfId="5931" priority="9460" operator="equal">
      <formula>"Folyamatban"</formula>
    </cfRule>
    <cfRule type="cellIs" dxfId="5930" priority="9461" operator="equal">
      <formula>"Kész"</formula>
    </cfRule>
  </conditionalFormatting>
  <conditionalFormatting sqref="D952">
    <cfRule type="cellIs" dxfId="5929" priority="9458" operator="equal">
      <formula>"Folyamatban"</formula>
    </cfRule>
    <cfRule type="cellIs" dxfId="5928" priority="9459" operator="equal">
      <formula>"Kész"</formula>
    </cfRule>
  </conditionalFormatting>
  <conditionalFormatting sqref="D951">
    <cfRule type="cellIs" dxfId="5927" priority="9456" operator="equal">
      <formula>"Folyamatban"</formula>
    </cfRule>
    <cfRule type="cellIs" dxfId="5926" priority="9457" operator="equal">
      <formula>"Kész"</formula>
    </cfRule>
  </conditionalFormatting>
  <conditionalFormatting sqref="D950">
    <cfRule type="cellIs" dxfId="5925" priority="9454" operator="equal">
      <formula>"Folyamatban"</formula>
    </cfRule>
    <cfRule type="cellIs" dxfId="5924" priority="9455" operator="equal">
      <formula>"Kész"</formula>
    </cfRule>
  </conditionalFormatting>
  <conditionalFormatting sqref="D949">
    <cfRule type="cellIs" dxfId="5923" priority="9452" operator="equal">
      <formula>"Folyamatban"</formula>
    </cfRule>
    <cfRule type="cellIs" dxfId="5922" priority="9453" operator="equal">
      <formula>"Kész"</formula>
    </cfRule>
  </conditionalFormatting>
  <conditionalFormatting sqref="D948">
    <cfRule type="cellIs" dxfId="5921" priority="9450" operator="equal">
      <formula>"Folyamatban"</formula>
    </cfRule>
    <cfRule type="cellIs" dxfId="5920" priority="9451" operator="equal">
      <formula>"Kész"</formula>
    </cfRule>
  </conditionalFormatting>
  <conditionalFormatting sqref="D947">
    <cfRule type="cellIs" dxfId="5919" priority="9448" operator="equal">
      <formula>"Folyamatban"</formula>
    </cfRule>
    <cfRule type="cellIs" dxfId="5918" priority="9449" operator="equal">
      <formula>"Kész"</formula>
    </cfRule>
  </conditionalFormatting>
  <conditionalFormatting sqref="D946">
    <cfRule type="cellIs" dxfId="5917" priority="9446" operator="equal">
      <formula>"Folyamatban"</formula>
    </cfRule>
    <cfRule type="cellIs" dxfId="5916" priority="9447" operator="equal">
      <formula>"Kész"</formula>
    </cfRule>
  </conditionalFormatting>
  <conditionalFormatting sqref="D945">
    <cfRule type="cellIs" dxfId="5915" priority="9444" operator="equal">
      <formula>"Folyamatban"</formula>
    </cfRule>
    <cfRule type="cellIs" dxfId="5914" priority="9445" operator="equal">
      <formula>"Kész"</formula>
    </cfRule>
  </conditionalFormatting>
  <conditionalFormatting sqref="D944">
    <cfRule type="cellIs" dxfId="5913" priority="9442" operator="equal">
      <formula>"Folyamatban"</formula>
    </cfRule>
    <cfRule type="cellIs" dxfId="5912" priority="9443" operator="equal">
      <formula>"Kész"</formula>
    </cfRule>
  </conditionalFormatting>
  <conditionalFormatting sqref="D943">
    <cfRule type="cellIs" dxfId="5911" priority="9440" operator="equal">
      <formula>"Folyamatban"</formula>
    </cfRule>
    <cfRule type="cellIs" dxfId="5910" priority="9441" operator="equal">
      <formula>"Kész"</formula>
    </cfRule>
  </conditionalFormatting>
  <conditionalFormatting sqref="D942">
    <cfRule type="cellIs" dxfId="5909" priority="9438" operator="equal">
      <formula>"Folyamatban"</formula>
    </cfRule>
    <cfRule type="cellIs" dxfId="5908" priority="9439" operator="equal">
      <formula>"Kész"</formula>
    </cfRule>
  </conditionalFormatting>
  <conditionalFormatting sqref="D941">
    <cfRule type="cellIs" dxfId="5907" priority="9436" operator="equal">
      <formula>"Folyamatban"</formula>
    </cfRule>
    <cfRule type="cellIs" dxfId="5906" priority="9437" operator="equal">
      <formula>"Kész"</formula>
    </cfRule>
  </conditionalFormatting>
  <conditionalFormatting sqref="D940">
    <cfRule type="cellIs" dxfId="5905" priority="9434" operator="equal">
      <formula>"Folyamatban"</formula>
    </cfRule>
    <cfRule type="cellIs" dxfId="5904" priority="9435" operator="equal">
      <formula>"Kész"</formula>
    </cfRule>
  </conditionalFormatting>
  <conditionalFormatting sqref="D939">
    <cfRule type="cellIs" dxfId="5903" priority="9432" operator="equal">
      <formula>"Folyamatban"</formula>
    </cfRule>
    <cfRule type="cellIs" dxfId="5902" priority="9433" operator="equal">
      <formula>"Kész"</formula>
    </cfRule>
  </conditionalFormatting>
  <conditionalFormatting sqref="D938">
    <cfRule type="cellIs" dxfId="5901" priority="9430" operator="equal">
      <formula>"Folyamatban"</formula>
    </cfRule>
    <cfRule type="cellIs" dxfId="5900" priority="9431" operator="equal">
      <formula>"Kész"</formula>
    </cfRule>
  </conditionalFormatting>
  <conditionalFormatting sqref="D937">
    <cfRule type="cellIs" dxfId="5899" priority="9428" operator="equal">
      <formula>"Folyamatban"</formula>
    </cfRule>
    <cfRule type="cellIs" dxfId="5898" priority="9429" operator="equal">
      <formula>"Kész"</formula>
    </cfRule>
  </conditionalFormatting>
  <conditionalFormatting sqref="D936">
    <cfRule type="cellIs" dxfId="5897" priority="9426" operator="equal">
      <formula>"Folyamatban"</formula>
    </cfRule>
    <cfRule type="cellIs" dxfId="5896" priority="9427" operator="equal">
      <formula>"Kész"</formula>
    </cfRule>
  </conditionalFormatting>
  <conditionalFormatting sqref="D935">
    <cfRule type="cellIs" dxfId="5895" priority="9424" operator="equal">
      <formula>"Folyamatban"</formula>
    </cfRule>
    <cfRule type="cellIs" dxfId="5894" priority="9425" operator="equal">
      <formula>"Kész"</formula>
    </cfRule>
  </conditionalFormatting>
  <conditionalFormatting sqref="D934">
    <cfRule type="cellIs" dxfId="5893" priority="9422" operator="equal">
      <formula>"Folyamatban"</formula>
    </cfRule>
    <cfRule type="cellIs" dxfId="5892" priority="9423" operator="equal">
      <formula>"Kész"</formula>
    </cfRule>
  </conditionalFormatting>
  <conditionalFormatting sqref="D933">
    <cfRule type="cellIs" dxfId="5891" priority="9420" operator="equal">
      <formula>"Folyamatban"</formula>
    </cfRule>
    <cfRule type="cellIs" dxfId="5890" priority="9421" operator="equal">
      <formula>"Kész"</formula>
    </cfRule>
  </conditionalFormatting>
  <conditionalFormatting sqref="D932">
    <cfRule type="cellIs" dxfId="5889" priority="9418" operator="equal">
      <formula>"Folyamatban"</formula>
    </cfRule>
    <cfRule type="cellIs" dxfId="5888" priority="9419" operator="equal">
      <formula>"Kész"</formula>
    </cfRule>
  </conditionalFormatting>
  <conditionalFormatting sqref="D931">
    <cfRule type="cellIs" dxfId="5887" priority="9416" operator="equal">
      <formula>"Folyamatban"</formula>
    </cfRule>
    <cfRule type="cellIs" dxfId="5886" priority="9417" operator="equal">
      <formula>"Kész"</formula>
    </cfRule>
  </conditionalFormatting>
  <conditionalFormatting sqref="D930">
    <cfRule type="cellIs" dxfId="5885" priority="9414" operator="equal">
      <formula>"Folyamatban"</formula>
    </cfRule>
    <cfRule type="cellIs" dxfId="5884" priority="9415" operator="equal">
      <formula>"Kész"</formula>
    </cfRule>
  </conditionalFormatting>
  <conditionalFormatting sqref="D929">
    <cfRule type="cellIs" dxfId="5883" priority="9412" operator="equal">
      <formula>"Folyamatban"</formula>
    </cfRule>
    <cfRule type="cellIs" dxfId="5882" priority="9413" operator="equal">
      <formula>"Kész"</formula>
    </cfRule>
  </conditionalFormatting>
  <conditionalFormatting sqref="D928">
    <cfRule type="cellIs" dxfId="5881" priority="9410" operator="equal">
      <formula>"Folyamatban"</formula>
    </cfRule>
    <cfRule type="cellIs" dxfId="5880" priority="9411" operator="equal">
      <formula>"Kész"</formula>
    </cfRule>
  </conditionalFormatting>
  <conditionalFormatting sqref="D927">
    <cfRule type="cellIs" dxfId="5879" priority="9408" operator="equal">
      <formula>"Folyamatban"</formula>
    </cfRule>
    <cfRule type="cellIs" dxfId="5878" priority="9409" operator="equal">
      <formula>"Kész"</formula>
    </cfRule>
  </conditionalFormatting>
  <conditionalFormatting sqref="D926">
    <cfRule type="cellIs" dxfId="5877" priority="9406" operator="equal">
      <formula>"Folyamatban"</formula>
    </cfRule>
    <cfRule type="cellIs" dxfId="5876" priority="9407" operator="equal">
      <formula>"Kész"</formula>
    </cfRule>
  </conditionalFormatting>
  <conditionalFormatting sqref="D925">
    <cfRule type="cellIs" dxfId="5875" priority="9404" operator="equal">
      <formula>"Folyamatban"</formula>
    </cfRule>
    <cfRule type="cellIs" dxfId="5874" priority="9405" operator="equal">
      <formula>"Kész"</formula>
    </cfRule>
  </conditionalFormatting>
  <conditionalFormatting sqref="D924">
    <cfRule type="cellIs" dxfId="5873" priority="9402" operator="equal">
      <formula>"Folyamatban"</formula>
    </cfRule>
    <cfRule type="cellIs" dxfId="5872" priority="9403" operator="equal">
      <formula>"Kész"</formula>
    </cfRule>
  </conditionalFormatting>
  <conditionalFormatting sqref="D923">
    <cfRule type="cellIs" dxfId="5871" priority="9398" operator="equal">
      <formula>"Folyamatban"</formula>
    </cfRule>
    <cfRule type="cellIs" dxfId="5870" priority="9399" operator="equal">
      <formula>"Kész"</formula>
    </cfRule>
  </conditionalFormatting>
  <conditionalFormatting sqref="D922">
    <cfRule type="cellIs" dxfId="5869" priority="9396" operator="equal">
      <formula>"Folyamatban"</formula>
    </cfRule>
    <cfRule type="cellIs" dxfId="5868" priority="9397" operator="equal">
      <formula>"Kész"</formula>
    </cfRule>
  </conditionalFormatting>
  <conditionalFormatting sqref="D921">
    <cfRule type="cellIs" dxfId="5867" priority="9392" operator="equal">
      <formula>"Folyamatban"</formula>
    </cfRule>
    <cfRule type="cellIs" dxfId="5866" priority="9393" operator="equal">
      <formula>"Kész"</formula>
    </cfRule>
  </conditionalFormatting>
  <conditionalFormatting sqref="D920">
    <cfRule type="cellIs" dxfId="5865" priority="9388" operator="equal">
      <formula>"Folyamatban"</formula>
    </cfRule>
    <cfRule type="cellIs" dxfId="5864" priority="9389" operator="equal">
      <formula>"Kész"</formula>
    </cfRule>
  </conditionalFormatting>
  <conditionalFormatting sqref="D919">
    <cfRule type="cellIs" dxfId="5863" priority="9386" operator="equal">
      <formula>"Folyamatban"</formula>
    </cfRule>
    <cfRule type="cellIs" dxfId="5862" priority="9387" operator="equal">
      <formula>"Kész"</formula>
    </cfRule>
  </conditionalFormatting>
  <conditionalFormatting sqref="D918">
    <cfRule type="cellIs" dxfId="5861" priority="9384" operator="equal">
      <formula>"Folyamatban"</formula>
    </cfRule>
    <cfRule type="cellIs" dxfId="5860" priority="9385" operator="equal">
      <formula>"Kész"</formula>
    </cfRule>
  </conditionalFormatting>
  <conditionalFormatting sqref="D917">
    <cfRule type="cellIs" dxfId="5859" priority="9382" operator="equal">
      <formula>"Folyamatban"</formula>
    </cfRule>
    <cfRule type="cellIs" dxfId="5858" priority="9383" operator="equal">
      <formula>"Kész"</formula>
    </cfRule>
  </conditionalFormatting>
  <conditionalFormatting sqref="D916">
    <cfRule type="cellIs" dxfId="5857" priority="9380" operator="equal">
      <formula>"Folyamatban"</formula>
    </cfRule>
    <cfRule type="cellIs" dxfId="5856" priority="9381" operator="equal">
      <formula>"Kész"</formula>
    </cfRule>
  </conditionalFormatting>
  <conditionalFormatting sqref="D915">
    <cfRule type="cellIs" dxfId="5855" priority="9378" operator="equal">
      <formula>"Folyamatban"</formula>
    </cfRule>
    <cfRule type="cellIs" dxfId="5854" priority="9379" operator="equal">
      <formula>"Kész"</formula>
    </cfRule>
  </conditionalFormatting>
  <conditionalFormatting sqref="D914">
    <cfRule type="cellIs" dxfId="5853" priority="9376" operator="equal">
      <formula>"Folyamatban"</formula>
    </cfRule>
    <cfRule type="cellIs" dxfId="5852" priority="9377" operator="equal">
      <formula>"Kész"</formula>
    </cfRule>
  </conditionalFormatting>
  <conditionalFormatting sqref="D913">
    <cfRule type="cellIs" dxfId="5851" priority="9374" operator="equal">
      <formula>"Folyamatban"</formula>
    </cfRule>
    <cfRule type="cellIs" dxfId="5850" priority="9375" operator="equal">
      <formula>"Kész"</formula>
    </cfRule>
  </conditionalFormatting>
  <conditionalFormatting sqref="D912">
    <cfRule type="cellIs" dxfId="5849" priority="9372" operator="equal">
      <formula>"Folyamatban"</formula>
    </cfRule>
    <cfRule type="cellIs" dxfId="5848" priority="9373" operator="equal">
      <formula>"Kész"</formula>
    </cfRule>
  </conditionalFormatting>
  <conditionalFormatting sqref="D911">
    <cfRule type="cellIs" dxfId="5847" priority="9370" operator="equal">
      <formula>"Folyamatban"</formula>
    </cfRule>
    <cfRule type="cellIs" dxfId="5846" priority="9371" operator="equal">
      <formula>"Kész"</formula>
    </cfRule>
  </conditionalFormatting>
  <conditionalFormatting sqref="D910">
    <cfRule type="cellIs" dxfId="5845" priority="9368" operator="equal">
      <formula>"Folyamatban"</formula>
    </cfRule>
    <cfRule type="cellIs" dxfId="5844" priority="9369" operator="equal">
      <formula>"Kész"</formula>
    </cfRule>
  </conditionalFormatting>
  <conditionalFormatting sqref="D909">
    <cfRule type="cellIs" dxfId="5843" priority="9366" operator="equal">
      <formula>"Folyamatban"</formula>
    </cfRule>
    <cfRule type="cellIs" dxfId="5842" priority="9367" operator="equal">
      <formula>"Kész"</formula>
    </cfRule>
  </conditionalFormatting>
  <conditionalFormatting sqref="D908">
    <cfRule type="cellIs" dxfId="5841" priority="9364" operator="equal">
      <formula>"Folyamatban"</formula>
    </cfRule>
    <cfRule type="cellIs" dxfId="5840" priority="9365" operator="equal">
      <formula>"Kész"</formula>
    </cfRule>
  </conditionalFormatting>
  <conditionalFormatting sqref="D907">
    <cfRule type="cellIs" dxfId="5839" priority="9360" operator="equal">
      <formula>"Folyamatban"</formula>
    </cfRule>
    <cfRule type="cellIs" dxfId="5838" priority="9361" operator="equal">
      <formula>"Kész"</formula>
    </cfRule>
  </conditionalFormatting>
  <conditionalFormatting sqref="D906">
    <cfRule type="cellIs" dxfId="5837" priority="9358" operator="equal">
      <formula>"Folyamatban"</formula>
    </cfRule>
    <cfRule type="cellIs" dxfId="5836" priority="9359" operator="equal">
      <formula>"Kész"</formula>
    </cfRule>
  </conditionalFormatting>
  <conditionalFormatting sqref="D905">
    <cfRule type="cellIs" dxfId="5835" priority="9356" operator="equal">
      <formula>"Folyamatban"</formula>
    </cfRule>
    <cfRule type="cellIs" dxfId="5834" priority="9357" operator="equal">
      <formula>"Kész"</formula>
    </cfRule>
  </conditionalFormatting>
  <conditionalFormatting sqref="D904">
    <cfRule type="cellIs" dxfId="5833" priority="9354" operator="equal">
      <formula>"Folyamatban"</formula>
    </cfRule>
    <cfRule type="cellIs" dxfId="5832" priority="9355" operator="equal">
      <formula>"Kész"</formula>
    </cfRule>
  </conditionalFormatting>
  <conditionalFormatting sqref="D903">
    <cfRule type="cellIs" dxfId="5831" priority="9352" operator="equal">
      <formula>"Folyamatban"</formula>
    </cfRule>
    <cfRule type="cellIs" dxfId="5830" priority="9353" operator="equal">
      <formula>"Kész"</formula>
    </cfRule>
  </conditionalFormatting>
  <conditionalFormatting sqref="D902">
    <cfRule type="cellIs" dxfId="5829" priority="9350" operator="equal">
      <formula>"Folyamatban"</formula>
    </cfRule>
    <cfRule type="cellIs" dxfId="5828" priority="9351" operator="equal">
      <formula>"Kész"</formula>
    </cfRule>
  </conditionalFormatting>
  <conditionalFormatting sqref="D901">
    <cfRule type="cellIs" dxfId="5827" priority="9348" operator="equal">
      <formula>"Folyamatban"</formula>
    </cfRule>
    <cfRule type="cellIs" dxfId="5826" priority="9349" operator="equal">
      <formula>"Kész"</formula>
    </cfRule>
  </conditionalFormatting>
  <conditionalFormatting sqref="D900">
    <cfRule type="cellIs" dxfId="5825" priority="9346" operator="equal">
      <formula>"Folyamatban"</formula>
    </cfRule>
    <cfRule type="cellIs" dxfId="5824" priority="9347" operator="equal">
      <formula>"Kész"</formula>
    </cfRule>
  </conditionalFormatting>
  <conditionalFormatting sqref="D899">
    <cfRule type="cellIs" dxfId="5823" priority="9344" operator="equal">
      <formula>"Folyamatban"</formula>
    </cfRule>
    <cfRule type="cellIs" dxfId="5822" priority="9345" operator="equal">
      <formula>"Kész"</formula>
    </cfRule>
  </conditionalFormatting>
  <conditionalFormatting sqref="D898">
    <cfRule type="cellIs" dxfId="5821" priority="9342" operator="equal">
      <formula>"Folyamatban"</formula>
    </cfRule>
    <cfRule type="cellIs" dxfId="5820" priority="9343" operator="equal">
      <formula>"Kész"</formula>
    </cfRule>
  </conditionalFormatting>
  <conditionalFormatting sqref="D897">
    <cfRule type="cellIs" dxfId="5819" priority="9340" operator="equal">
      <formula>"Folyamatban"</formula>
    </cfRule>
    <cfRule type="cellIs" dxfId="5818" priority="9341" operator="equal">
      <formula>"Kész"</formula>
    </cfRule>
  </conditionalFormatting>
  <conditionalFormatting sqref="D896">
    <cfRule type="cellIs" dxfId="5817" priority="9338" operator="equal">
      <formula>"Folyamatban"</formula>
    </cfRule>
    <cfRule type="cellIs" dxfId="5816" priority="9339" operator="equal">
      <formula>"Kész"</formula>
    </cfRule>
  </conditionalFormatting>
  <conditionalFormatting sqref="D895">
    <cfRule type="cellIs" dxfId="5815" priority="9336" operator="equal">
      <formula>"Folyamatban"</formula>
    </cfRule>
    <cfRule type="cellIs" dxfId="5814" priority="9337" operator="equal">
      <formula>"Kész"</formula>
    </cfRule>
  </conditionalFormatting>
  <conditionalFormatting sqref="D894">
    <cfRule type="cellIs" dxfId="5813" priority="9334" operator="equal">
      <formula>"Folyamatban"</formula>
    </cfRule>
    <cfRule type="cellIs" dxfId="5812" priority="9335" operator="equal">
      <formula>"Kész"</formula>
    </cfRule>
  </conditionalFormatting>
  <conditionalFormatting sqref="D893">
    <cfRule type="cellIs" dxfId="5811" priority="9332" operator="equal">
      <formula>"Folyamatban"</formula>
    </cfRule>
    <cfRule type="cellIs" dxfId="5810" priority="9333" operator="equal">
      <formula>"Kész"</formula>
    </cfRule>
  </conditionalFormatting>
  <conditionalFormatting sqref="D892">
    <cfRule type="cellIs" dxfId="5809" priority="9330" operator="equal">
      <formula>"Folyamatban"</formula>
    </cfRule>
    <cfRule type="cellIs" dxfId="5808" priority="9331" operator="equal">
      <formula>"Kész"</formula>
    </cfRule>
  </conditionalFormatting>
  <conditionalFormatting sqref="D891">
    <cfRule type="cellIs" dxfId="5807" priority="9328" operator="equal">
      <formula>"Folyamatban"</formula>
    </cfRule>
    <cfRule type="cellIs" dxfId="5806" priority="9329" operator="equal">
      <formula>"Kész"</formula>
    </cfRule>
  </conditionalFormatting>
  <conditionalFormatting sqref="D890">
    <cfRule type="cellIs" dxfId="5805" priority="9326" operator="equal">
      <formula>"Folyamatban"</formula>
    </cfRule>
    <cfRule type="cellIs" dxfId="5804" priority="9327" operator="equal">
      <formula>"Kész"</formula>
    </cfRule>
  </conditionalFormatting>
  <conditionalFormatting sqref="D889">
    <cfRule type="cellIs" dxfId="5803" priority="9324" operator="equal">
      <formula>"Folyamatban"</formula>
    </cfRule>
    <cfRule type="cellIs" dxfId="5802" priority="9325" operator="equal">
      <formula>"Kész"</formula>
    </cfRule>
  </conditionalFormatting>
  <conditionalFormatting sqref="D888">
    <cfRule type="cellIs" dxfId="5801" priority="9322" operator="equal">
      <formula>"Folyamatban"</formula>
    </cfRule>
    <cfRule type="cellIs" dxfId="5800" priority="9323" operator="equal">
      <formula>"Kész"</formula>
    </cfRule>
  </conditionalFormatting>
  <conditionalFormatting sqref="D887">
    <cfRule type="cellIs" dxfId="5799" priority="9320" operator="equal">
      <formula>"Folyamatban"</formula>
    </cfRule>
    <cfRule type="cellIs" dxfId="5798" priority="9321" operator="equal">
      <formula>"Kész"</formula>
    </cfRule>
  </conditionalFormatting>
  <conditionalFormatting sqref="D886">
    <cfRule type="cellIs" dxfId="5797" priority="9318" operator="equal">
      <formula>"Folyamatban"</formula>
    </cfRule>
    <cfRule type="cellIs" dxfId="5796" priority="9319" operator="equal">
      <formula>"Kész"</formula>
    </cfRule>
  </conditionalFormatting>
  <conditionalFormatting sqref="D885">
    <cfRule type="cellIs" dxfId="5795" priority="9316" operator="equal">
      <formula>"Folyamatban"</formula>
    </cfRule>
    <cfRule type="cellIs" dxfId="5794" priority="9317" operator="equal">
      <formula>"Kész"</formula>
    </cfRule>
  </conditionalFormatting>
  <conditionalFormatting sqref="D884">
    <cfRule type="cellIs" dxfId="5793" priority="9314" operator="equal">
      <formula>"Folyamatban"</formula>
    </cfRule>
    <cfRule type="cellIs" dxfId="5792" priority="9315" operator="equal">
      <formula>"Kész"</formula>
    </cfRule>
  </conditionalFormatting>
  <conditionalFormatting sqref="D883">
    <cfRule type="cellIs" dxfId="5791" priority="9312" operator="equal">
      <formula>"Folyamatban"</formula>
    </cfRule>
    <cfRule type="cellIs" dxfId="5790" priority="9313" operator="equal">
      <formula>"Kész"</formula>
    </cfRule>
  </conditionalFormatting>
  <conditionalFormatting sqref="D882">
    <cfRule type="cellIs" dxfId="5789" priority="9310" operator="equal">
      <formula>"Folyamatban"</formula>
    </cfRule>
    <cfRule type="cellIs" dxfId="5788" priority="9311" operator="equal">
      <formula>"Kész"</formula>
    </cfRule>
  </conditionalFormatting>
  <conditionalFormatting sqref="D881">
    <cfRule type="cellIs" dxfId="5787" priority="9308" operator="equal">
      <formula>"Folyamatban"</formula>
    </cfRule>
    <cfRule type="cellIs" dxfId="5786" priority="9309" operator="equal">
      <formula>"Kész"</formula>
    </cfRule>
  </conditionalFormatting>
  <conditionalFormatting sqref="D880">
    <cfRule type="cellIs" dxfId="5785" priority="9306" operator="equal">
      <formula>"Folyamatban"</formula>
    </cfRule>
    <cfRule type="cellIs" dxfId="5784" priority="9307" operator="equal">
      <formula>"Kész"</formula>
    </cfRule>
  </conditionalFormatting>
  <conditionalFormatting sqref="D879">
    <cfRule type="cellIs" dxfId="5783" priority="9304" operator="equal">
      <formula>"Folyamatban"</formula>
    </cfRule>
    <cfRule type="cellIs" dxfId="5782" priority="9305" operator="equal">
      <formula>"Kész"</formula>
    </cfRule>
  </conditionalFormatting>
  <conditionalFormatting sqref="D878">
    <cfRule type="cellIs" dxfId="5781" priority="9302" operator="equal">
      <formula>"Folyamatban"</formula>
    </cfRule>
    <cfRule type="cellIs" dxfId="5780" priority="9303" operator="equal">
      <formula>"Kész"</formula>
    </cfRule>
  </conditionalFormatting>
  <conditionalFormatting sqref="D877">
    <cfRule type="cellIs" dxfId="5779" priority="9300" operator="equal">
      <formula>"Folyamatban"</formula>
    </cfRule>
    <cfRule type="cellIs" dxfId="5778" priority="9301" operator="equal">
      <formula>"Kész"</formula>
    </cfRule>
  </conditionalFormatting>
  <conditionalFormatting sqref="D876">
    <cfRule type="cellIs" dxfId="5777" priority="9298" operator="equal">
      <formula>"Folyamatban"</formula>
    </cfRule>
    <cfRule type="cellIs" dxfId="5776" priority="9299" operator="equal">
      <formula>"Kész"</formula>
    </cfRule>
  </conditionalFormatting>
  <conditionalFormatting sqref="D875">
    <cfRule type="cellIs" dxfId="5775" priority="9296" operator="equal">
      <formula>"Folyamatban"</formula>
    </cfRule>
    <cfRule type="cellIs" dxfId="5774" priority="9297" operator="equal">
      <formula>"Kész"</formula>
    </cfRule>
  </conditionalFormatting>
  <conditionalFormatting sqref="D874">
    <cfRule type="cellIs" dxfId="5773" priority="9292" operator="equal">
      <formula>"Folyamatban"</formula>
    </cfRule>
    <cfRule type="cellIs" dxfId="5772" priority="9293" operator="equal">
      <formula>"Kész"</formula>
    </cfRule>
  </conditionalFormatting>
  <conditionalFormatting sqref="D873">
    <cfRule type="cellIs" dxfId="5771" priority="9290" operator="equal">
      <formula>"Folyamatban"</formula>
    </cfRule>
    <cfRule type="cellIs" dxfId="5770" priority="9291" operator="equal">
      <formula>"Kész"</formula>
    </cfRule>
  </conditionalFormatting>
  <conditionalFormatting sqref="D872">
    <cfRule type="cellIs" dxfId="5769" priority="9288" operator="equal">
      <formula>"Folyamatban"</formula>
    </cfRule>
    <cfRule type="cellIs" dxfId="5768" priority="9289" operator="equal">
      <formula>"Kész"</formula>
    </cfRule>
  </conditionalFormatting>
  <conditionalFormatting sqref="D871">
    <cfRule type="cellIs" dxfId="5767" priority="9286" operator="equal">
      <formula>"Folyamatban"</formula>
    </cfRule>
    <cfRule type="cellIs" dxfId="5766" priority="9287" operator="equal">
      <formula>"Kész"</formula>
    </cfRule>
  </conditionalFormatting>
  <conditionalFormatting sqref="D870">
    <cfRule type="cellIs" dxfId="5765" priority="9284" operator="equal">
      <formula>"Folyamatban"</formula>
    </cfRule>
    <cfRule type="cellIs" dxfId="5764" priority="9285" operator="equal">
      <formula>"Kész"</formula>
    </cfRule>
  </conditionalFormatting>
  <conditionalFormatting sqref="D869">
    <cfRule type="cellIs" dxfId="5763" priority="9282" operator="equal">
      <formula>"Folyamatban"</formula>
    </cfRule>
    <cfRule type="cellIs" dxfId="5762" priority="9283" operator="equal">
      <formula>"Kész"</formula>
    </cfRule>
  </conditionalFormatting>
  <conditionalFormatting sqref="D868">
    <cfRule type="cellIs" dxfId="5761" priority="9280" operator="equal">
      <formula>"Folyamatban"</formula>
    </cfRule>
    <cfRule type="cellIs" dxfId="5760" priority="9281" operator="equal">
      <formula>"Kész"</formula>
    </cfRule>
  </conditionalFormatting>
  <conditionalFormatting sqref="D867">
    <cfRule type="cellIs" dxfId="5759" priority="9278" operator="equal">
      <formula>"Folyamatban"</formula>
    </cfRule>
    <cfRule type="cellIs" dxfId="5758" priority="9279" operator="equal">
      <formula>"Kész"</formula>
    </cfRule>
  </conditionalFormatting>
  <conditionalFormatting sqref="D866">
    <cfRule type="cellIs" dxfId="5757" priority="9276" operator="equal">
      <formula>"Folyamatban"</formula>
    </cfRule>
    <cfRule type="cellIs" dxfId="5756" priority="9277" operator="equal">
      <formula>"Kész"</formula>
    </cfRule>
  </conditionalFormatting>
  <conditionalFormatting sqref="D865">
    <cfRule type="cellIs" dxfId="5755" priority="9274" operator="equal">
      <formula>"Folyamatban"</formula>
    </cfRule>
    <cfRule type="cellIs" dxfId="5754" priority="9275" operator="equal">
      <formula>"Kész"</formula>
    </cfRule>
  </conditionalFormatting>
  <conditionalFormatting sqref="D864">
    <cfRule type="cellIs" dxfId="5753" priority="9270" operator="equal">
      <formula>"Folyamatban"</formula>
    </cfRule>
    <cfRule type="cellIs" dxfId="5752" priority="9271" operator="equal">
      <formula>"Kész"</formula>
    </cfRule>
  </conditionalFormatting>
  <conditionalFormatting sqref="D863">
    <cfRule type="cellIs" dxfId="5751" priority="9262" operator="equal">
      <formula>"Folyamatban"</formula>
    </cfRule>
    <cfRule type="cellIs" dxfId="5750" priority="9263" operator="equal">
      <formula>"Kész"</formula>
    </cfRule>
  </conditionalFormatting>
  <conditionalFormatting sqref="D862">
    <cfRule type="cellIs" dxfId="5749" priority="9260" operator="equal">
      <formula>"Folyamatban"</formula>
    </cfRule>
    <cfRule type="cellIs" dxfId="5748" priority="9261" operator="equal">
      <formula>"Kész"</formula>
    </cfRule>
  </conditionalFormatting>
  <conditionalFormatting sqref="D861">
    <cfRule type="cellIs" dxfId="5747" priority="9258" operator="equal">
      <formula>"Folyamatban"</formula>
    </cfRule>
    <cfRule type="cellIs" dxfId="5746" priority="9259" operator="equal">
      <formula>"Kész"</formula>
    </cfRule>
  </conditionalFormatting>
  <conditionalFormatting sqref="D860">
    <cfRule type="cellIs" dxfId="5745" priority="9256" operator="equal">
      <formula>"Folyamatban"</formula>
    </cfRule>
    <cfRule type="cellIs" dxfId="5744" priority="9257" operator="equal">
      <formula>"Kész"</formula>
    </cfRule>
  </conditionalFormatting>
  <conditionalFormatting sqref="D859">
    <cfRule type="cellIs" dxfId="5743" priority="9254" operator="equal">
      <formula>"Folyamatban"</formula>
    </cfRule>
    <cfRule type="cellIs" dxfId="5742" priority="9255" operator="equal">
      <formula>"Kész"</formula>
    </cfRule>
  </conditionalFormatting>
  <conditionalFormatting sqref="D858">
    <cfRule type="cellIs" dxfId="5741" priority="9252" operator="equal">
      <formula>"Folyamatban"</formula>
    </cfRule>
    <cfRule type="cellIs" dxfId="5740" priority="9253" operator="equal">
      <formula>"Kész"</formula>
    </cfRule>
  </conditionalFormatting>
  <conditionalFormatting sqref="D857">
    <cfRule type="cellIs" dxfId="5739" priority="9250" operator="equal">
      <formula>"Folyamatban"</formula>
    </cfRule>
    <cfRule type="cellIs" dxfId="5738" priority="9251" operator="equal">
      <formula>"Kész"</formula>
    </cfRule>
  </conditionalFormatting>
  <conditionalFormatting sqref="D856">
    <cfRule type="cellIs" dxfId="5737" priority="9248" operator="equal">
      <formula>"Folyamatban"</formula>
    </cfRule>
    <cfRule type="cellIs" dxfId="5736" priority="9249" operator="equal">
      <formula>"Kész"</formula>
    </cfRule>
  </conditionalFormatting>
  <conditionalFormatting sqref="D855">
    <cfRule type="cellIs" dxfId="5735" priority="9246" operator="equal">
      <formula>"Folyamatban"</formula>
    </cfRule>
    <cfRule type="cellIs" dxfId="5734" priority="9247" operator="equal">
      <formula>"Kész"</formula>
    </cfRule>
  </conditionalFormatting>
  <conditionalFormatting sqref="D854">
    <cfRule type="cellIs" dxfId="5733" priority="9244" operator="equal">
      <formula>"Folyamatban"</formula>
    </cfRule>
    <cfRule type="cellIs" dxfId="5732" priority="9245" operator="equal">
      <formula>"Kész"</formula>
    </cfRule>
  </conditionalFormatting>
  <conditionalFormatting sqref="D853">
    <cfRule type="cellIs" dxfId="5731" priority="9242" operator="equal">
      <formula>"Folyamatban"</formula>
    </cfRule>
    <cfRule type="cellIs" dxfId="5730" priority="9243" operator="equal">
      <formula>"Kész"</formula>
    </cfRule>
  </conditionalFormatting>
  <conditionalFormatting sqref="D852">
    <cfRule type="cellIs" dxfId="5729" priority="9240" operator="equal">
      <formula>"Folyamatban"</formula>
    </cfRule>
    <cfRule type="cellIs" dxfId="5728" priority="9241" operator="equal">
      <formula>"Kész"</formula>
    </cfRule>
  </conditionalFormatting>
  <conditionalFormatting sqref="D851">
    <cfRule type="cellIs" dxfId="5727" priority="9238" operator="equal">
      <formula>"Folyamatban"</formula>
    </cfRule>
    <cfRule type="cellIs" dxfId="5726" priority="9239" operator="equal">
      <formula>"Kész"</formula>
    </cfRule>
  </conditionalFormatting>
  <conditionalFormatting sqref="D850">
    <cfRule type="cellIs" dxfId="5725" priority="9236" operator="equal">
      <formula>"Folyamatban"</formula>
    </cfRule>
    <cfRule type="cellIs" dxfId="5724" priority="9237" operator="equal">
      <formula>"Kész"</formula>
    </cfRule>
  </conditionalFormatting>
  <conditionalFormatting sqref="D849">
    <cfRule type="cellIs" dxfId="5723" priority="9234" operator="equal">
      <formula>"Folyamatban"</formula>
    </cfRule>
    <cfRule type="cellIs" dxfId="5722" priority="9235" operator="equal">
      <formula>"Kész"</formula>
    </cfRule>
  </conditionalFormatting>
  <conditionalFormatting sqref="D848">
    <cfRule type="cellIs" dxfId="5721" priority="9232" operator="equal">
      <formula>"Folyamatban"</formula>
    </cfRule>
    <cfRule type="cellIs" dxfId="5720" priority="9233" operator="equal">
      <formula>"Kész"</formula>
    </cfRule>
  </conditionalFormatting>
  <conditionalFormatting sqref="D847">
    <cfRule type="cellIs" dxfId="5719" priority="9230" operator="equal">
      <formula>"Folyamatban"</formula>
    </cfRule>
    <cfRule type="cellIs" dxfId="5718" priority="9231" operator="equal">
      <formula>"Kész"</formula>
    </cfRule>
  </conditionalFormatting>
  <conditionalFormatting sqref="D846">
    <cfRule type="cellIs" dxfId="5717" priority="9228" operator="equal">
      <formula>"Folyamatban"</formula>
    </cfRule>
    <cfRule type="cellIs" dxfId="5716" priority="9229" operator="equal">
      <formula>"Kész"</formula>
    </cfRule>
  </conditionalFormatting>
  <conditionalFormatting sqref="D845">
    <cfRule type="cellIs" dxfId="5715" priority="9226" operator="equal">
      <formula>"Folyamatban"</formula>
    </cfRule>
    <cfRule type="cellIs" dxfId="5714" priority="9227" operator="equal">
      <formula>"Kész"</formula>
    </cfRule>
  </conditionalFormatting>
  <conditionalFormatting sqref="D844">
    <cfRule type="cellIs" dxfId="5713" priority="9224" operator="equal">
      <formula>"Folyamatban"</formula>
    </cfRule>
    <cfRule type="cellIs" dxfId="5712" priority="9225" operator="equal">
      <formula>"Kész"</formula>
    </cfRule>
  </conditionalFormatting>
  <conditionalFormatting sqref="D843">
    <cfRule type="cellIs" dxfId="5711" priority="9222" operator="equal">
      <formula>"Folyamatban"</formula>
    </cfRule>
    <cfRule type="cellIs" dxfId="5710" priority="9223" operator="equal">
      <formula>"Kész"</formula>
    </cfRule>
  </conditionalFormatting>
  <conditionalFormatting sqref="D842">
    <cfRule type="cellIs" dxfId="5709" priority="9216" operator="equal">
      <formula>"Folyamatban"</formula>
    </cfRule>
    <cfRule type="cellIs" dxfId="5708" priority="9217" operator="equal">
      <formula>"Kész"</formula>
    </cfRule>
  </conditionalFormatting>
  <conditionalFormatting sqref="D841">
    <cfRule type="cellIs" dxfId="5707" priority="9212" operator="equal">
      <formula>"Folyamatban"</formula>
    </cfRule>
    <cfRule type="cellIs" dxfId="5706" priority="9213" operator="equal">
      <formula>"Kész"</formula>
    </cfRule>
  </conditionalFormatting>
  <conditionalFormatting sqref="D840">
    <cfRule type="cellIs" dxfId="5705" priority="9210" operator="equal">
      <formula>"Folyamatban"</formula>
    </cfRule>
    <cfRule type="cellIs" dxfId="5704" priority="9211" operator="equal">
      <formula>"Kész"</formula>
    </cfRule>
  </conditionalFormatting>
  <conditionalFormatting sqref="D839">
    <cfRule type="cellIs" dxfId="5703" priority="9208" operator="equal">
      <formula>"Folyamatban"</formula>
    </cfRule>
    <cfRule type="cellIs" dxfId="5702" priority="9209" operator="equal">
      <formula>"Kész"</formula>
    </cfRule>
  </conditionalFormatting>
  <conditionalFormatting sqref="D838">
    <cfRule type="cellIs" dxfId="5701" priority="9206" operator="equal">
      <formula>"Folyamatban"</formula>
    </cfRule>
    <cfRule type="cellIs" dxfId="5700" priority="9207" operator="equal">
      <formula>"Kész"</formula>
    </cfRule>
  </conditionalFormatting>
  <conditionalFormatting sqref="D837">
    <cfRule type="cellIs" dxfId="5699" priority="9204" operator="equal">
      <formula>"Folyamatban"</formula>
    </cfRule>
    <cfRule type="cellIs" dxfId="5698" priority="9205" operator="equal">
      <formula>"Kész"</formula>
    </cfRule>
  </conditionalFormatting>
  <conditionalFormatting sqref="D836">
    <cfRule type="cellIs" dxfId="5697" priority="9202" operator="equal">
      <formula>"Folyamatban"</formula>
    </cfRule>
    <cfRule type="cellIs" dxfId="5696" priority="9203" operator="equal">
      <formula>"Kész"</formula>
    </cfRule>
  </conditionalFormatting>
  <conditionalFormatting sqref="D835">
    <cfRule type="cellIs" dxfId="5695" priority="9200" operator="equal">
      <formula>"Folyamatban"</formula>
    </cfRule>
    <cfRule type="cellIs" dxfId="5694" priority="9201" operator="equal">
      <formula>"Kész"</formula>
    </cfRule>
  </conditionalFormatting>
  <conditionalFormatting sqref="D834">
    <cfRule type="cellIs" dxfId="5693" priority="9198" operator="equal">
      <formula>"Folyamatban"</formula>
    </cfRule>
    <cfRule type="cellIs" dxfId="5692" priority="9199" operator="equal">
      <formula>"Kész"</formula>
    </cfRule>
  </conditionalFormatting>
  <conditionalFormatting sqref="D833">
    <cfRule type="cellIs" dxfId="5691" priority="9196" operator="equal">
      <formula>"Folyamatban"</formula>
    </cfRule>
    <cfRule type="cellIs" dxfId="5690" priority="9197" operator="equal">
      <formula>"Kész"</formula>
    </cfRule>
  </conditionalFormatting>
  <conditionalFormatting sqref="D832">
    <cfRule type="cellIs" dxfId="5689" priority="9194" operator="equal">
      <formula>"Folyamatban"</formula>
    </cfRule>
    <cfRule type="cellIs" dxfId="5688" priority="9195" operator="equal">
      <formula>"Kész"</formula>
    </cfRule>
  </conditionalFormatting>
  <conditionalFormatting sqref="D831">
    <cfRule type="cellIs" dxfId="5687" priority="9192" operator="equal">
      <formula>"Folyamatban"</formula>
    </cfRule>
    <cfRule type="cellIs" dxfId="5686" priority="9193" operator="equal">
      <formula>"Kész"</formula>
    </cfRule>
  </conditionalFormatting>
  <conditionalFormatting sqref="D830">
    <cfRule type="cellIs" dxfId="5685" priority="9190" operator="equal">
      <formula>"Folyamatban"</formula>
    </cfRule>
    <cfRule type="cellIs" dxfId="5684" priority="9191" operator="equal">
      <formula>"Kész"</formula>
    </cfRule>
  </conditionalFormatting>
  <conditionalFormatting sqref="D829">
    <cfRule type="cellIs" dxfId="5683" priority="9188" operator="equal">
      <formula>"Folyamatban"</formula>
    </cfRule>
    <cfRule type="cellIs" dxfId="5682" priority="9189" operator="equal">
      <formula>"Kész"</formula>
    </cfRule>
  </conditionalFormatting>
  <conditionalFormatting sqref="D828">
    <cfRule type="cellIs" dxfId="5681" priority="9186" operator="equal">
      <formula>"Folyamatban"</formula>
    </cfRule>
    <cfRule type="cellIs" dxfId="5680" priority="9187" operator="equal">
      <formula>"Kész"</formula>
    </cfRule>
  </conditionalFormatting>
  <conditionalFormatting sqref="D827">
    <cfRule type="cellIs" dxfId="5679" priority="9184" operator="equal">
      <formula>"Folyamatban"</formula>
    </cfRule>
    <cfRule type="cellIs" dxfId="5678" priority="9185" operator="equal">
      <formula>"Kész"</formula>
    </cfRule>
  </conditionalFormatting>
  <conditionalFormatting sqref="D826">
    <cfRule type="cellIs" dxfId="5677" priority="9180" operator="equal">
      <formula>"Folyamatban"</formula>
    </cfRule>
    <cfRule type="cellIs" dxfId="5676" priority="9181" operator="equal">
      <formula>"Kész"</formula>
    </cfRule>
  </conditionalFormatting>
  <conditionalFormatting sqref="D825">
    <cfRule type="cellIs" dxfId="5675" priority="9176" operator="equal">
      <formula>"Folyamatban"</formula>
    </cfRule>
    <cfRule type="cellIs" dxfId="5674" priority="9177" operator="equal">
      <formula>"Kész"</formula>
    </cfRule>
  </conditionalFormatting>
  <conditionalFormatting sqref="D824">
    <cfRule type="cellIs" dxfId="5673" priority="9174" operator="equal">
      <formula>"Folyamatban"</formula>
    </cfRule>
    <cfRule type="cellIs" dxfId="5672" priority="9175" operator="equal">
      <formula>"Kész"</formula>
    </cfRule>
  </conditionalFormatting>
  <conditionalFormatting sqref="D823">
    <cfRule type="cellIs" dxfId="5671" priority="9172" operator="equal">
      <formula>"Folyamatban"</formula>
    </cfRule>
    <cfRule type="cellIs" dxfId="5670" priority="9173" operator="equal">
      <formula>"Kész"</formula>
    </cfRule>
  </conditionalFormatting>
  <conditionalFormatting sqref="D822">
    <cfRule type="cellIs" dxfId="5669" priority="9170" operator="equal">
      <formula>"Folyamatban"</formula>
    </cfRule>
    <cfRule type="cellIs" dxfId="5668" priority="9171" operator="equal">
      <formula>"Kész"</formula>
    </cfRule>
  </conditionalFormatting>
  <conditionalFormatting sqref="D821">
    <cfRule type="cellIs" dxfId="5667" priority="9166" operator="equal">
      <formula>"Folyamatban"</formula>
    </cfRule>
    <cfRule type="cellIs" dxfId="5666" priority="9167" operator="equal">
      <formula>"Kész"</formula>
    </cfRule>
  </conditionalFormatting>
  <conditionalFormatting sqref="D820">
    <cfRule type="cellIs" dxfId="5665" priority="9164" operator="equal">
      <formula>"Folyamatban"</formula>
    </cfRule>
    <cfRule type="cellIs" dxfId="5664" priority="9165" operator="equal">
      <formula>"Kész"</formula>
    </cfRule>
  </conditionalFormatting>
  <conditionalFormatting sqref="D819">
    <cfRule type="cellIs" dxfId="5663" priority="9162" operator="equal">
      <formula>"Folyamatban"</formula>
    </cfRule>
    <cfRule type="cellIs" dxfId="5662" priority="9163" operator="equal">
      <formula>"Kész"</formula>
    </cfRule>
  </conditionalFormatting>
  <conditionalFormatting sqref="D818">
    <cfRule type="cellIs" dxfId="5661" priority="9160" operator="equal">
      <formula>"Folyamatban"</formula>
    </cfRule>
    <cfRule type="cellIs" dxfId="5660" priority="9161" operator="equal">
      <formula>"Kész"</formula>
    </cfRule>
  </conditionalFormatting>
  <conditionalFormatting sqref="D817">
    <cfRule type="cellIs" dxfId="5659" priority="9158" operator="equal">
      <formula>"Folyamatban"</formula>
    </cfRule>
    <cfRule type="cellIs" dxfId="5658" priority="9159" operator="equal">
      <formula>"Kész"</formula>
    </cfRule>
  </conditionalFormatting>
  <conditionalFormatting sqref="D816">
    <cfRule type="cellIs" dxfId="5657" priority="9156" operator="equal">
      <formula>"Folyamatban"</formula>
    </cfRule>
    <cfRule type="cellIs" dxfId="5656" priority="9157" operator="equal">
      <formula>"Kész"</formula>
    </cfRule>
  </conditionalFormatting>
  <conditionalFormatting sqref="D815">
    <cfRule type="cellIs" dxfId="5655" priority="9154" operator="equal">
      <formula>"Folyamatban"</formula>
    </cfRule>
    <cfRule type="cellIs" dxfId="5654" priority="9155" operator="equal">
      <formula>"Kész"</formula>
    </cfRule>
  </conditionalFormatting>
  <conditionalFormatting sqref="D814">
    <cfRule type="cellIs" dxfId="5653" priority="9150" operator="equal">
      <formula>"Folyamatban"</formula>
    </cfRule>
    <cfRule type="cellIs" dxfId="5652" priority="9151" operator="equal">
      <formula>"Kész"</formula>
    </cfRule>
  </conditionalFormatting>
  <conditionalFormatting sqref="D813">
    <cfRule type="cellIs" dxfId="5651" priority="9144" operator="equal">
      <formula>"Folyamatban"</formula>
    </cfRule>
    <cfRule type="cellIs" dxfId="5650" priority="9145" operator="equal">
      <formula>"Kész"</formula>
    </cfRule>
  </conditionalFormatting>
  <conditionalFormatting sqref="D812">
    <cfRule type="cellIs" dxfId="5649" priority="9142" operator="equal">
      <formula>"Folyamatban"</formula>
    </cfRule>
    <cfRule type="cellIs" dxfId="5648" priority="9143" operator="equal">
      <formula>"Kész"</formula>
    </cfRule>
  </conditionalFormatting>
  <conditionalFormatting sqref="D811">
    <cfRule type="cellIs" dxfId="5647" priority="9140" operator="equal">
      <formula>"Folyamatban"</formula>
    </cfRule>
    <cfRule type="cellIs" dxfId="5646" priority="9141" operator="equal">
      <formula>"Kész"</formula>
    </cfRule>
  </conditionalFormatting>
  <conditionalFormatting sqref="D810">
    <cfRule type="cellIs" dxfId="5645" priority="9138" operator="equal">
      <formula>"Folyamatban"</formula>
    </cfRule>
    <cfRule type="cellIs" dxfId="5644" priority="9139" operator="equal">
      <formula>"Kész"</formula>
    </cfRule>
  </conditionalFormatting>
  <conditionalFormatting sqref="D809">
    <cfRule type="cellIs" dxfId="5643" priority="9136" operator="equal">
      <formula>"Folyamatban"</formula>
    </cfRule>
    <cfRule type="cellIs" dxfId="5642" priority="9137" operator="equal">
      <formula>"Kész"</formula>
    </cfRule>
  </conditionalFormatting>
  <conditionalFormatting sqref="D808">
    <cfRule type="cellIs" dxfId="5641" priority="9134" operator="equal">
      <formula>"Folyamatban"</formula>
    </cfRule>
    <cfRule type="cellIs" dxfId="5640" priority="9135" operator="equal">
      <formula>"Kész"</formula>
    </cfRule>
  </conditionalFormatting>
  <conditionalFormatting sqref="D807">
    <cfRule type="cellIs" dxfId="5639" priority="9132" operator="equal">
      <formula>"Folyamatban"</formula>
    </cfRule>
    <cfRule type="cellIs" dxfId="5638" priority="9133" operator="equal">
      <formula>"Kész"</formula>
    </cfRule>
  </conditionalFormatting>
  <conditionalFormatting sqref="D806">
    <cfRule type="cellIs" dxfId="5637" priority="9130" operator="equal">
      <formula>"Folyamatban"</formula>
    </cfRule>
    <cfRule type="cellIs" dxfId="5636" priority="9131" operator="equal">
      <formula>"Kész"</formula>
    </cfRule>
  </conditionalFormatting>
  <conditionalFormatting sqref="D805">
    <cfRule type="cellIs" dxfId="5635" priority="9128" operator="equal">
      <formula>"Folyamatban"</formula>
    </cfRule>
    <cfRule type="cellIs" dxfId="5634" priority="9129" operator="equal">
      <formula>"Kész"</formula>
    </cfRule>
  </conditionalFormatting>
  <conditionalFormatting sqref="D804">
    <cfRule type="cellIs" dxfId="5633" priority="9126" operator="equal">
      <formula>"Folyamatban"</formula>
    </cfRule>
    <cfRule type="cellIs" dxfId="5632" priority="9127" operator="equal">
      <formula>"Kész"</formula>
    </cfRule>
  </conditionalFormatting>
  <conditionalFormatting sqref="D803">
    <cfRule type="cellIs" dxfId="5631" priority="9124" operator="equal">
      <formula>"Folyamatban"</formula>
    </cfRule>
    <cfRule type="cellIs" dxfId="5630" priority="9125" operator="equal">
      <formula>"Kész"</formula>
    </cfRule>
  </conditionalFormatting>
  <conditionalFormatting sqref="D802">
    <cfRule type="cellIs" dxfId="5629" priority="9122" operator="equal">
      <formula>"Folyamatban"</formula>
    </cfRule>
    <cfRule type="cellIs" dxfId="5628" priority="9123" operator="equal">
      <formula>"Kész"</formula>
    </cfRule>
  </conditionalFormatting>
  <conditionalFormatting sqref="D801">
    <cfRule type="cellIs" dxfId="5627" priority="9120" operator="equal">
      <formula>"Folyamatban"</formula>
    </cfRule>
    <cfRule type="cellIs" dxfId="5626" priority="9121" operator="equal">
      <formula>"Kész"</formula>
    </cfRule>
  </conditionalFormatting>
  <conditionalFormatting sqref="D800">
    <cfRule type="cellIs" dxfId="5625" priority="9118" operator="equal">
      <formula>"Folyamatban"</formula>
    </cfRule>
    <cfRule type="cellIs" dxfId="5624" priority="9119" operator="equal">
      <formula>"Kész"</formula>
    </cfRule>
  </conditionalFormatting>
  <conditionalFormatting sqref="D799">
    <cfRule type="cellIs" dxfId="5623" priority="9116" operator="equal">
      <formula>"Folyamatban"</formula>
    </cfRule>
    <cfRule type="cellIs" dxfId="5622" priority="9117" operator="equal">
      <formula>"Kész"</formula>
    </cfRule>
  </conditionalFormatting>
  <conditionalFormatting sqref="D798">
    <cfRule type="cellIs" dxfId="5621" priority="9114" operator="equal">
      <formula>"Folyamatban"</formula>
    </cfRule>
    <cfRule type="cellIs" dxfId="5620" priority="9115" operator="equal">
      <formula>"Kész"</formula>
    </cfRule>
  </conditionalFormatting>
  <conditionalFormatting sqref="D797">
    <cfRule type="cellIs" dxfId="5619" priority="9112" operator="equal">
      <formula>"Folyamatban"</formula>
    </cfRule>
    <cfRule type="cellIs" dxfId="5618" priority="9113" operator="equal">
      <formula>"Kész"</formula>
    </cfRule>
  </conditionalFormatting>
  <conditionalFormatting sqref="D796">
    <cfRule type="cellIs" dxfId="5617" priority="9110" operator="equal">
      <formula>"Folyamatban"</formula>
    </cfRule>
    <cfRule type="cellIs" dxfId="5616" priority="9111" operator="equal">
      <formula>"Kész"</formula>
    </cfRule>
  </conditionalFormatting>
  <conditionalFormatting sqref="D795">
    <cfRule type="cellIs" dxfId="5615" priority="9108" operator="equal">
      <formula>"Folyamatban"</formula>
    </cfRule>
    <cfRule type="cellIs" dxfId="5614" priority="9109" operator="equal">
      <formula>"Kész"</formula>
    </cfRule>
  </conditionalFormatting>
  <conditionalFormatting sqref="D794">
    <cfRule type="cellIs" dxfId="5613" priority="9106" operator="equal">
      <formula>"Folyamatban"</formula>
    </cfRule>
    <cfRule type="cellIs" dxfId="5612" priority="9107" operator="equal">
      <formula>"Kész"</formula>
    </cfRule>
  </conditionalFormatting>
  <conditionalFormatting sqref="D793">
    <cfRule type="cellIs" dxfId="5611" priority="9104" operator="equal">
      <formula>"Folyamatban"</formula>
    </cfRule>
    <cfRule type="cellIs" dxfId="5610" priority="9105" operator="equal">
      <formula>"Kész"</formula>
    </cfRule>
  </conditionalFormatting>
  <conditionalFormatting sqref="D792">
    <cfRule type="cellIs" dxfId="5609" priority="9102" operator="equal">
      <formula>"Folyamatban"</formula>
    </cfRule>
    <cfRule type="cellIs" dxfId="5608" priority="9103" operator="equal">
      <formula>"Kész"</formula>
    </cfRule>
  </conditionalFormatting>
  <conditionalFormatting sqref="D791">
    <cfRule type="cellIs" dxfId="5607" priority="9100" operator="equal">
      <formula>"Folyamatban"</formula>
    </cfRule>
    <cfRule type="cellIs" dxfId="5606" priority="9101" operator="equal">
      <formula>"Kész"</formula>
    </cfRule>
  </conditionalFormatting>
  <conditionalFormatting sqref="D790">
    <cfRule type="cellIs" dxfId="5605" priority="9098" operator="equal">
      <formula>"Folyamatban"</formula>
    </cfRule>
    <cfRule type="cellIs" dxfId="5604" priority="9099" operator="equal">
      <formula>"Kész"</formula>
    </cfRule>
  </conditionalFormatting>
  <conditionalFormatting sqref="D789">
    <cfRule type="cellIs" dxfId="5603" priority="9096" operator="equal">
      <formula>"Folyamatban"</formula>
    </cfRule>
    <cfRule type="cellIs" dxfId="5602" priority="9097" operator="equal">
      <formula>"Kész"</formula>
    </cfRule>
  </conditionalFormatting>
  <conditionalFormatting sqref="D788">
    <cfRule type="cellIs" dxfId="5601" priority="9094" operator="equal">
      <formula>"Folyamatban"</formula>
    </cfRule>
    <cfRule type="cellIs" dxfId="5600" priority="9095" operator="equal">
      <formula>"Kész"</formula>
    </cfRule>
  </conditionalFormatting>
  <conditionalFormatting sqref="D787">
    <cfRule type="cellIs" dxfId="5599" priority="9092" operator="equal">
      <formula>"Folyamatban"</formula>
    </cfRule>
    <cfRule type="cellIs" dxfId="5598" priority="9093" operator="equal">
      <formula>"Kész"</formula>
    </cfRule>
  </conditionalFormatting>
  <conditionalFormatting sqref="D786">
    <cfRule type="cellIs" dxfId="5597" priority="9090" operator="equal">
      <formula>"Folyamatban"</formula>
    </cfRule>
    <cfRule type="cellIs" dxfId="5596" priority="9091" operator="equal">
      <formula>"Kész"</formula>
    </cfRule>
  </conditionalFormatting>
  <conditionalFormatting sqref="D785">
    <cfRule type="cellIs" dxfId="5595" priority="9088" operator="equal">
      <formula>"Folyamatban"</formula>
    </cfRule>
    <cfRule type="cellIs" dxfId="5594" priority="9089" operator="equal">
      <formula>"Kész"</formula>
    </cfRule>
  </conditionalFormatting>
  <conditionalFormatting sqref="D784">
    <cfRule type="cellIs" dxfId="5593" priority="9086" operator="equal">
      <formula>"Folyamatban"</formula>
    </cfRule>
    <cfRule type="cellIs" dxfId="5592" priority="9087" operator="equal">
      <formula>"Kész"</formula>
    </cfRule>
  </conditionalFormatting>
  <conditionalFormatting sqref="D783">
    <cfRule type="cellIs" dxfId="5591" priority="9084" operator="equal">
      <formula>"Folyamatban"</formula>
    </cfRule>
    <cfRule type="cellIs" dxfId="5590" priority="9085" operator="equal">
      <formula>"Kész"</formula>
    </cfRule>
  </conditionalFormatting>
  <conditionalFormatting sqref="D782">
    <cfRule type="cellIs" dxfId="5589" priority="9082" operator="equal">
      <formula>"Folyamatban"</formula>
    </cfRule>
    <cfRule type="cellIs" dxfId="5588" priority="9083" operator="equal">
      <formula>"Kész"</formula>
    </cfRule>
  </conditionalFormatting>
  <conditionalFormatting sqref="D781">
    <cfRule type="cellIs" dxfId="5587" priority="9080" operator="equal">
      <formula>"Folyamatban"</formula>
    </cfRule>
    <cfRule type="cellIs" dxfId="5586" priority="9081" operator="equal">
      <formula>"Kész"</formula>
    </cfRule>
  </conditionalFormatting>
  <conditionalFormatting sqref="D780">
    <cfRule type="cellIs" dxfId="5585" priority="9078" operator="equal">
      <formula>"Folyamatban"</formula>
    </cfRule>
    <cfRule type="cellIs" dxfId="5584" priority="9079" operator="equal">
      <formula>"Kész"</formula>
    </cfRule>
  </conditionalFormatting>
  <conditionalFormatting sqref="D779">
    <cfRule type="cellIs" dxfId="5583" priority="9076" operator="equal">
      <formula>"Folyamatban"</formula>
    </cfRule>
    <cfRule type="cellIs" dxfId="5582" priority="9077" operator="equal">
      <formula>"Kész"</formula>
    </cfRule>
  </conditionalFormatting>
  <conditionalFormatting sqref="D778">
    <cfRule type="cellIs" dxfId="5581" priority="9074" operator="equal">
      <formula>"Folyamatban"</formula>
    </cfRule>
    <cfRule type="cellIs" dxfId="5580" priority="9075" operator="equal">
      <formula>"Kész"</formula>
    </cfRule>
  </conditionalFormatting>
  <conditionalFormatting sqref="D777">
    <cfRule type="cellIs" dxfId="5579" priority="9072" operator="equal">
      <formula>"Folyamatban"</formula>
    </cfRule>
    <cfRule type="cellIs" dxfId="5578" priority="9073" operator="equal">
      <formula>"Kész"</formula>
    </cfRule>
  </conditionalFormatting>
  <conditionalFormatting sqref="D776">
    <cfRule type="cellIs" dxfId="5577" priority="9070" operator="equal">
      <formula>"Folyamatban"</formula>
    </cfRule>
    <cfRule type="cellIs" dxfId="5576" priority="9071" operator="equal">
      <formula>"Kész"</formula>
    </cfRule>
  </conditionalFormatting>
  <conditionalFormatting sqref="D775">
    <cfRule type="cellIs" dxfId="5575" priority="9068" operator="equal">
      <formula>"Folyamatban"</formula>
    </cfRule>
    <cfRule type="cellIs" dxfId="5574" priority="9069" operator="equal">
      <formula>"Kész"</formula>
    </cfRule>
  </conditionalFormatting>
  <conditionalFormatting sqref="D774">
    <cfRule type="cellIs" dxfId="5573" priority="9066" operator="equal">
      <formula>"Folyamatban"</formula>
    </cfRule>
    <cfRule type="cellIs" dxfId="5572" priority="9067" operator="equal">
      <formula>"Kész"</formula>
    </cfRule>
  </conditionalFormatting>
  <conditionalFormatting sqref="D773">
    <cfRule type="cellIs" dxfId="5571" priority="9064" operator="equal">
      <formula>"Folyamatban"</formula>
    </cfRule>
    <cfRule type="cellIs" dxfId="5570" priority="9065" operator="equal">
      <formula>"Kész"</formula>
    </cfRule>
  </conditionalFormatting>
  <conditionalFormatting sqref="D772">
    <cfRule type="cellIs" dxfId="5569" priority="9062" operator="equal">
      <formula>"Folyamatban"</formula>
    </cfRule>
    <cfRule type="cellIs" dxfId="5568" priority="9063" operator="equal">
      <formula>"Kész"</formula>
    </cfRule>
  </conditionalFormatting>
  <conditionalFormatting sqref="D771">
    <cfRule type="cellIs" dxfId="5567" priority="9060" operator="equal">
      <formula>"Folyamatban"</formula>
    </cfRule>
    <cfRule type="cellIs" dxfId="5566" priority="9061" operator="equal">
      <formula>"Kész"</formula>
    </cfRule>
  </conditionalFormatting>
  <conditionalFormatting sqref="D770">
    <cfRule type="cellIs" dxfId="5565" priority="9058" operator="equal">
      <formula>"Folyamatban"</formula>
    </cfRule>
    <cfRule type="cellIs" dxfId="5564" priority="9059" operator="equal">
      <formula>"Kész"</formula>
    </cfRule>
  </conditionalFormatting>
  <conditionalFormatting sqref="D769">
    <cfRule type="cellIs" dxfId="5563" priority="9056" operator="equal">
      <formula>"Folyamatban"</formula>
    </cfRule>
    <cfRule type="cellIs" dxfId="5562" priority="9057" operator="equal">
      <formula>"Kész"</formula>
    </cfRule>
  </conditionalFormatting>
  <conditionalFormatting sqref="D768">
    <cfRule type="cellIs" dxfId="5561" priority="9054" operator="equal">
      <formula>"Folyamatban"</formula>
    </cfRule>
    <cfRule type="cellIs" dxfId="5560" priority="9055" operator="equal">
      <formula>"Kész"</formula>
    </cfRule>
  </conditionalFormatting>
  <conditionalFormatting sqref="D767">
    <cfRule type="cellIs" dxfId="5559" priority="9052" operator="equal">
      <formula>"Folyamatban"</formula>
    </cfRule>
    <cfRule type="cellIs" dxfId="5558" priority="9053" operator="equal">
      <formula>"Kész"</formula>
    </cfRule>
  </conditionalFormatting>
  <conditionalFormatting sqref="D766">
    <cfRule type="cellIs" dxfId="5557" priority="9050" operator="equal">
      <formula>"Folyamatban"</formula>
    </cfRule>
    <cfRule type="cellIs" dxfId="5556" priority="9051" operator="equal">
      <formula>"Kész"</formula>
    </cfRule>
  </conditionalFormatting>
  <conditionalFormatting sqref="D765">
    <cfRule type="cellIs" dxfId="5555" priority="9048" operator="equal">
      <formula>"Folyamatban"</formula>
    </cfRule>
    <cfRule type="cellIs" dxfId="5554" priority="9049" operator="equal">
      <formula>"Kész"</formula>
    </cfRule>
  </conditionalFormatting>
  <conditionalFormatting sqref="D764">
    <cfRule type="cellIs" dxfId="5553" priority="9046" operator="equal">
      <formula>"Folyamatban"</formula>
    </cfRule>
    <cfRule type="cellIs" dxfId="5552" priority="9047" operator="equal">
      <formula>"Kész"</formula>
    </cfRule>
  </conditionalFormatting>
  <conditionalFormatting sqref="D763">
    <cfRule type="cellIs" dxfId="5551" priority="9044" operator="equal">
      <formula>"Folyamatban"</formula>
    </cfRule>
    <cfRule type="cellIs" dxfId="5550" priority="9045" operator="equal">
      <formula>"Kész"</formula>
    </cfRule>
  </conditionalFormatting>
  <conditionalFormatting sqref="D762">
    <cfRule type="cellIs" dxfId="5549" priority="9042" operator="equal">
      <formula>"Folyamatban"</formula>
    </cfRule>
    <cfRule type="cellIs" dxfId="5548" priority="9043" operator="equal">
      <formula>"Kész"</formula>
    </cfRule>
  </conditionalFormatting>
  <conditionalFormatting sqref="D761">
    <cfRule type="cellIs" dxfId="5547" priority="9040" operator="equal">
      <formula>"Folyamatban"</formula>
    </cfRule>
    <cfRule type="cellIs" dxfId="5546" priority="9041" operator="equal">
      <formula>"Kész"</formula>
    </cfRule>
  </conditionalFormatting>
  <conditionalFormatting sqref="D760">
    <cfRule type="cellIs" dxfId="5545" priority="9038" operator="equal">
      <formula>"Folyamatban"</formula>
    </cfRule>
    <cfRule type="cellIs" dxfId="5544" priority="9039" operator="equal">
      <formula>"Kész"</formula>
    </cfRule>
  </conditionalFormatting>
  <conditionalFormatting sqref="D759">
    <cfRule type="cellIs" dxfId="5543" priority="9036" operator="equal">
      <formula>"Folyamatban"</formula>
    </cfRule>
    <cfRule type="cellIs" dxfId="5542" priority="9037" operator="equal">
      <formula>"Kész"</formula>
    </cfRule>
  </conditionalFormatting>
  <conditionalFormatting sqref="D758">
    <cfRule type="cellIs" dxfId="5541" priority="9032" operator="equal">
      <formula>"Folyamatban"</formula>
    </cfRule>
    <cfRule type="cellIs" dxfId="5540" priority="9033" operator="equal">
      <formula>"Kész"</formula>
    </cfRule>
  </conditionalFormatting>
  <conditionalFormatting sqref="D757">
    <cfRule type="cellIs" dxfId="5539" priority="9028" operator="equal">
      <formula>"Folyamatban"</formula>
    </cfRule>
    <cfRule type="cellIs" dxfId="5538" priority="9029" operator="equal">
      <formula>"Kész"</formula>
    </cfRule>
  </conditionalFormatting>
  <conditionalFormatting sqref="D756">
    <cfRule type="cellIs" dxfId="5537" priority="9026" operator="equal">
      <formula>"Folyamatban"</formula>
    </cfRule>
    <cfRule type="cellIs" dxfId="5536" priority="9027" operator="equal">
      <formula>"Kész"</formula>
    </cfRule>
  </conditionalFormatting>
  <conditionalFormatting sqref="D755">
    <cfRule type="cellIs" dxfId="5535" priority="9024" operator="equal">
      <formula>"Folyamatban"</formula>
    </cfRule>
    <cfRule type="cellIs" dxfId="5534" priority="9025" operator="equal">
      <formula>"Kész"</formula>
    </cfRule>
  </conditionalFormatting>
  <conditionalFormatting sqref="D754">
    <cfRule type="cellIs" dxfId="5533" priority="9022" operator="equal">
      <formula>"Folyamatban"</formula>
    </cfRule>
    <cfRule type="cellIs" dxfId="5532" priority="9023" operator="equal">
      <formula>"Kész"</formula>
    </cfRule>
  </conditionalFormatting>
  <conditionalFormatting sqref="D753">
    <cfRule type="cellIs" dxfId="5531" priority="9020" operator="equal">
      <formula>"Folyamatban"</formula>
    </cfRule>
    <cfRule type="cellIs" dxfId="5530" priority="9021" operator="equal">
      <formula>"Kész"</formula>
    </cfRule>
  </conditionalFormatting>
  <conditionalFormatting sqref="D752">
    <cfRule type="cellIs" dxfId="5529" priority="9018" operator="equal">
      <formula>"Folyamatban"</formula>
    </cfRule>
    <cfRule type="cellIs" dxfId="5528" priority="9019" operator="equal">
      <formula>"Kész"</formula>
    </cfRule>
  </conditionalFormatting>
  <conditionalFormatting sqref="D750:D751">
    <cfRule type="cellIs" dxfId="5527" priority="9016" operator="equal">
      <formula>"Folyamatban"</formula>
    </cfRule>
    <cfRule type="cellIs" dxfId="5526" priority="9017" operator="equal">
      <formula>"Kész"</formula>
    </cfRule>
  </conditionalFormatting>
  <conditionalFormatting sqref="D749">
    <cfRule type="cellIs" dxfId="5525" priority="9012" operator="equal">
      <formula>"Folyamatban"</formula>
    </cfRule>
    <cfRule type="cellIs" dxfId="5524" priority="9013" operator="equal">
      <formula>"Kész"</formula>
    </cfRule>
  </conditionalFormatting>
  <conditionalFormatting sqref="D748">
    <cfRule type="cellIs" dxfId="5523" priority="9010" operator="equal">
      <formula>"Folyamatban"</formula>
    </cfRule>
    <cfRule type="cellIs" dxfId="5522" priority="9011" operator="equal">
      <formula>"Kész"</formula>
    </cfRule>
  </conditionalFormatting>
  <conditionalFormatting sqref="D747">
    <cfRule type="cellIs" dxfId="5521" priority="9008" operator="equal">
      <formula>"Folyamatban"</formula>
    </cfRule>
    <cfRule type="cellIs" dxfId="5520" priority="9009" operator="equal">
      <formula>"Kész"</formula>
    </cfRule>
  </conditionalFormatting>
  <conditionalFormatting sqref="D746">
    <cfRule type="cellIs" dxfId="5519" priority="9006" operator="equal">
      <formula>"Folyamatban"</formula>
    </cfRule>
    <cfRule type="cellIs" dxfId="5518" priority="9007" operator="equal">
      <formula>"Kész"</formula>
    </cfRule>
  </conditionalFormatting>
  <conditionalFormatting sqref="D745">
    <cfRule type="cellIs" dxfId="5517" priority="9004" operator="equal">
      <formula>"Folyamatban"</formula>
    </cfRule>
    <cfRule type="cellIs" dxfId="5516" priority="9005" operator="equal">
      <formula>"Kész"</formula>
    </cfRule>
  </conditionalFormatting>
  <conditionalFormatting sqref="D744">
    <cfRule type="cellIs" dxfId="5515" priority="9002" operator="equal">
      <formula>"Folyamatban"</formula>
    </cfRule>
    <cfRule type="cellIs" dxfId="5514" priority="9003" operator="equal">
      <formula>"Kész"</formula>
    </cfRule>
  </conditionalFormatting>
  <conditionalFormatting sqref="D743">
    <cfRule type="cellIs" dxfId="5513" priority="9000" operator="equal">
      <formula>"Folyamatban"</formula>
    </cfRule>
    <cfRule type="cellIs" dxfId="5512" priority="9001" operator="equal">
      <formula>"Kész"</formula>
    </cfRule>
  </conditionalFormatting>
  <conditionalFormatting sqref="D742">
    <cfRule type="cellIs" dxfId="5511" priority="8998" operator="equal">
      <formula>"Folyamatban"</formula>
    </cfRule>
    <cfRule type="cellIs" dxfId="5510" priority="8999" operator="equal">
      <formula>"Kész"</formula>
    </cfRule>
  </conditionalFormatting>
  <conditionalFormatting sqref="D741">
    <cfRule type="cellIs" dxfId="5509" priority="8996" operator="equal">
      <formula>"Folyamatban"</formula>
    </cfRule>
    <cfRule type="cellIs" dxfId="5508" priority="8997" operator="equal">
      <formula>"Kész"</formula>
    </cfRule>
  </conditionalFormatting>
  <conditionalFormatting sqref="D740">
    <cfRule type="cellIs" dxfId="5507" priority="8992" operator="equal">
      <formula>"Folyamatban"</formula>
    </cfRule>
    <cfRule type="cellIs" dxfId="5506" priority="8993" operator="equal">
      <formula>"Kész"</formula>
    </cfRule>
  </conditionalFormatting>
  <conditionalFormatting sqref="D739">
    <cfRule type="cellIs" dxfId="5505" priority="8990" operator="equal">
      <formula>"Folyamatban"</formula>
    </cfRule>
    <cfRule type="cellIs" dxfId="5504" priority="8991" operator="equal">
      <formula>"Kész"</formula>
    </cfRule>
  </conditionalFormatting>
  <conditionalFormatting sqref="D738">
    <cfRule type="cellIs" dxfId="5503" priority="8988" operator="equal">
      <formula>"Folyamatban"</formula>
    </cfRule>
    <cfRule type="cellIs" dxfId="5502" priority="8989" operator="equal">
      <formula>"Kész"</formula>
    </cfRule>
  </conditionalFormatting>
  <conditionalFormatting sqref="D737">
    <cfRule type="cellIs" dxfId="5501" priority="8986" operator="equal">
      <formula>"Folyamatban"</formula>
    </cfRule>
    <cfRule type="cellIs" dxfId="5500" priority="8987" operator="equal">
      <formula>"Kész"</formula>
    </cfRule>
  </conditionalFormatting>
  <conditionalFormatting sqref="D736">
    <cfRule type="cellIs" dxfId="5499" priority="8984" operator="equal">
      <formula>"Folyamatban"</formula>
    </cfRule>
    <cfRule type="cellIs" dxfId="5498" priority="8985" operator="equal">
      <formula>"Kész"</formula>
    </cfRule>
  </conditionalFormatting>
  <conditionalFormatting sqref="D735">
    <cfRule type="cellIs" dxfId="5497" priority="8982" operator="equal">
      <formula>"Folyamatban"</formula>
    </cfRule>
    <cfRule type="cellIs" dxfId="5496" priority="8983" operator="equal">
      <formula>"Kész"</formula>
    </cfRule>
  </conditionalFormatting>
  <conditionalFormatting sqref="D734">
    <cfRule type="cellIs" dxfId="5495" priority="8980" operator="equal">
      <formula>"Folyamatban"</formula>
    </cfRule>
    <cfRule type="cellIs" dxfId="5494" priority="8981" operator="equal">
      <formula>"Kész"</formula>
    </cfRule>
  </conditionalFormatting>
  <conditionalFormatting sqref="D733">
    <cfRule type="cellIs" dxfId="5493" priority="8976" operator="equal">
      <formula>"Folyamatban"</formula>
    </cfRule>
    <cfRule type="cellIs" dxfId="5492" priority="8977" operator="equal">
      <formula>"Kész"</formula>
    </cfRule>
  </conditionalFormatting>
  <conditionalFormatting sqref="D732">
    <cfRule type="cellIs" dxfId="5491" priority="8974" operator="equal">
      <formula>"Folyamatban"</formula>
    </cfRule>
    <cfRule type="cellIs" dxfId="5490" priority="8975" operator="equal">
      <formula>"Kész"</formula>
    </cfRule>
  </conditionalFormatting>
  <conditionalFormatting sqref="D731">
    <cfRule type="cellIs" dxfId="5489" priority="8972" operator="equal">
      <formula>"Folyamatban"</formula>
    </cfRule>
    <cfRule type="cellIs" dxfId="5488" priority="8973" operator="equal">
      <formula>"Kész"</formula>
    </cfRule>
  </conditionalFormatting>
  <conditionalFormatting sqref="D730">
    <cfRule type="cellIs" dxfId="5487" priority="8968" operator="equal">
      <formula>"Folyamatban"</formula>
    </cfRule>
    <cfRule type="cellIs" dxfId="5486" priority="8969" operator="equal">
      <formula>"Kész"</formula>
    </cfRule>
  </conditionalFormatting>
  <conditionalFormatting sqref="D729">
    <cfRule type="cellIs" dxfId="5485" priority="8966" operator="equal">
      <formula>"Folyamatban"</formula>
    </cfRule>
    <cfRule type="cellIs" dxfId="5484" priority="8967" operator="equal">
      <formula>"Kész"</formula>
    </cfRule>
  </conditionalFormatting>
  <conditionalFormatting sqref="D728">
    <cfRule type="cellIs" dxfId="5483" priority="8964" operator="equal">
      <formula>"Folyamatban"</formula>
    </cfRule>
    <cfRule type="cellIs" dxfId="5482" priority="8965" operator="equal">
      <formula>"Kész"</formula>
    </cfRule>
  </conditionalFormatting>
  <conditionalFormatting sqref="D727">
    <cfRule type="cellIs" dxfId="5481" priority="8960" operator="equal">
      <formula>"Folyamatban"</formula>
    </cfRule>
    <cfRule type="cellIs" dxfId="5480" priority="8961" operator="equal">
      <formula>"Kész"</formula>
    </cfRule>
  </conditionalFormatting>
  <conditionalFormatting sqref="D726">
    <cfRule type="cellIs" dxfId="5479" priority="8958" operator="equal">
      <formula>"Folyamatban"</formula>
    </cfRule>
    <cfRule type="cellIs" dxfId="5478" priority="8959" operator="equal">
      <formula>"Kész"</formula>
    </cfRule>
  </conditionalFormatting>
  <conditionalFormatting sqref="D725">
    <cfRule type="cellIs" dxfId="5477" priority="8956" operator="equal">
      <formula>"Folyamatban"</formula>
    </cfRule>
    <cfRule type="cellIs" dxfId="5476" priority="8957" operator="equal">
      <formula>"Kész"</formula>
    </cfRule>
  </conditionalFormatting>
  <conditionalFormatting sqref="D723">
    <cfRule type="cellIs" dxfId="5475" priority="8952" operator="equal">
      <formula>"Folyamatban"</formula>
    </cfRule>
    <cfRule type="cellIs" dxfId="5474" priority="8953" operator="equal">
      <formula>"Kész"</formula>
    </cfRule>
  </conditionalFormatting>
  <conditionalFormatting sqref="D722">
    <cfRule type="cellIs" dxfId="5473" priority="8950" operator="equal">
      <formula>"Folyamatban"</formula>
    </cfRule>
    <cfRule type="cellIs" dxfId="5472" priority="8951" operator="equal">
      <formula>"Kész"</formula>
    </cfRule>
  </conditionalFormatting>
  <conditionalFormatting sqref="D721">
    <cfRule type="cellIs" dxfId="5471" priority="8948" operator="equal">
      <formula>"Folyamatban"</formula>
    </cfRule>
    <cfRule type="cellIs" dxfId="5470" priority="8949" operator="equal">
      <formula>"Kész"</formula>
    </cfRule>
  </conditionalFormatting>
  <conditionalFormatting sqref="D720">
    <cfRule type="cellIs" dxfId="5469" priority="8946" operator="equal">
      <formula>"Folyamatban"</formula>
    </cfRule>
    <cfRule type="cellIs" dxfId="5468" priority="8947" operator="equal">
      <formula>"Kész"</formula>
    </cfRule>
  </conditionalFormatting>
  <conditionalFormatting sqref="D719">
    <cfRule type="cellIs" dxfId="5467" priority="8944" operator="equal">
      <formula>"Folyamatban"</formula>
    </cfRule>
    <cfRule type="cellIs" dxfId="5466" priority="8945" operator="equal">
      <formula>"Kész"</formula>
    </cfRule>
  </conditionalFormatting>
  <conditionalFormatting sqref="D718">
    <cfRule type="cellIs" dxfId="5465" priority="8942" operator="equal">
      <formula>"Folyamatban"</formula>
    </cfRule>
    <cfRule type="cellIs" dxfId="5464" priority="8943" operator="equal">
      <formula>"Kész"</formula>
    </cfRule>
  </conditionalFormatting>
  <conditionalFormatting sqref="D717">
    <cfRule type="cellIs" dxfId="5463" priority="8940" operator="equal">
      <formula>"Folyamatban"</formula>
    </cfRule>
    <cfRule type="cellIs" dxfId="5462" priority="8941" operator="equal">
      <formula>"Kész"</formula>
    </cfRule>
  </conditionalFormatting>
  <conditionalFormatting sqref="D716">
    <cfRule type="cellIs" dxfId="5461" priority="8938" operator="equal">
      <formula>"Folyamatban"</formula>
    </cfRule>
    <cfRule type="cellIs" dxfId="5460" priority="8939" operator="equal">
      <formula>"Kész"</formula>
    </cfRule>
  </conditionalFormatting>
  <conditionalFormatting sqref="D715">
    <cfRule type="cellIs" dxfId="5459" priority="8936" operator="equal">
      <formula>"Folyamatban"</formula>
    </cfRule>
    <cfRule type="cellIs" dxfId="5458" priority="8937" operator="equal">
      <formula>"Kész"</formula>
    </cfRule>
  </conditionalFormatting>
  <conditionalFormatting sqref="D714">
    <cfRule type="cellIs" dxfId="5457" priority="8932" operator="equal">
      <formula>"Folyamatban"</formula>
    </cfRule>
    <cfRule type="cellIs" dxfId="5456" priority="8933" operator="equal">
      <formula>"Kész"</formula>
    </cfRule>
  </conditionalFormatting>
  <conditionalFormatting sqref="D713">
    <cfRule type="cellIs" dxfId="5455" priority="8926" operator="equal">
      <formula>"Folyamatban"</formula>
    </cfRule>
    <cfRule type="cellIs" dxfId="5454" priority="8927" operator="equal">
      <formula>"Kész"</formula>
    </cfRule>
  </conditionalFormatting>
  <conditionalFormatting sqref="D712">
    <cfRule type="cellIs" dxfId="5453" priority="8924" operator="equal">
      <formula>"Folyamatban"</formula>
    </cfRule>
    <cfRule type="cellIs" dxfId="5452" priority="8925" operator="equal">
      <formula>"Kész"</formula>
    </cfRule>
  </conditionalFormatting>
  <conditionalFormatting sqref="D711">
    <cfRule type="cellIs" dxfId="5451" priority="8920" operator="equal">
      <formula>"Folyamatban"</formula>
    </cfRule>
    <cfRule type="cellIs" dxfId="5450" priority="8921" operator="equal">
      <formula>"Kész"</formula>
    </cfRule>
  </conditionalFormatting>
  <conditionalFormatting sqref="D710">
    <cfRule type="cellIs" dxfId="5449" priority="8916" operator="equal">
      <formula>"Folyamatban"</formula>
    </cfRule>
    <cfRule type="cellIs" dxfId="5448" priority="8917" operator="equal">
      <formula>"Kész"</formula>
    </cfRule>
  </conditionalFormatting>
  <conditionalFormatting sqref="D709">
    <cfRule type="cellIs" dxfId="5447" priority="8914" operator="equal">
      <formula>"Folyamatban"</formula>
    </cfRule>
    <cfRule type="cellIs" dxfId="5446" priority="8915" operator="equal">
      <formula>"Kész"</formula>
    </cfRule>
  </conditionalFormatting>
  <conditionalFormatting sqref="D708">
    <cfRule type="cellIs" dxfId="5445" priority="8912" operator="equal">
      <formula>"Folyamatban"</formula>
    </cfRule>
    <cfRule type="cellIs" dxfId="5444" priority="8913" operator="equal">
      <formula>"Kész"</formula>
    </cfRule>
  </conditionalFormatting>
  <conditionalFormatting sqref="D707">
    <cfRule type="cellIs" dxfId="5443" priority="8910" operator="equal">
      <formula>"Folyamatban"</formula>
    </cfRule>
    <cfRule type="cellIs" dxfId="5442" priority="8911" operator="equal">
      <formula>"Kész"</formula>
    </cfRule>
  </conditionalFormatting>
  <conditionalFormatting sqref="D706">
    <cfRule type="cellIs" dxfId="5441" priority="8908" operator="equal">
      <formula>"Folyamatban"</formula>
    </cfRule>
    <cfRule type="cellIs" dxfId="5440" priority="8909" operator="equal">
      <formula>"Kész"</formula>
    </cfRule>
  </conditionalFormatting>
  <conditionalFormatting sqref="D700:D705">
    <cfRule type="cellIs" dxfId="5439" priority="8896" operator="equal">
      <formula>"Folyamatban"</formula>
    </cfRule>
    <cfRule type="cellIs" dxfId="5438" priority="8897" operator="equal">
      <formula>"Kész"</formula>
    </cfRule>
  </conditionalFormatting>
  <conditionalFormatting sqref="D699">
    <cfRule type="cellIs" dxfId="5437" priority="8894" operator="equal">
      <formula>"Folyamatban"</formula>
    </cfRule>
    <cfRule type="cellIs" dxfId="5436" priority="8895" operator="equal">
      <formula>"Kész"</formula>
    </cfRule>
  </conditionalFormatting>
  <conditionalFormatting sqref="D698">
    <cfRule type="cellIs" dxfId="5435" priority="8884" operator="equal">
      <formula>"Folyamatban"</formula>
    </cfRule>
    <cfRule type="cellIs" dxfId="5434" priority="8885" operator="equal">
      <formula>"Kész"</formula>
    </cfRule>
  </conditionalFormatting>
  <conditionalFormatting sqref="D697">
    <cfRule type="cellIs" dxfId="5433" priority="8882" operator="equal">
      <formula>"Folyamatban"</formula>
    </cfRule>
    <cfRule type="cellIs" dxfId="5432" priority="8883" operator="equal">
      <formula>"Kész"</formula>
    </cfRule>
  </conditionalFormatting>
  <conditionalFormatting sqref="D696">
    <cfRule type="cellIs" dxfId="5431" priority="8880" operator="equal">
      <formula>"Folyamatban"</formula>
    </cfRule>
    <cfRule type="cellIs" dxfId="5430" priority="8881" operator="equal">
      <formula>"Kész"</formula>
    </cfRule>
  </conditionalFormatting>
  <conditionalFormatting sqref="D695">
    <cfRule type="cellIs" dxfId="5429" priority="8878" operator="equal">
      <formula>"Folyamatban"</formula>
    </cfRule>
    <cfRule type="cellIs" dxfId="5428" priority="8879" operator="equal">
      <formula>"Kész"</formula>
    </cfRule>
  </conditionalFormatting>
  <conditionalFormatting sqref="D694">
    <cfRule type="cellIs" dxfId="5427" priority="8876" operator="equal">
      <formula>"Folyamatban"</formula>
    </cfRule>
    <cfRule type="cellIs" dxfId="5426" priority="8877" operator="equal">
      <formula>"Kész"</formula>
    </cfRule>
  </conditionalFormatting>
  <conditionalFormatting sqref="D693">
    <cfRule type="cellIs" dxfId="5425" priority="8874" operator="equal">
      <formula>"Folyamatban"</formula>
    </cfRule>
    <cfRule type="cellIs" dxfId="5424" priority="8875" operator="equal">
      <formula>"Kész"</formula>
    </cfRule>
  </conditionalFormatting>
  <conditionalFormatting sqref="D692">
    <cfRule type="cellIs" dxfId="5423" priority="8872" operator="equal">
      <formula>"Folyamatban"</formula>
    </cfRule>
    <cfRule type="cellIs" dxfId="5422" priority="8873" operator="equal">
      <formula>"Kész"</formula>
    </cfRule>
  </conditionalFormatting>
  <conditionalFormatting sqref="D691">
    <cfRule type="cellIs" dxfId="5421" priority="8870" operator="equal">
      <formula>"Folyamatban"</formula>
    </cfRule>
    <cfRule type="cellIs" dxfId="5420" priority="8871" operator="equal">
      <formula>"Kész"</formula>
    </cfRule>
  </conditionalFormatting>
  <conditionalFormatting sqref="D690">
    <cfRule type="cellIs" dxfId="5419" priority="8868" operator="equal">
      <formula>"Folyamatban"</formula>
    </cfRule>
    <cfRule type="cellIs" dxfId="5418" priority="8869" operator="equal">
      <formula>"Kész"</formula>
    </cfRule>
  </conditionalFormatting>
  <conditionalFormatting sqref="D689">
    <cfRule type="cellIs" dxfId="5417" priority="8866" operator="equal">
      <formula>"Folyamatban"</formula>
    </cfRule>
    <cfRule type="cellIs" dxfId="5416" priority="8867" operator="equal">
      <formula>"Kész"</formula>
    </cfRule>
  </conditionalFormatting>
  <conditionalFormatting sqref="D688">
    <cfRule type="cellIs" dxfId="5415" priority="8862" operator="equal">
      <formula>"Folyamatban"</formula>
    </cfRule>
    <cfRule type="cellIs" dxfId="5414" priority="8863" operator="equal">
      <formula>"Kész"</formula>
    </cfRule>
  </conditionalFormatting>
  <conditionalFormatting sqref="D687">
    <cfRule type="cellIs" dxfId="5413" priority="8860" operator="equal">
      <formula>"Folyamatban"</formula>
    </cfRule>
    <cfRule type="cellIs" dxfId="5412" priority="8861" operator="equal">
      <formula>"Kész"</formula>
    </cfRule>
  </conditionalFormatting>
  <conditionalFormatting sqref="D686">
    <cfRule type="cellIs" dxfId="5411" priority="8858" operator="equal">
      <formula>"Folyamatban"</formula>
    </cfRule>
    <cfRule type="cellIs" dxfId="5410" priority="8859" operator="equal">
      <formula>"Kész"</formula>
    </cfRule>
  </conditionalFormatting>
  <conditionalFormatting sqref="D681:D685">
    <cfRule type="cellIs" dxfId="5409" priority="8850" operator="equal">
      <formula>"Folyamatban"</formula>
    </cfRule>
    <cfRule type="cellIs" dxfId="5408" priority="8851" operator="equal">
      <formula>"Kész"</formula>
    </cfRule>
  </conditionalFormatting>
  <conditionalFormatting sqref="D678">
    <cfRule type="cellIs" dxfId="5407" priority="8840" operator="equal">
      <formula>"Folyamatban"</formula>
    </cfRule>
    <cfRule type="cellIs" dxfId="5406" priority="8841" operator="equal">
      <formula>"Kész"</formula>
    </cfRule>
  </conditionalFormatting>
  <conditionalFormatting sqref="D679">
    <cfRule type="cellIs" dxfId="5405" priority="8838" operator="equal">
      <formula>"Folyamatban"</formula>
    </cfRule>
    <cfRule type="cellIs" dxfId="5404" priority="8839" operator="equal">
      <formula>"Kész"</formula>
    </cfRule>
  </conditionalFormatting>
  <conditionalFormatting sqref="D680">
    <cfRule type="cellIs" dxfId="5403" priority="8836" operator="equal">
      <formula>"Folyamatban"</formula>
    </cfRule>
    <cfRule type="cellIs" dxfId="5402" priority="8837" operator="equal">
      <formula>"Kész"</formula>
    </cfRule>
  </conditionalFormatting>
  <conditionalFormatting sqref="D677">
    <cfRule type="cellIs" dxfId="5401" priority="8834" operator="equal">
      <formula>"Folyamatban"</formula>
    </cfRule>
    <cfRule type="cellIs" dxfId="5400" priority="8835" operator="equal">
      <formula>"Kész"</formula>
    </cfRule>
  </conditionalFormatting>
  <conditionalFormatting sqref="D676">
    <cfRule type="cellIs" dxfId="5399" priority="8832" operator="equal">
      <formula>"Folyamatban"</formula>
    </cfRule>
    <cfRule type="cellIs" dxfId="5398" priority="8833" operator="equal">
      <formula>"Kész"</formula>
    </cfRule>
  </conditionalFormatting>
  <conditionalFormatting sqref="D675">
    <cfRule type="cellIs" dxfId="5397" priority="8830" operator="equal">
      <formula>"Folyamatban"</formula>
    </cfRule>
    <cfRule type="cellIs" dxfId="5396" priority="8831" operator="equal">
      <formula>"Kész"</formula>
    </cfRule>
  </conditionalFormatting>
  <conditionalFormatting sqref="D674">
    <cfRule type="cellIs" dxfId="5395" priority="8828" operator="equal">
      <formula>"Folyamatban"</formula>
    </cfRule>
    <cfRule type="cellIs" dxfId="5394" priority="8829" operator="equal">
      <formula>"Kész"</formula>
    </cfRule>
  </conditionalFormatting>
  <conditionalFormatting sqref="D673">
    <cfRule type="cellIs" dxfId="5393" priority="8826" operator="equal">
      <formula>"Folyamatban"</formula>
    </cfRule>
    <cfRule type="cellIs" dxfId="5392" priority="8827" operator="equal">
      <formula>"Kész"</formula>
    </cfRule>
  </conditionalFormatting>
  <conditionalFormatting sqref="D672">
    <cfRule type="cellIs" dxfId="5391" priority="8824" operator="equal">
      <formula>"Folyamatban"</formula>
    </cfRule>
    <cfRule type="cellIs" dxfId="5390" priority="8825" operator="equal">
      <formula>"Kész"</formula>
    </cfRule>
  </conditionalFormatting>
  <conditionalFormatting sqref="D671">
    <cfRule type="cellIs" dxfId="5389" priority="8822" operator="equal">
      <formula>"Folyamatban"</formula>
    </cfRule>
    <cfRule type="cellIs" dxfId="5388" priority="8823" operator="equal">
      <formula>"Kész"</formula>
    </cfRule>
  </conditionalFormatting>
  <conditionalFormatting sqref="D670">
    <cfRule type="cellIs" dxfId="5387" priority="8820" operator="equal">
      <formula>"Folyamatban"</formula>
    </cfRule>
    <cfRule type="cellIs" dxfId="5386" priority="8821" operator="equal">
      <formula>"Kész"</formula>
    </cfRule>
  </conditionalFormatting>
  <conditionalFormatting sqref="D669">
    <cfRule type="cellIs" dxfId="5385" priority="8818" operator="equal">
      <formula>"Folyamatban"</formula>
    </cfRule>
    <cfRule type="cellIs" dxfId="5384" priority="8819" operator="equal">
      <formula>"Kész"</formula>
    </cfRule>
  </conditionalFormatting>
  <conditionalFormatting sqref="D668">
    <cfRule type="cellIs" dxfId="5383" priority="8816" operator="equal">
      <formula>"Folyamatban"</formula>
    </cfRule>
    <cfRule type="cellIs" dxfId="5382" priority="8817" operator="equal">
      <formula>"Kész"</formula>
    </cfRule>
  </conditionalFormatting>
  <conditionalFormatting sqref="D667">
    <cfRule type="cellIs" dxfId="5381" priority="8814" operator="equal">
      <formula>"Folyamatban"</formula>
    </cfRule>
    <cfRule type="cellIs" dxfId="5380" priority="8815" operator="equal">
      <formula>"Kész"</formula>
    </cfRule>
  </conditionalFormatting>
  <conditionalFormatting sqref="D666">
    <cfRule type="cellIs" dxfId="5379" priority="8812" operator="equal">
      <formula>"Folyamatban"</formula>
    </cfRule>
    <cfRule type="cellIs" dxfId="5378" priority="8813" operator="equal">
      <formula>"Kész"</formula>
    </cfRule>
  </conditionalFormatting>
  <conditionalFormatting sqref="D665">
    <cfRule type="cellIs" dxfId="5377" priority="8810" operator="equal">
      <formula>"Folyamatban"</formula>
    </cfRule>
    <cfRule type="cellIs" dxfId="5376" priority="8811" operator="equal">
      <formula>"Kész"</formula>
    </cfRule>
  </conditionalFormatting>
  <conditionalFormatting sqref="D664">
    <cfRule type="cellIs" dxfId="5375" priority="8808" operator="equal">
      <formula>"Folyamatban"</formula>
    </cfRule>
    <cfRule type="cellIs" dxfId="5374" priority="8809" operator="equal">
      <formula>"Kész"</formula>
    </cfRule>
  </conditionalFormatting>
  <conditionalFormatting sqref="D663">
    <cfRule type="cellIs" dxfId="5373" priority="8806" operator="equal">
      <formula>"Folyamatban"</formula>
    </cfRule>
    <cfRule type="cellIs" dxfId="5372" priority="8807" operator="equal">
      <formula>"Kész"</formula>
    </cfRule>
  </conditionalFormatting>
  <conditionalFormatting sqref="D662">
    <cfRule type="cellIs" dxfId="5371" priority="8804" operator="equal">
      <formula>"Folyamatban"</formula>
    </cfRule>
    <cfRule type="cellIs" dxfId="5370" priority="8805" operator="equal">
      <formula>"Kész"</formula>
    </cfRule>
  </conditionalFormatting>
  <conditionalFormatting sqref="D661">
    <cfRule type="cellIs" dxfId="5369" priority="8802" operator="equal">
      <formula>"Folyamatban"</formula>
    </cfRule>
    <cfRule type="cellIs" dxfId="5368" priority="8803" operator="equal">
      <formula>"Kész"</formula>
    </cfRule>
  </conditionalFormatting>
  <conditionalFormatting sqref="D660">
    <cfRule type="cellIs" dxfId="5367" priority="8800" operator="equal">
      <formula>"Folyamatban"</formula>
    </cfRule>
    <cfRule type="cellIs" dxfId="5366" priority="8801" operator="equal">
      <formula>"Kész"</formula>
    </cfRule>
  </conditionalFormatting>
  <conditionalFormatting sqref="D659">
    <cfRule type="cellIs" dxfId="5365" priority="8798" operator="equal">
      <formula>"Folyamatban"</formula>
    </cfRule>
    <cfRule type="cellIs" dxfId="5364" priority="8799" operator="equal">
      <formula>"Kész"</formula>
    </cfRule>
  </conditionalFormatting>
  <conditionalFormatting sqref="D658">
    <cfRule type="cellIs" dxfId="5363" priority="8796" operator="equal">
      <formula>"Folyamatban"</formula>
    </cfRule>
    <cfRule type="cellIs" dxfId="5362" priority="8797" operator="equal">
      <formula>"Kész"</formula>
    </cfRule>
  </conditionalFormatting>
  <conditionalFormatting sqref="D657">
    <cfRule type="cellIs" dxfId="5361" priority="8794" operator="equal">
      <formula>"Folyamatban"</formula>
    </cfRule>
    <cfRule type="cellIs" dxfId="5360" priority="8795" operator="equal">
      <formula>"Kész"</formula>
    </cfRule>
  </conditionalFormatting>
  <conditionalFormatting sqref="D656">
    <cfRule type="cellIs" dxfId="5359" priority="8792" operator="equal">
      <formula>"Folyamatban"</formula>
    </cfRule>
    <cfRule type="cellIs" dxfId="5358" priority="8793" operator="equal">
      <formula>"Kész"</formula>
    </cfRule>
  </conditionalFormatting>
  <conditionalFormatting sqref="D655">
    <cfRule type="cellIs" dxfId="5357" priority="8790" operator="equal">
      <formula>"Folyamatban"</formula>
    </cfRule>
    <cfRule type="cellIs" dxfId="5356" priority="8791" operator="equal">
      <formula>"Kész"</formula>
    </cfRule>
  </conditionalFormatting>
  <conditionalFormatting sqref="D654">
    <cfRule type="cellIs" dxfId="5355" priority="8788" operator="equal">
      <formula>"Folyamatban"</formula>
    </cfRule>
    <cfRule type="cellIs" dxfId="5354" priority="8789" operator="equal">
      <formula>"Kész"</formula>
    </cfRule>
  </conditionalFormatting>
  <conditionalFormatting sqref="D653">
    <cfRule type="cellIs" dxfId="5353" priority="8786" operator="equal">
      <formula>"Folyamatban"</formula>
    </cfRule>
    <cfRule type="cellIs" dxfId="5352" priority="8787" operator="equal">
      <formula>"Kész"</formula>
    </cfRule>
  </conditionalFormatting>
  <conditionalFormatting sqref="D652">
    <cfRule type="cellIs" dxfId="5351" priority="8784" operator="equal">
      <formula>"Folyamatban"</formula>
    </cfRule>
    <cfRule type="cellIs" dxfId="5350" priority="8785" operator="equal">
      <formula>"Kész"</formula>
    </cfRule>
  </conditionalFormatting>
  <conditionalFormatting sqref="D651">
    <cfRule type="cellIs" dxfId="5349" priority="8782" operator="equal">
      <formula>"Folyamatban"</formula>
    </cfRule>
    <cfRule type="cellIs" dxfId="5348" priority="8783" operator="equal">
      <formula>"Kész"</formula>
    </cfRule>
  </conditionalFormatting>
  <conditionalFormatting sqref="D650">
    <cfRule type="cellIs" dxfId="5347" priority="8780" operator="equal">
      <formula>"Folyamatban"</formula>
    </cfRule>
    <cfRule type="cellIs" dxfId="5346" priority="8781" operator="equal">
      <formula>"Kész"</formula>
    </cfRule>
  </conditionalFormatting>
  <conditionalFormatting sqref="D649">
    <cfRule type="cellIs" dxfId="5345" priority="8778" operator="equal">
      <formula>"Folyamatban"</formula>
    </cfRule>
    <cfRule type="cellIs" dxfId="5344" priority="8779" operator="equal">
      <formula>"Kész"</formula>
    </cfRule>
  </conditionalFormatting>
  <conditionalFormatting sqref="D648">
    <cfRule type="cellIs" dxfId="5343" priority="8776" operator="equal">
      <formula>"Folyamatban"</formula>
    </cfRule>
    <cfRule type="cellIs" dxfId="5342" priority="8777" operator="equal">
      <formula>"Kész"</formula>
    </cfRule>
  </conditionalFormatting>
  <conditionalFormatting sqref="D647">
    <cfRule type="cellIs" dxfId="5341" priority="8774" operator="equal">
      <formula>"Folyamatban"</formula>
    </cfRule>
    <cfRule type="cellIs" dxfId="5340" priority="8775" operator="equal">
      <formula>"Kész"</formula>
    </cfRule>
  </conditionalFormatting>
  <conditionalFormatting sqref="D646">
    <cfRule type="cellIs" dxfId="5339" priority="8772" operator="equal">
      <formula>"Folyamatban"</formula>
    </cfRule>
    <cfRule type="cellIs" dxfId="5338" priority="8773" operator="equal">
      <formula>"Kész"</formula>
    </cfRule>
  </conditionalFormatting>
  <conditionalFormatting sqref="D645">
    <cfRule type="cellIs" dxfId="5337" priority="8770" operator="equal">
      <formula>"Folyamatban"</formula>
    </cfRule>
    <cfRule type="cellIs" dxfId="5336" priority="8771" operator="equal">
      <formula>"Kész"</formula>
    </cfRule>
  </conditionalFormatting>
  <conditionalFormatting sqref="D644">
    <cfRule type="cellIs" dxfId="5335" priority="8768" operator="equal">
      <formula>"Folyamatban"</formula>
    </cfRule>
    <cfRule type="cellIs" dxfId="5334" priority="8769" operator="equal">
      <formula>"Kész"</formula>
    </cfRule>
  </conditionalFormatting>
  <conditionalFormatting sqref="D643">
    <cfRule type="cellIs" dxfId="5333" priority="8766" operator="equal">
      <formula>"Folyamatban"</formula>
    </cfRule>
    <cfRule type="cellIs" dxfId="5332" priority="8767" operator="equal">
      <formula>"Kész"</formula>
    </cfRule>
  </conditionalFormatting>
  <conditionalFormatting sqref="D642">
    <cfRule type="cellIs" dxfId="5331" priority="8764" operator="equal">
      <formula>"Folyamatban"</formula>
    </cfRule>
    <cfRule type="cellIs" dxfId="5330" priority="8765" operator="equal">
      <formula>"Kész"</formula>
    </cfRule>
  </conditionalFormatting>
  <conditionalFormatting sqref="D641">
    <cfRule type="cellIs" dxfId="5329" priority="8762" operator="equal">
      <formula>"Folyamatban"</formula>
    </cfRule>
    <cfRule type="cellIs" dxfId="5328" priority="8763" operator="equal">
      <formula>"Kész"</formula>
    </cfRule>
  </conditionalFormatting>
  <conditionalFormatting sqref="D640">
    <cfRule type="cellIs" dxfId="5327" priority="8760" operator="equal">
      <formula>"Folyamatban"</formula>
    </cfRule>
    <cfRule type="cellIs" dxfId="5326" priority="8761" operator="equal">
      <formula>"Kész"</formula>
    </cfRule>
  </conditionalFormatting>
  <conditionalFormatting sqref="D639">
    <cfRule type="cellIs" dxfId="5325" priority="8758" operator="equal">
      <formula>"Folyamatban"</formula>
    </cfRule>
    <cfRule type="cellIs" dxfId="5324" priority="8759" operator="equal">
      <formula>"Kész"</formula>
    </cfRule>
  </conditionalFormatting>
  <conditionalFormatting sqref="D638">
    <cfRule type="cellIs" dxfId="5323" priority="8756" operator="equal">
      <formula>"Folyamatban"</formula>
    </cfRule>
    <cfRule type="cellIs" dxfId="5322" priority="8757" operator="equal">
      <formula>"Kész"</formula>
    </cfRule>
  </conditionalFormatting>
  <conditionalFormatting sqref="D637">
    <cfRule type="cellIs" dxfId="5321" priority="8754" operator="equal">
      <formula>"Folyamatban"</formula>
    </cfRule>
    <cfRule type="cellIs" dxfId="5320" priority="8755" operator="equal">
      <formula>"Kész"</formula>
    </cfRule>
  </conditionalFormatting>
  <conditionalFormatting sqref="D636">
    <cfRule type="cellIs" dxfId="5319" priority="8752" operator="equal">
      <formula>"Folyamatban"</formula>
    </cfRule>
    <cfRule type="cellIs" dxfId="5318" priority="8753" operator="equal">
      <formula>"Kész"</formula>
    </cfRule>
  </conditionalFormatting>
  <conditionalFormatting sqref="D634:D635">
    <cfRule type="cellIs" dxfId="5317" priority="8750" operator="equal">
      <formula>"Folyamatban"</formula>
    </cfRule>
    <cfRule type="cellIs" dxfId="5316" priority="8751" operator="equal">
      <formula>"Kész"</formula>
    </cfRule>
  </conditionalFormatting>
  <conditionalFormatting sqref="D633">
    <cfRule type="cellIs" dxfId="5315" priority="8746" operator="equal">
      <formula>"Folyamatban"</formula>
    </cfRule>
    <cfRule type="cellIs" dxfId="5314" priority="8747" operator="equal">
      <formula>"Kész"</formula>
    </cfRule>
  </conditionalFormatting>
  <conditionalFormatting sqref="D632">
    <cfRule type="cellIs" dxfId="5313" priority="8742" operator="equal">
      <formula>"Folyamatban"</formula>
    </cfRule>
    <cfRule type="cellIs" dxfId="5312" priority="8743" operator="equal">
      <formula>"Kész"</formula>
    </cfRule>
  </conditionalFormatting>
  <conditionalFormatting sqref="D631">
    <cfRule type="cellIs" dxfId="5311" priority="8740" operator="equal">
      <formula>"Folyamatban"</formula>
    </cfRule>
    <cfRule type="cellIs" dxfId="5310" priority="8741" operator="equal">
      <formula>"Kész"</formula>
    </cfRule>
  </conditionalFormatting>
  <conditionalFormatting sqref="D625:D630">
    <cfRule type="cellIs" dxfId="5309" priority="8738" operator="equal">
      <formula>"Folyamatban"</formula>
    </cfRule>
    <cfRule type="cellIs" dxfId="5308" priority="8739" operator="equal">
      <formula>"Kész"</formula>
    </cfRule>
  </conditionalFormatting>
  <conditionalFormatting sqref="D564:D624">
    <cfRule type="cellIs" dxfId="5307" priority="8726" operator="equal">
      <formula>"Folyamatban"</formula>
    </cfRule>
    <cfRule type="cellIs" dxfId="5306" priority="8727" operator="equal">
      <formula>"Kész"</formula>
    </cfRule>
  </conditionalFormatting>
  <conditionalFormatting sqref="D563">
    <cfRule type="cellIs" dxfId="5305" priority="8598" operator="equal">
      <formula>"Folyamatban"</formula>
    </cfRule>
    <cfRule type="cellIs" dxfId="5304" priority="8599" operator="equal">
      <formula>"Kész"</formula>
    </cfRule>
  </conditionalFormatting>
  <conditionalFormatting sqref="D549:D562">
    <cfRule type="cellIs" dxfId="5303" priority="8594" operator="equal">
      <formula>"Folyamatban"</formula>
    </cfRule>
    <cfRule type="cellIs" dxfId="5302" priority="8595" operator="equal">
      <formula>"Kész"</formula>
    </cfRule>
  </conditionalFormatting>
  <conditionalFormatting sqref="D548">
    <cfRule type="cellIs" dxfId="5301" priority="8566" operator="equal">
      <formula>"Folyamatban"</formula>
    </cfRule>
    <cfRule type="cellIs" dxfId="5300" priority="8567" operator="equal">
      <formula>"Kész"</formula>
    </cfRule>
  </conditionalFormatting>
  <conditionalFormatting sqref="D544:D547">
    <cfRule type="cellIs" dxfId="5299" priority="8562" operator="equal">
      <formula>"Folyamatban"</formula>
    </cfRule>
    <cfRule type="cellIs" dxfId="5298" priority="8563" operator="equal">
      <formula>"Kész"</formula>
    </cfRule>
  </conditionalFormatting>
  <conditionalFormatting sqref="J545:K1048576 J1:K1">
    <cfRule type="cellIs" dxfId="5297" priority="8545" operator="equal">
      <formula>"Nem Heineken Költség"</formula>
    </cfRule>
  </conditionalFormatting>
  <conditionalFormatting sqref="I545:I1048576 I1">
    <cfRule type="cellIs" dxfId="5296" priority="8546" operator="equal">
      <formula>"H"</formula>
    </cfRule>
  </conditionalFormatting>
  <conditionalFormatting sqref="J545:J1048576 J1">
    <cfRule type="cellIs" dxfId="5295" priority="8547" operator="equal">
      <formula>"Nincs Po"</formula>
    </cfRule>
  </conditionalFormatting>
  <conditionalFormatting sqref="I544">
    <cfRule type="cellIs" dxfId="5294" priority="8467" operator="equal">
      <formula>"H"</formula>
    </cfRule>
  </conditionalFormatting>
  <conditionalFormatting sqref="J544">
    <cfRule type="cellIs" dxfId="5293" priority="8465" operator="equal">
      <formula>"Nem Heineken Költség"</formula>
    </cfRule>
  </conditionalFormatting>
  <conditionalFormatting sqref="J544">
    <cfRule type="cellIs" dxfId="5292" priority="8466" operator="equal">
      <formula>"Nincs Po"</formula>
    </cfRule>
  </conditionalFormatting>
  <conditionalFormatting sqref="K544">
    <cfRule type="cellIs" dxfId="5291" priority="8462" operator="equal">
      <formula>"Nem Heineken Költség"</formula>
    </cfRule>
    <cfRule type="cellIs" dxfId="5290" priority="8463" operator="equal">
      <formula>"Nincs Po"</formula>
    </cfRule>
  </conditionalFormatting>
  <conditionalFormatting sqref="I543">
    <cfRule type="cellIs" dxfId="5289" priority="8452" operator="equal">
      <formula>"H"</formula>
    </cfRule>
  </conditionalFormatting>
  <conditionalFormatting sqref="J543">
    <cfRule type="cellIs" dxfId="5288" priority="8450" operator="equal">
      <formula>"Nem Heineken Költség"</formula>
    </cfRule>
  </conditionalFormatting>
  <conditionalFormatting sqref="J543">
    <cfRule type="cellIs" dxfId="5287" priority="8451" operator="equal">
      <formula>"Nincs Po"</formula>
    </cfRule>
  </conditionalFormatting>
  <conditionalFormatting sqref="K543">
    <cfRule type="cellIs" dxfId="5286" priority="8447" operator="equal">
      <formula>"Nem Heineken Költség"</formula>
    </cfRule>
    <cfRule type="cellIs" dxfId="5285" priority="8448" operator="equal">
      <formula>"Nincs Po"</formula>
    </cfRule>
  </conditionalFormatting>
  <conditionalFormatting sqref="I542">
    <cfRule type="cellIs" dxfId="5284" priority="8437" operator="equal">
      <formula>"H"</formula>
    </cfRule>
  </conditionalFormatting>
  <conditionalFormatting sqref="J542">
    <cfRule type="cellIs" dxfId="5283" priority="8435" operator="equal">
      <formula>"Nem Heineken Költség"</formula>
    </cfRule>
  </conditionalFormatting>
  <conditionalFormatting sqref="J542">
    <cfRule type="cellIs" dxfId="5282" priority="8436" operator="equal">
      <formula>"Nincs Po"</formula>
    </cfRule>
  </conditionalFormatting>
  <conditionalFormatting sqref="K542">
    <cfRule type="cellIs" dxfId="5281" priority="8432" operator="equal">
      <formula>"Nem Heineken Költség"</formula>
    </cfRule>
    <cfRule type="cellIs" dxfId="5280" priority="8433" operator="equal">
      <formula>"Nincs Po"</formula>
    </cfRule>
  </conditionalFormatting>
  <conditionalFormatting sqref="I541">
    <cfRule type="cellIs" dxfId="5279" priority="8422" operator="equal">
      <formula>"H"</formula>
    </cfRule>
  </conditionalFormatting>
  <conditionalFormatting sqref="J541">
    <cfRule type="cellIs" dxfId="5278" priority="8420" operator="equal">
      <formula>"Nem Heineken Költség"</formula>
    </cfRule>
  </conditionalFormatting>
  <conditionalFormatting sqref="J541">
    <cfRule type="cellIs" dxfId="5277" priority="8421" operator="equal">
      <formula>"Nincs Po"</formula>
    </cfRule>
  </conditionalFormatting>
  <conditionalFormatting sqref="K541">
    <cfRule type="cellIs" dxfId="5276" priority="8417" operator="equal">
      <formula>"Nem Heineken Költség"</formula>
    </cfRule>
    <cfRule type="cellIs" dxfId="5275" priority="8418" operator="equal">
      <formula>"Nincs Po"</formula>
    </cfRule>
  </conditionalFormatting>
  <conditionalFormatting sqref="I540">
    <cfRule type="cellIs" dxfId="5274" priority="8407" operator="equal">
      <formula>"H"</formula>
    </cfRule>
  </conditionalFormatting>
  <conditionalFormatting sqref="J540">
    <cfRule type="cellIs" dxfId="5273" priority="8405" operator="equal">
      <formula>"Nem Heineken Költség"</formula>
    </cfRule>
  </conditionalFormatting>
  <conditionalFormatting sqref="J540">
    <cfRule type="cellIs" dxfId="5272" priority="8406" operator="equal">
      <formula>"Nincs Po"</formula>
    </cfRule>
  </conditionalFormatting>
  <conditionalFormatting sqref="K540">
    <cfRule type="cellIs" dxfId="5271" priority="8402" operator="equal">
      <formula>"Nem Heineken Költség"</formula>
    </cfRule>
    <cfRule type="cellIs" dxfId="5270" priority="8403" operator="equal">
      <formula>"Nincs Po"</formula>
    </cfRule>
  </conditionalFormatting>
  <conditionalFormatting sqref="I539">
    <cfRule type="cellIs" dxfId="5269" priority="8392" operator="equal">
      <formula>"H"</formula>
    </cfRule>
  </conditionalFormatting>
  <conditionalFormatting sqref="J539">
    <cfRule type="cellIs" dxfId="5268" priority="8390" operator="equal">
      <formula>"Nem Heineken Költség"</formula>
    </cfRule>
  </conditionalFormatting>
  <conditionalFormatting sqref="J539">
    <cfRule type="cellIs" dxfId="5267" priority="8391" operator="equal">
      <formula>"Nincs Po"</formula>
    </cfRule>
  </conditionalFormatting>
  <conditionalFormatting sqref="K539">
    <cfRule type="cellIs" dxfId="5266" priority="8387" operator="equal">
      <formula>"Nem Heineken Költség"</formula>
    </cfRule>
    <cfRule type="cellIs" dxfId="5265" priority="8388" operator="equal">
      <formula>"Nincs Po"</formula>
    </cfRule>
  </conditionalFormatting>
  <conditionalFormatting sqref="D517:D539">
    <cfRule type="cellIs" dxfId="5264" priority="8384" operator="equal">
      <formula>"Folyamatban"</formula>
    </cfRule>
    <cfRule type="cellIs" dxfId="5263" priority="8385" operator="equal">
      <formula>"Kész"</formula>
    </cfRule>
  </conditionalFormatting>
  <conditionalFormatting sqref="D540">
    <cfRule type="cellIs" dxfId="5262" priority="8380" operator="equal">
      <formula>"Folyamatban"</formula>
    </cfRule>
    <cfRule type="cellIs" dxfId="5261" priority="8381" operator="equal">
      <formula>"Kész"</formula>
    </cfRule>
  </conditionalFormatting>
  <conditionalFormatting sqref="D542">
    <cfRule type="cellIs" dxfId="5260" priority="8378" operator="equal">
      <formula>"Folyamatban"</formula>
    </cfRule>
    <cfRule type="cellIs" dxfId="5259" priority="8379" operator="equal">
      <formula>"Kész"</formula>
    </cfRule>
  </conditionalFormatting>
  <conditionalFormatting sqref="D543">
    <cfRule type="cellIs" dxfId="5258" priority="8376" operator="equal">
      <formula>"Folyamatban"</formula>
    </cfRule>
    <cfRule type="cellIs" dxfId="5257" priority="8377" operator="equal">
      <formula>"Kész"</formula>
    </cfRule>
  </conditionalFormatting>
  <conditionalFormatting sqref="D541">
    <cfRule type="cellIs" dxfId="5256" priority="8374" operator="equal">
      <formula>"Folyamatban"</formula>
    </cfRule>
    <cfRule type="cellIs" dxfId="5255" priority="8375" operator="equal">
      <formula>"Kész"</formula>
    </cfRule>
  </conditionalFormatting>
  <conditionalFormatting sqref="I538">
    <cfRule type="cellIs" dxfId="5254" priority="8365" operator="equal">
      <formula>"H"</formula>
    </cfRule>
  </conditionalFormatting>
  <conditionalFormatting sqref="J538">
    <cfRule type="cellIs" dxfId="5253" priority="8363" operator="equal">
      <formula>"Nem Heineken Költség"</formula>
    </cfRule>
  </conditionalFormatting>
  <conditionalFormatting sqref="J538">
    <cfRule type="cellIs" dxfId="5252" priority="8364" operator="equal">
      <formula>"Nincs Po"</formula>
    </cfRule>
  </conditionalFormatting>
  <conditionalFormatting sqref="K538">
    <cfRule type="cellIs" dxfId="5251" priority="8360" operator="equal">
      <formula>"Nem Heineken Költség"</formula>
    </cfRule>
    <cfRule type="cellIs" dxfId="5250" priority="8361" operator="equal">
      <formula>"Nincs Po"</formula>
    </cfRule>
  </conditionalFormatting>
  <conditionalFormatting sqref="I537">
    <cfRule type="cellIs" dxfId="5249" priority="8350" operator="equal">
      <formula>"H"</formula>
    </cfRule>
  </conditionalFormatting>
  <conditionalFormatting sqref="J537">
    <cfRule type="cellIs" dxfId="5248" priority="8348" operator="equal">
      <formula>"Nem Heineken Költség"</formula>
    </cfRule>
  </conditionalFormatting>
  <conditionalFormatting sqref="J537">
    <cfRule type="cellIs" dxfId="5247" priority="8349" operator="equal">
      <formula>"Nincs Po"</formula>
    </cfRule>
  </conditionalFormatting>
  <conditionalFormatting sqref="K537">
    <cfRule type="cellIs" dxfId="5246" priority="8345" operator="equal">
      <formula>"Nem Heineken Költség"</formula>
    </cfRule>
    <cfRule type="cellIs" dxfId="5245" priority="8346" operator="equal">
      <formula>"Nincs Po"</formula>
    </cfRule>
  </conditionalFormatting>
  <conditionalFormatting sqref="I536">
    <cfRule type="cellIs" dxfId="5244" priority="8335" operator="equal">
      <formula>"H"</formula>
    </cfRule>
  </conditionalFormatting>
  <conditionalFormatting sqref="J536">
    <cfRule type="cellIs" dxfId="5243" priority="8333" operator="equal">
      <formula>"Nem Heineken Költség"</formula>
    </cfRule>
  </conditionalFormatting>
  <conditionalFormatting sqref="J536">
    <cfRule type="cellIs" dxfId="5242" priority="8334" operator="equal">
      <formula>"Nincs Po"</formula>
    </cfRule>
  </conditionalFormatting>
  <conditionalFormatting sqref="K536">
    <cfRule type="cellIs" dxfId="5241" priority="8330" operator="equal">
      <formula>"Nem Heineken Költség"</formula>
    </cfRule>
    <cfRule type="cellIs" dxfId="5240" priority="8331" operator="equal">
      <formula>"Nincs Po"</formula>
    </cfRule>
  </conditionalFormatting>
  <conditionalFormatting sqref="I535">
    <cfRule type="cellIs" dxfId="5239" priority="8320" operator="equal">
      <formula>"H"</formula>
    </cfRule>
  </conditionalFormatting>
  <conditionalFormatting sqref="J535">
    <cfRule type="cellIs" dxfId="5238" priority="8318" operator="equal">
      <formula>"Nem Heineken Költség"</formula>
    </cfRule>
  </conditionalFormatting>
  <conditionalFormatting sqref="J535">
    <cfRule type="cellIs" dxfId="5237" priority="8319" operator="equal">
      <formula>"Nincs Po"</formula>
    </cfRule>
  </conditionalFormatting>
  <conditionalFormatting sqref="K535">
    <cfRule type="cellIs" dxfId="5236" priority="8315" operator="equal">
      <formula>"Nem Heineken Költség"</formula>
    </cfRule>
    <cfRule type="cellIs" dxfId="5235" priority="8316" operator="equal">
      <formula>"Nincs Po"</formula>
    </cfRule>
  </conditionalFormatting>
  <conditionalFormatting sqref="I534">
    <cfRule type="cellIs" dxfId="5234" priority="8305" operator="equal">
      <formula>"H"</formula>
    </cfRule>
  </conditionalFormatting>
  <conditionalFormatting sqref="J534">
    <cfRule type="cellIs" dxfId="5233" priority="8303" operator="equal">
      <formula>"Nem Heineken Költség"</formula>
    </cfRule>
  </conditionalFormatting>
  <conditionalFormatting sqref="J534">
    <cfRule type="cellIs" dxfId="5232" priority="8304" operator="equal">
      <formula>"Nincs Po"</formula>
    </cfRule>
  </conditionalFormatting>
  <conditionalFormatting sqref="K534">
    <cfRule type="cellIs" dxfId="5231" priority="8300" operator="equal">
      <formula>"Nem Heineken Költség"</formula>
    </cfRule>
    <cfRule type="cellIs" dxfId="5230" priority="8301" operator="equal">
      <formula>"Nincs Po"</formula>
    </cfRule>
  </conditionalFormatting>
  <conditionalFormatting sqref="I533">
    <cfRule type="cellIs" dxfId="5229" priority="8290" operator="equal">
      <formula>"H"</formula>
    </cfRule>
  </conditionalFormatting>
  <conditionalFormatting sqref="J533">
    <cfRule type="cellIs" dxfId="5228" priority="8288" operator="equal">
      <formula>"Nem Heineken Költség"</formula>
    </cfRule>
  </conditionalFormatting>
  <conditionalFormatting sqref="J533">
    <cfRule type="cellIs" dxfId="5227" priority="8289" operator="equal">
      <formula>"Nincs Po"</formula>
    </cfRule>
  </conditionalFormatting>
  <conditionalFormatting sqref="K533">
    <cfRule type="cellIs" dxfId="5226" priority="8285" operator="equal">
      <formula>"Nem Heineken Költség"</formula>
    </cfRule>
    <cfRule type="cellIs" dxfId="5225" priority="8286" operator="equal">
      <formula>"Nincs Po"</formula>
    </cfRule>
  </conditionalFormatting>
  <conditionalFormatting sqref="I532">
    <cfRule type="cellIs" dxfId="5224" priority="8275" operator="equal">
      <formula>"H"</formula>
    </cfRule>
  </conditionalFormatting>
  <conditionalFormatting sqref="J532">
    <cfRule type="cellIs" dxfId="5223" priority="8273" operator="equal">
      <formula>"Nem Heineken Költség"</formula>
    </cfRule>
  </conditionalFormatting>
  <conditionalFormatting sqref="J532">
    <cfRule type="cellIs" dxfId="5222" priority="8274" operator="equal">
      <formula>"Nincs Po"</formula>
    </cfRule>
  </conditionalFormatting>
  <conditionalFormatting sqref="K532">
    <cfRule type="cellIs" dxfId="5221" priority="8270" operator="equal">
      <formula>"Nem Heineken Költség"</formula>
    </cfRule>
    <cfRule type="cellIs" dxfId="5220" priority="8271" operator="equal">
      <formula>"Nincs Po"</formula>
    </cfRule>
  </conditionalFormatting>
  <conditionalFormatting sqref="I531">
    <cfRule type="cellIs" dxfId="5219" priority="8260" operator="equal">
      <formula>"H"</formula>
    </cfRule>
  </conditionalFormatting>
  <conditionalFormatting sqref="J531">
    <cfRule type="cellIs" dxfId="5218" priority="8258" operator="equal">
      <formula>"Nem Heineken Költség"</formula>
    </cfRule>
  </conditionalFormatting>
  <conditionalFormatting sqref="J531">
    <cfRule type="cellIs" dxfId="5217" priority="8259" operator="equal">
      <formula>"Nincs Po"</formula>
    </cfRule>
  </conditionalFormatting>
  <conditionalFormatting sqref="K531">
    <cfRule type="cellIs" dxfId="5216" priority="8255" operator="equal">
      <formula>"Nem Heineken Költség"</formula>
    </cfRule>
    <cfRule type="cellIs" dxfId="5215" priority="8256" operator="equal">
      <formula>"Nincs Po"</formula>
    </cfRule>
  </conditionalFormatting>
  <conditionalFormatting sqref="I530">
    <cfRule type="cellIs" dxfId="5214" priority="8245" operator="equal">
      <formula>"H"</formula>
    </cfRule>
  </conditionalFormatting>
  <conditionalFormatting sqref="J530">
    <cfRule type="cellIs" dxfId="5213" priority="8243" operator="equal">
      <formula>"Nem Heineken Költség"</formula>
    </cfRule>
  </conditionalFormatting>
  <conditionalFormatting sqref="J530">
    <cfRule type="cellIs" dxfId="5212" priority="8244" operator="equal">
      <formula>"Nincs Po"</formula>
    </cfRule>
  </conditionalFormatting>
  <conditionalFormatting sqref="K530">
    <cfRule type="cellIs" dxfId="5211" priority="8240" operator="equal">
      <formula>"Nem Heineken Költség"</formula>
    </cfRule>
    <cfRule type="cellIs" dxfId="5210" priority="8241" operator="equal">
      <formula>"Nincs Po"</formula>
    </cfRule>
  </conditionalFormatting>
  <conditionalFormatting sqref="I529">
    <cfRule type="cellIs" dxfId="5209" priority="8230" operator="equal">
      <formula>"H"</formula>
    </cfRule>
  </conditionalFormatting>
  <conditionalFormatting sqref="J529">
    <cfRule type="cellIs" dxfId="5208" priority="8228" operator="equal">
      <formula>"Nem Heineken Költség"</formula>
    </cfRule>
  </conditionalFormatting>
  <conditionalFormatting sqref="J529">
    <cfRule type="cellIs" dxfId="5207" priority="8229" operator="equal">
      <formula>"Nincs Po"</formula>
    </cfRule>
  </conditionalFormatting>
  <conditionalFormatting sqref="K529">
    <cfRule type="cellIs" dxfId="5206" priority="8225" operator="equal">
      <formula>"Nem Heineken Költség"</formula>
    </cfRule>
    <cfRule type="cellIs" dxfId="5205" priority="8226" operator="equal">
      <formula>"Nincs Po"</formula>
    </cfRule>
  </conditionalFormatting>
  <conditionalFormatting sqref="I528">
    <cfRule type="cellIs" dxfId="5204" priority="8215" operator="equal">
      <formula>"H"</formula>
    </cfRule>
  </conditionalFormatting>
  <conditionalFormatting sqref="J528">
    <cfRule type="cellIs" dxfId="5203" priority="8213" operator="equal">
      <formula>"Nem Heineken Költség"</formula>
    </cfRule>
  </conditionalFormatting>
  <conditionalFormatting sqref="J528">
    <cfRule type="cellIs" dxfId="5202" priority="8214" operator="equal">
      <formula>"Nincs Po"</formula>
    </cfRule>
  </conditionalFormatting>
  <conditionalFormatting sqref="K528">
    <cfRule type="cellIs" dxfId="5201" priority="8210" operator="equal">
      <formula>"Nem Heineken Költség"</formula>
    </cfRule>
    <cfRule type="cellIs" dxfId="5200" priority="8211" operator="equal">
      <formula>"Nincs Po"</formula>
    </cfRule>
  </conditionalFormatting>
  <conditionalFormatting sqref="I527">
    <cfRule type="cellIs" dxfId="5199" priority="8200" operator="equal">
      <formula>"H"</formula>
    </cfRule>
  </conditionalFormatting>
  <conditionalFormatting sqref="J527">
    <cfRule type="cellIs" dxfId="5198" priority="8198" operator="equal">
      <formula>"Nem Heineken Költség"</formula>
    </cfRule>
  </conditionalFormatting>
  <conditionalFormatting sqref="J527">
    <cfRule type="cellIs" dxfId="5197" priority="8199" operator="equal">
      <formula>"Nincs Po"</formula>
    </cfRule>
  </conditionalFormatting>
  <conditionalFormatting sqref="K527">
    <cfRule type="cellIs" dxfId="5196" priority="8195" operator="equal">
      <formula>"Nem Heineken Költség"</formula>
    </cfRule>
    <cfRule type="cellIs" dxfId="5195" priority="8196" operator="equal">
      <formula>"Nincs Po"</formula>
    </cfRule>
  </conditionalFormatting>
  <conditionalFormatting sqref="I526">
    <cfRule type="cellIs" dxfId="5194" priority="8185" operator="equal">
      <formula>"H"</formula>
    </cfRule>
  </conditionalFormatting>
  <conditionalFormatting sqref="J526">
    <cfRule type="cellIs" dxfId="5193" priority="8183" operator="equal">
      <formula>"Nem Heineken Költség"</formula>
    </cfRule>
  </conditionalFormatting>
  <conditionalFormatting sqref="J526">
    <cfRule type="cellIs" dxfId="5192" priority="8184" operator="equal">
      <formula>"Nincs Po"</formula>
    </cfRule>
  </conditionalFormatting>
  <conditionalFormatting sqref="K526">
    <cfRule type="cellIs" dxfId="5191" priority="8180" operator="equal">
      <formula>"Nem Heineken Költség"</formula>
    </cfRule>
    <cfRule type="cellIs" dxfId="5190" priority="8181" operator="equal">
      <formula>"Nincs Po"</formula>
    </cfRule>
  </conditionalFormatting>
  <conditionalFormatting sqref="I525">
    <cfRule type="cellIs" dxfId="5189" priority="8170" operator="equal">
      <formula>"H"</formula>
    </cfRule>
  </conditionalFormatting>
  <conditionalFormatting sqref="J525">
    <cfRule type="cellIs" dxfId="5188" priority="8168" operator="equal">
      <formula>"Nem Heineken Költség"</formula>
    </cfRule>
  </conditionalFormatting>
  <conditionalFormatting sqref="J525">
    <cfRule type="cellIs" dxfId="5187" priority="8169" operator="equal">
      <formula>"Nincs Po"</formula>
    </cfRule>
  </conditionalFormatting>
  <conditionalFormatting sqref="K525">
    <cfRule type="cellIs" dxfId="5186" priority="8165" operator="equal">
      <formula>"Nem Heineken Költség"</formula>
    </cfRule>
    <cfRule type="cellIs" dxfId="5185" priority="8166" operator="equal">
      <formula>"Nincs Po"</formula>
    </cfRule>
  </conditionalFormatting>
  <conditionalFormatting sqref="I524">
    <cfRule type="cellIs" dxfId="5184" priority="8155" operator="equal">
      <formula>"H"</formula>
    </cfRule>
  </conditionalFormatting>
  <conditionalFormatting sqref="J524">
    <cfRule type="cellIs" dxfId="5183" priority="8153" operator="equal">
      <formula>"Nem Heineken Költség"</formula>
    </cfRule>
  </conditionalFormatting>
  <conditionalFormatting sqref="J524">
    <cfRule type="cellIs" dxfId="5182" priority="8154" operator="equal">
      <formula>"Nincs Po"</formula>
    </cfRule>
  </conditionalFormatting>
  <conditionalFormatting sqref="K524">
    <cfRule type="cellIs" dxfId="5181" priority="8150" operator="equal">
      <formula>"Nem Heineken Költség"</formula>
    </cfRule>
    <cfRule type="cellIs" dxfId="5180" priority="8151" operator="equal">
      <formula>"Nincs Po"</formula>
    </cfRule>
  </conditionalFormatting>
  <conditionalFormatting sqref="I523">
    <cfRule type="cellIs" dxfId="5179" priority="8140" operator="equal">
      <formula>"H"</formula>
    </cfRule>
  </conditionalFormatting>
  <conditionalFormatting sqref="J523">
    <cfRule type="cellIs" dxfId="5178" priority="8138" operator="equal">
      <formula>"Nem Heineken Költség"</formula>
    </cfRule>
  </conditionalFormatting>
  <conditionalFormatting sqref="J523">
    <cfRule type="cellIs" dxfId="5177" priority="8139" operator="equal">
      <formula>"Nincs Po"</formula>
    </cfRule>
  </conditionalFormatting>
  <conditionalFormatting sqref="K523">
    <cfRule type="cellIs" dxfId="5176" priority="8135" operator="equal">
      <formula>"Nem Heineken Költség"</formula>
    </cfRule>
    <cfRule type="cellIs" dxfId="5175" priority="8136" operator="equal">
      <formula>"Nincs Po"</formula>
    </cfRule>
  </conditionalFormatting>
  <conditionalFormatting sqref="I522">
    <cfRule type="cellIs" dxfId="5174" priority="8125" operator="equal">
      <formula>"H"</formula>
    </cfRule>
  </conditionalFormatting>
  <conditionalFormatting sqref="J522">
    <cfRule type="cellIs" dxfId="5173" priority="8123" operator="equal">
      <formula>"Nem Heineken Költség"</formula>
    </cfRule>
  </conditionalFormatting>
  <conditionalFormatting sqref="J522">
    <cfRule type="cellIs" dxfId="5172" priority="8124" operator="equal">
      <formula>"Nincs Po"</formula>
    </cfRule>
  </conditionalFormatting>
  <conditionalFormatting sqref="K522">
    <cfRule type="cellIs" dxfId="5171" priority="8120" operator="equal">
      <formula>"Nem Heineken Költség"</formula>
    </cfRule>
    <cfRule type="cellIs" dxfId="5170" priority="8121" operator="equal">
      <formula>"Nincs Po"</formula>
    </cfRule>
  </conditionalFormatting>
  <conditionalFormatting sqref="I521">
    <cfRule type="cellIs" dxfId="5169" priority="8110" operator="equal">
      <formula>"H"</formula>
    </cfRule>
  </conditionalFormatting>
  <conditionalFormatting sqref="J521">
    <cfRule type="cellIs" dxfId="5168" priority="8108" operator="equal">
      <formula>"Nem Heineken Költség"</formula>
    </cfRule>
  </conditionalFormatting>
  <conditionalFormatting sqref="J521">
    <cfRule type="cellIs" dxfId="5167" priority="8109" operator="equal">
      <formula>"Nincs Po"</formula>
    </cfRule>
  </conditionalFormatting>
  <conditionalFormatting sqref="K521">
    <cfRule type="cellIs" dxfId="5166" priority="8105" operator="equal">
      <formula>"Nem Heineken Költség"</formula>
    </cfRule>
    <cfRule type="cellIs" dxfId="5165" priority="8106" operator="equal">
      <formula>"Nincs Po"</formula>
    </cfRule>
  </conditionalFormatting>
  <conditionalFormatting sqref="I520">
    <cfRule type="cellIs" dxfId="5164" priority="8095" operator="equal">
      <formula>"H"</formula>
    </cfRule>
  </conditionalFormatting>
  <conditionalFormatting sqref="J520">
    <cfRule type="cellIs" dxfId="5163" priority="8093" operator="equal">
      <formula>"Nem Heineken Költség"</formula>
    </cfRule>
  </conditionalFormatting>
  <conditionalFormatting sqref="J520">
    <cfRule type="cellIs" dxfId="5162" priority="8094" operator="equal">
      <formula>"Nincs Po"</formula>
    </cfRule>
  </conditionalFormatting>
  <conditionalFormatting sqref="K520">
    <cfRule type="cellIs" dxfId="5161" priority="8090" operator="equal">
      <formula>"Nem Heineken Költség"</formula>
    </cfRule>
    <cfRule type="cellIs" dxfId="5160" priority="8091" operator="equal">
      <formula>"Nincs Po"</formula>
    </cfRule>
  </conditionalFormatting>
  <conditionalFormatting sqref="I519">
    <cfRule type="cellIs" dxfId="5159" priority="8080" operator="equal">
      <formula>"H"</formula>
    </cfRule>
  </conditionalFormatting>
  <conditionalFormatting sqref="J519">
    <cfRule type="cellIs" dxfId="5158" priority="8078" operator="equal">
      <formula>"Nem Heineken Költség"</formula>
    </cfRule>
  </conditionalFormatting>
  <conditionalFormatting sqref="J519">
    <cfRule type="cellIs" dxfId="5157" priority="8079" operator="equal">
      <formula>"Nincs Po"</formula>
    </cfRule>
  </conditionalFormatting>
  <conditionalFormatting sqref="K519">
    <cfRule type="cellIs" dxfId="5156" priority="8075" operator="equal">
      <formula>"Nem Heineken Költség"</formula>
    </cfRule>
    <cfRule type="cellIs" dxfId="5155" priority="8076" operator="equal">
      <formula>"Nincs Po"</formula>
    </cfRule>
  </conditionalFormatting>
  <conditionalFormatting sqref="I518">
    <cfRule type="cellIs" dxfId="5154" priority="8065" operator="equal">
      <formula>"H"</formula>
    </cfRule>
  </conditionalFormatting>
  <conditionalFormatting sqref="J518">
    <cfRule type="cellIs" dxfId="5153" priority="8063" operator="equal">
      <formula>"Nem Heineken Költség"</formula>
    </cfRule>
  </conditionalFormatting>
  <conditionalFormatting sqref="J518">
    <cfRule type="cellIs" dxfId="5152" priority="8064" operator="equal">
      <formula>"Nincs Po"</formula>
    </cfRule>
  </conditionalFormatting>
  <conditionalFormatting sqref="K518">
    <cfRule type="cellIs" dxfId="5151" priority="8060" operator="equal">
      <formula>"Nem Heineken Költség"</formula>
    </cfRule>
    <cfRule type="cellIs" dxfId="5150" priority="8061" operator="equal">
      <formula>"Nincs Po"</formula>
    </cfRule>
  </conditionalFormatting>
  <conditionalFormatting sqref="I517">
    <cfRule type="cellIs" dxfId="5149" priority="8050" operator="equal">
      <formula>"H"</formula>
    </cfRule>
  </conditionalFormatting>
  <conditionalFormatting sqref="J517">
    <cfRule type="cellIs" dxfId="5148" priority="8048" operator="equal">
      <formula>"Nem Heineken Költség"</formula>
    </cfRule>
  </conditionalFormatting>
  <conditionalFormatting sqref="J517">
    <cfRule type="cellIs" dxfId="5147" priority="8049" operator="equal">
      <formula>"Nincs Po"</formula>
    </cfRule>
  </conditionalFormatting>
  <conditionalFormatting sqref="K517">
    <cfRule type="cellIs" dxfId="5146" priority="8045" operator="equal">
      <formula>"Nem Heineken Költség"</formula>
    </cfRule>
    <cfRule type="cellIs" dxfId="5145" priority="8046" operator="equal">
      <formula>"Nincs Po"</formula>
    </cfRule>
  </conditionalFormatting>
  <conditionalFormatting sqref="D476:D516">
    <cfRule type="cellIs" dxfId="5144" priority="8042" operator="equal">
      <formula>"Folyamatban"</formula>
    </cfRule>
    <cfRule type="cellIs" dxfId="5143" priority="8043" operator="equal">
      <formula>"Kész"</formula>
    </cfRule>
  </conditionalFormatting>
  <conditionalFormatting sqref="I516">
    <cfRule type="cellIs" dxfId="5142" priority="8035" operator="equal">
      <formula>"H"</formula>
    </cfRule>
  </conditionalFormatting>
  <conditionalFormatting sqref="J516">
    <cfRule type="cellIs" dxfId="5141" priority="8033" operator="equal">
      <formula>"Nem Heineken Költség"</formula>
    </cfRule>
  </conditionalFormatting>
  <conditionalFormatting sqref="J516">
    <cfRule type="cellIs" dxfId="5140" priority="8034" operator="equal">
      <formula>"Nincs Po"</formula>
    </cfRule>
  </conditionalFormatting>
  <conditionalFormatting sqref="K516">
    <cfRule type="cellIs" dxfId="5139" priority="8030" operator="equal">
      <formula>"Nem Heineken Költség"</formula>
    </cfRule>
    <cfRule type="cellIs" dxfId="5138" priority="8031" operator="equal">
      <formula>"Nincs Po"</formula>
    </cfRule>
  </conditionalFormatting>
  <conditionalFormatting sqref="I515">
    <cfRule type="cellIs" dxfId="5137" priority="8020" operator="equal">
      <formula>"H"</formula>
    </cfRule>
  </conditionalFormatting>
  <conditionalFormatting sqref="J515">
    <cfRule type="cellIs" dxfId="5136" priority="8018" operator="equal">
      <formula>"Nem Heineken Költség"</formula>
    </cfRule>
  </conditionalFormatting>
  <conditionalFormatting sqref="J515">
    <cfRule type="cellIs" dxfId="5135" priority="8019" operator="equal">
      <formula>"Nincs Po"</formula>
    </cfRule>
  </conditionalFormatting>
  <conditionalFormatting sqref="K515">
    <cfRule type="cellIs" dxfId="5134" priority="8015" operator="equal">
      <formula>"Nem Heineken Költség"</formula>
    </cfRule>
    <cfRule type="cellIs" dxfId="5133" priority="8016" operator="equal">
      <formula>"Nincs Po"</formula>
    </cfRule>
  </conditionalFormatting>
  <conditionalFormatting sqref="I514">
    <cfRule type="cellIs" dxfId="5132" priority="8005" operator="equal">
      <formula>"H"</formula>
    </cfRule>
  </conditionalFormatting>
  <conditionalFormatting sqref="J514">
    <cfRule type="cellIs" dxfId="5131" priority="8003" operator="equal">
      <formula>"Nem Heineken Költség"</formula>
    </cfRule>
  </conditionalFormatting>
  <conditionalFormatting sqref="J514">
    <cfRule type="cellIs" dxfId="5130" priority="8004" operator="equal">
      <formula>"Nincs Po"</formula>
    </cfRule>
  </conditionalFormatting>
  <conditionalFormatting sqref="K514">
    <cfRule type="cellIs" dxfId="5129" priority="8000" operator="equal">
      <formula>"Nem Heineken Költség"</formula>
    </cfRule>
    <cfRule type="cellIs" dxfId="5128" priority="8001" operator="equal">
      <formula>"Nincs Po"</formula>
    </cfRule>
  </conditionalFormatting>
  <conditionalFormatting sqref="I513">
    <cfRule type="cellIs" dxfId="5127" priority="7990" operator="equal">
      <formula>"H"</formula>
    </cfRule>
  </conditionalFormatting>
  <conditionalFormatting sqref="J513">
    <cfRule type="cellIs" dxfId="5126" priority="7988" operator="equal">
      <formula>"Nem Heineken Költség"</formula>
    </cfRule>
  </conditionalFormatting>
  <conditionalFormatting sqref="J513">
    <cfRule type="cellIs" dxfId="5125" priority="7989" operator="equal">
      <formula>"Nincs Po"</formula>
    </cfRule>
  </conditionalFormatting>
  <conditionalFormatting sqref="K513">
    <cfRule type="cellIs" dxfId="5124" priority="7985" operator="equal">
      <formula>"Nem Heineken Költség"</formula>
    </cfRule>
    <cfRule type="cellIs" dxfId="5123" priority="7986" operator="equal">
      <formula>"Nincs Po"</formula>
    </cfRule>
  </conditionalFormatting>
  <conditionalFormatting sqref="I512">
    <cfRule type="cellIs" dxfId="5122" priority="7975" operator="equal">
      <formula>"H"</formula>
    </cfRule>
  </conditionalFormatting>
  <conditionalFormatting sqref="J512">
    <cfRule type="cellIs" dxfId="5121" priority="7973" operator="equal">
      <formula>"Nem Heineken Költség"</formula>
    </cfRule>
  </conditionalFormatting>
  <conditionalFormatting sqref="J512">
    <cfRule type="cellIs" dxfId="5120" priority="7974" operator="equal">
      <formula>"Nincs Po"</formula>
    </cfRule>
  </conditionalFormatting>
  <conditionalFormatting sqref="K512">
    <cfRule type="cellIs" dxfId="5119" priority="7970" operator="equal">
      <formula>"Nem Heineken Költség"</formula>
    </cfRule>
    <cfRule type="cellIs" dxfId="5118" priority="7971" operator="equal">
      <formula>"Nincs Po"</formula>
    </cfRule>
  </conditionalFormatting>
  <conditionalFormatting sqref="I511">
    <cfRule type="cellIs" dxfId="5117" priority="7960" operator="equal">
      <formula>"H"</formula>
    </cfRule>
  </conditionalFormatting>
  <conditionalFormatting sqref="J511">
    <cfRule type="cellIs" dxfId="5116" priority="7958" operator="equal">
      <formula>"Nem Heineken Költség"</formula>
    </cfRule>
  </conditionalFormatting>
  <conditionalFormatting sqref="J511">
    <cfRule type="cellIs" dxfId="5115" priority="7959" operator="equal">
      <formula>"Nincs Po"</formula>
    </cfRule>
  </conditionalFormatting>
  <conditionalFormatting sqref="K511">
    <cfRule type="cellIs" dxfId="5114" priority="7955" operator="equal">
      <formula>"Nem Heineken Költség"</formula>
    </cfRule>
    <cfRule type="cellIs" dxfId="5113" priority="7956" operator="equal">
      <formula>"Nincs Po"</formula>
    </cfRule>
  </conditionalFormatting>
  <conditionalFormatting sqref="I510">
    <cfRule type="cellIs" dxfId="5112" priority="7945" operator="equal">
      <formula>"H"</formula>
    </cfRule>
  </conditionalFormatting>
  <conditionalFormatting sqref="J510">
    <cfRule type="cellIs" dxfId="5111" priority="7943" operator="equal">
      <formula>"Nem Heineken Költség"</formula>
    </cfRule>
  </conditionalFormatting>
  <conditionalFormatting sqref="J510">
    <cfRule type="cellIs" dxfId="5110" priority="7944" operator="equal">
      <formula>"Nincs Po"</formula>
    </cfRule>
  </conditionalFormatting>
  <conditionalFormatting sqref="K510">
    <cfRule type="cellIs" dxfId="5109" priority="7940" operator="equal">
      <formula>"Nem Heineken Költség"</formula>
    </cfRule>
    <cfRule type="cellIs" dxfId="5108" priority="7941" operator="equal">
      <formula>"Nincs Po"</formula>
    </cfRule>
  </conditionalFormatting>
  <conditionalFormatting sqref="I509">
    <cfRule type="cellIs" dxfId="5107" priority="7930" operator="equal">
      <formula>"H"</formula>
    </cfRule>
  </conditionalFormatting>
  <conditionalFormatting sqref="J509">
    <cfRule type="cellIs" dxfId="5106" priority="7928" operator="equal">
      <formula>"Nem Heineken Költség"</formula>
    </cfRule>
  </conditionalFormatting>
  <conditionalFormatting sqref="J509">
    <cfRule type="cellIs" dxfId="5105" priority="7929" operator="equal">
      <formula>"Nincs Po"</formula>
    </cfRule>
  </conditionalFormatting>
  <conditionalFormatting sqref="K509">
    <cfRule type="cellIs" dxfId="5104" priority="7925" operator="equal">
      <formula>"Nem Heineken Költség"</formula>
    </cfRule>
    <cfRule type="cellIs" dxfId="5103" priority="7926" operator="equal">
      <formula>"Nincs Po"</formula>
    </cfRule>
  </conditionalFormatting>
  <conditionalFormatting sqref="I508">
    <cfRule type="cellIs" dxfId="5102" priority="7915" operator="equal">
      <formula>"H"</formula>
    </cfRule>
  </conditionalFormatting>
  <conditionalFormatting sqref="J508">
    <cfRule type="cellIs" dxfId="5101" priority="7913" operator="equal">
      <formula>"Nem Heineken Költség"</formula>
    </cfRule>
  </conditionalFormatting>
  <conditionalFormatting sqref="J508">
    <cfRule type="cellIs" dxfId="5100" priority="7914" operator="equal">
      <formula>"Nincs Po"</formula>
    </cfRule>
  </conditionalFormatting>
  <conditionalFormatting sqref="K508">
    <cfRule type="cellIs" dxfId="5099" priority="7910" operator="equal">
      <formula>"Nem Heineken Költség"</formula>
    </cfRule>
    <cfRule type="cellIs" dxfId="5098" priority="7911" operator="equal">
      <formula>"Nincs Po"</formula>
    </cfRule>
  </conditionalFormatting>
  <conditionalFormatting sqref="I507">
    <cfRule type="cellIs" dxfId="5097" priority="7900" operator="equal">
      <formula>"H"</formula>
    </cfRule>
  </conditionalFormatting>
  <conditionalFormatting sqref="J507">
    <cfRule type="cellIs" dxfId="5096" priority="7898" operator="equal">
      <formula>"Nem Heineken Költség"</formula>
    </cfRule>
  </conditionalFormatting>
  <conditionalFormatting sqref="J507">
    <cfRule type="cellIs" dxfId="5095" priority="7899" operator="equal">
      <formula>"Nincs Po"</formula>
    </cfRule>
  </conditionalFormatting>
  <conditionalFormatting sqref="K507">
    <cfRule type="cellIs" dxfId="5094" priority="7895" operator="equal">
      <formula>"Nem Heineken Költség"</formula>
    </cfRule>
    <cfRule type="cellIs" dxfId="5093" priority="7896" operator="equal">
      <formula>"Nincs Po"</formula>
    </cfRule>
  </conditionalFormatting>
  <conditionalFormatting sqref="I506">
    <cfRule type="cellIs" dxfId="5092" priority="7885" operator="equal">
      <formula>"H"</formula>
    </cfRule>
  </conditionalFormatting>
  <conditionalFormatting sqref="J506">
    <cfRule type="cellIs" dxfId="5091" priority="7883" operator="equal">
      <formula>"Nem Heineken Költség"</formula>
    </cfRule>
  </conditionalFormatting>
  <conditionalFormatting sqref="J506">
    <cfRule type="cellIs" dxfId="5090" priority="7884" operator="equal">
      <formula>"Nincs Po"</formula>
    </cfRule>
  </conditionalFormatting>
  <conditionalFormatting sqref="K506">
    <cfRule type="cellIs" dxfId="5089" priority="7880" operator="equal">
      <formula>"Nem Heineken Költség"</formula>
    </cfRule>
    <cfRule type="cellIs" dxfId="5088" priority="7881" operator="equal">
      <formula>"Nincs Po"</formula>
    </cfRule>
  </conditionalFormatting>
  <conditionalFormatting sqref="I505">
    <cfRule type="cellIs" dxfId="5087" priority="7870" operator="equal">
      <formula>"H"</formula>
    </cfRule>
  </conditionalFormatting>
  <conditionalFormatting sqref="J505">
    <cfRule type="cellIs" dxfId="5086" priority="7868" operator="equal">
      <formula>"Nem Heineken Költség"</formula>
    </cfRule>
  </conditionalFormatting>
  <conditionalFormatting sqref="J505">
    <cfRule type="cellIs" dxfId="5085" priority="7869" operator="equal">
      <formula>"Nincs Po"</formula>
    </cfRule>
  </conditionalFormatting>
  <conditionalFormatting sqref="K505">
    <cfRule type="cellIs" dxfId="5084" priority="7865" operator="equal">
      <formula>"Nem Heineken Költség"</formula>
    </cfRule>
    <cfRule type="cellIs" dxfId="5083" priority="7866" operator="equal">
      <formula>"Nincs Po"</formula>
    </cfRule>
  </conditionalFormatting>
  <conditionalFormatting sqref="I504">
    <cfRule type="cellIs" dxfId="5082" priority="7855" operator="equal">
      <formula>"H"</formula>
    </cfRule>
  </conditionalFormatting>
  <conditionalFormatting sqref="J504">
    <cfRule type="cellIs" dxfId="5081" priority="7853" operator="equal">
      <formula>"Nem Heineken Költség"</formula>
    </cfRule>
  </conditionalFormatting>
  <conditionalFormatting sqref="J504">
    <cfRule type="cellIs" dxfId="5080" priority="7854" operator="equal">
      <formula>"Nincs Po"</formula>
    </cfRule>
  </conditionalFormatting>
  <conditionalFormatting sqref="K504">
    <cfRule type="cellIs" dxfId="5079" priority="7850" operator="equal">
      <formula>"Nem Heineken Költség"</formula>
    </cfRule>
    <cfRule type="cellIs" dxfId="5078" priority="7851" operator="equal">
      <formula>"Nincs Po"</formula>
    </cfRule>
  </conditionalFormatting>
  <conditionalFormatting sqref="I503">
    <cfRule type="cellIs" dxfId="5077" priority="7840" operator="equal">
      <formula>"H"</formula>
    </cfRule>
  </conditionalFormatting>
  <conditionalFormatting sqref="J503">
    <cfRule type="cellIs" dxfId="5076" priority="7838" operator="equal">
      <formula>"Nem Heineken Költség"</formula>
    </cfRule>
  </conditionalFormatting>
  <conditionalFormatting sqref="J503">
    <cfRule type="cellIs" dxfId="5075" priority="7839" operator="equal">
      <formula>"Nincs Po"</formula>
    </cfRule>
  </conditionalFormatting>
  <conditionalFormatting sqref="K503">
    <cfRule type="cellIs" dxfId="5074" priority="7835" operator="equal">
      <formula>"Nem Heineken Költség"</formula>
    </cfRule>
    <cfRule type="cellIs" dxfId="5073" priority="7836" operator="equal">
      <formula>"Nincs Po"</formula>
    </cfRule>
  </conditionalFormatting>
  <conditionalFormatting sqref="I502">
    <cfRule type="cellIs" dxfId="5072" priority="7825" operator="equal">
      <formula>"H"</formula>
    </cfRule>
  </conditionalFormatting>
  <conditionalFormatting sqref="J502">
    <cfRule type="cellIs" dxfId="5071" priority="7823" operator="equal">
      <formula>"Nem Heineken Költség"</formula>
    </cfRule>
  </conditionalFormatting>
  <conditionalFormatting sqref="J502">
    <cfRule type="cellIs" dxfId="5070" priority="7824" operator="equal">
      <formula>"Nincs Po"</formula>
    </cfRule>
  </conditionalFormatting>
  <conditionalFormatting sqref="K502">
    <cfRule type="cellIs" dxfId="5069" priority="7820" operator="equal">
      <formula>"Nem Heineken Költség"</formula>
    </cfRule>
    <cfRule type="cellIs" dxfId="5068" priority="7821" operator="equal">
      <formula>"Nincs Po"</formula>
    </cfRule>
  </conditionalFormatting>
  <conditionalFormatting sqref="I501">
    <cfRule type="cellIs" dxfId="5067" priority="7810" operator="equal">
      <formula>"H"</formula>
    </cfRule>
  </conditionalFormatting>
  <conditionalFormatting sqref="J501">
    <cfRule type="cellIs" dxfId="5066" priority="7808" operator="equal">
      <formula>"Nem Heineken Költség"</formula>
    </cfRule>
  </conditionalFormatting>
  <conditionalFormatting sqref="J501">
    <cfRule type="cellIs" dxfId="5065" priority="7809" operator="equal">
      <formula>"Nincs Po"</formula>
    </cfRule>
  </conditionalFormatting>
  <conditionalFormatting sqref="K501">
    <cfRule type="cellIs" dxfId="5064" priority="7805" operator="equal">
      <formula>"Nem Heineken Költség"</formula>
    </cfRule>
    <cfRule type="cellIs" dxfId="5063" priority="7806" operator="equal">
      <formula>"Nincs Po"</formula>
    </cfRule>
  </conditionalFormatting>
  <conditionalFormatting sqref="I500">
    <cfRule type="cellIs" dxfId="5062" priority="7795" operator="equal">
      <formula>"H"</formula>
    </cfRule>
  </conditionalFormatting>
  <conditionalFormatting sqref="J500">
    <cfRule type="cellIs" dxfId="5061" priority="7793" operator="equal">
      <formula>"Nem Heineken Költség"</formula>
    </cfRule>
  </conditionalFormatting>
  <conditionalFormatting sqref="J500">
    <cfRule type="cellIs" dxfId="5060" priority="7794" operator="equal">
      <formula>"Nincs Po"</formula>
    </cfRule>
  </conditionalFormatting>
  <conditionalFormatting sqref="K500">
    <cfRule type="cellIs" dxfId="5059" priority="7790" operator="equal">
      <formula>"Nem Heineken Költség"</formula>
    </cfRule>
    <cfRule type="cellIs" dxfId="5058" priority="7791" operator="equal">
      <formula>"Nincs Po"</formula>
    </cfRule>
  </conditionalFormatting>
  <conditionalFormatting sqref="I499">
    <cfRule type="cellIs" dxfId="5057" priority="7780" operator="equal">
      <formula>"H"</formula>
    </cfRule>
  </conditionalFormatting>
  <conditionalFormatting sqref="J499">
    <cfRule type="cellIs" dxfId="5056" priority="7778" operator="equal">
      <formula>"Nem Heineken Költség"</formula>
    </cfRule>
  </conditionalFormatting>
  <conditionalFormatting sqref="J499">
    <cfRule type="cellIs" dxfId="5055" priority="7779" operator="equal">
      <formula>"Nincs Po"</formula>
    </cfRule>
  </conditionalFormatting>
  <conditionalFormatting sqref="K499">
    <cfRule type="cellIs" dxfId="5054" priority="7775" operator="equal">
      <formula>"Nem Heineken Költség"</formula>
    </cfRule>
    <cfRule type="cellIs" dxfId="5053" priority="7776" operator="equal">
      <formula>"Nincs Po"</formula>
    </cfRule>
  </conditionalFormatting>
  <conditionalFormatting sqref="I498">
    <cfRule type="cellIs" dxfId="5052" priority="7765" operator="equal">
      <formula>"H"</formula>
    </cfRule>
  </conditionalFormatting>
  <conditionalFormatting sqref="J498">
    <cfRule type="cellIs" dxfId="5051" priority="7763" operator="equal">
      <formula>"Nem Heineken Költség"</formula>
    </cfRule>
  </conditionalFormatting>
  <conditionalFormatting sqref="J498">
    <cfRule type="cellIs" dxfId="5050" priority="7764" operator="equal">
      <formula>"Nincs Po"</formula>
    </cfRule>
  </conditionalFormatting>
  <conditionalFormatting sqref="K498">
    <cfRule type="cellIs" dxfId="5049" priority="7760" operator="equal">
      <formula>"Nem Heineken Költség"</formula>
    </cfRule>
    <cfRule type="cellIs" dxfId="5048" priority="7761" operator="equal">
      <formula>"Nincs Po"</formula>
    </cfRule>
  </conditionalFormatting>
  <conditionalFormatting sqref="I497">
    <cfRule type="cellIs" dxfId="5047" priority="7750" operator="equal">
      <formula>"H"</formula>
    </cfRule>
  </conditionalFormatting>
  <conditionalFormatting sqref="J497">
    <cfRule type="cellIs" dxfId="5046" priority="7748" operator="equal">
      <formula>"Nem Heineken Költség"</formula>
    </cfRule>
  </conditionalFormatting>
  <conditionalFormatting sqref="J497">
    <cfRule type="cellIs" dxfId="5045" priority="7749" operator="equal">
      <formula>"Nincs Po"</formula>
    </cfRule>
  </conditionalFormatting>
  <conditionalFormatting sqref="K497">
    <cfRule type="cellIs" dxfId="5044" priority="7745" operator="equal">
      <formula>"Nem Heineken Költség"</formula>
    </cfRule>
    <cfRule type="cellIs" dxfId="5043" priority="7746" operator="equal">
      <formula>"Nincs Po"</formula>
    </cfRule>
  </conditionalFormatting>
  <conditionalFormatting sqref="I496">
    <cfRule type="cellIs" dxfId="5042" priority="7735" operator="equal">
      <formula>"H"</formula>
    </cfRule>
  </conditionalFormatting>
  <conditionalFormatting sqref="J496">
    <cfRule type="cellIs" dxfId="5041" priority="7733" operator="equal">
      <formula>"Nem Heineken Költség"</formula>
    </cfRule>
  </conditionalFormatting>
  <conditionalFormatting sqref="J496">
    <cfRule type="cellIs" dxfId="5040" priority="7734" operator="equal">
      <formula>"Nincs Po"</formula>
    </cfRule>
  </conditionalFormatting>
  <conditionalFormatting sqref="K496">
    <cfRule type="cellIs" dxfId="5039" priority="7730" operator="equal">
      <formula>"Nem Heineken Költség"</formula>
    </cfRule>
    <cfRule type="cellIs" dxfId="5038" priority="7731" operator="equal">
      <formula>"Nincs Po"</formula>
    </cfRule>
  </conditionalFormatting>
  <conditionalFormatting sqref="I495">
    <cfRule type="cellIs" dxfId="5037" priority="7720" operator="equal">
      <formula>"H"</formula>
    </cfRule>
  </conditionalFormatting>
  <conditionalFormatting sqref="J495">
    <cfRule type="cellIs" dxfId="5036" priority="7718" operator="equal">
      <formula>"Nem Heineken Költség"</formula>
    </cfRule>
  </conditionalFormatting>
  <conditionalFormatting sqref="J495">
    <cfRule type="cellIs" dxfId="5035" priority="7719" operator="equal">
      <formula>"Nincs Po"</formula>
    </cfRule>
  </conditionalFormatting>
  <conditionalFormatting sqref="K495">
    <cfRule type="cellIs" dxfId="5034" priority="7715" operator="equal">
      <formula>"Nem Heineken Költség"</formula>
    </cfRule>
    <cfRule type="cellIs" dxfId="5033" priority="7716" operator="equal">
      <formula>"Nincs Po"</formula>
    </cfRule>
  </conditionalFormatting>
  <conditionalFormatting sqref="I494">
    <cfRule type="cellIs" dxfId="5032" priority="7705" operator="equal">
      <formula>"H"</formula>
    </cfRule>
  </conditionalFormatting>
  <conditionalFormatting sqref="J494">
    <cfRule type="cellIs" dxfId="5031" priority="7703" operator="equal">
      <formula>"Nem Heineken Költség"</formula>
    </cfRule>
  </conditionalFormatting>
  <conditionalFormatting sqref="J494">
    <cfRule type="cellIs" dxfId="5030" priority="7704" operator="equal">
      <formula>"Nincs Po"</formula>
    </cfRule>
  </conditionalFormatting>
  <conditionalFormatting sqref="K494">
    <cfRule type="cellIs" dxfId="5029" priority="7700" operator="equal">
      <formula>"Nem Heineken Költség"</formula>
    </cfRule>
    <cfRule type="cellIs" dxfId="5028" priority="7701" operator="equal">
      <formula>"Nincs Po"</formula>
    </cfRule>
  </conditionalFormatting>
  <conditionalFormatting sqref="I493">
    <cfRule type="cellIs" dxfId="5027" priority="7690" operator="equal">
      <formula>"H"</formula>
    </cfRule>
  </conditionalFormatting>
  <conditionalFormatting sqref="J493">
    <cfRule type="cellIs" dxfId="5026" priority="7688" operator="equal">
      <formula>"Nem Heineken Költség"</formula>
    </cfRule>
  </conditionalFormatting>
  <conditionalFormatting sqref="J493">
    <cfRule type="cellIs" dxfId="5025" priority="7689" operator="equal">
      <formula>"Nincs Po"</formula>
    </cfRule>
  </conditionalFormatting>
  <conditionalFormatting sqref="K493">
    <cfRule type="cellIs" dxfId="5024" priority="7685" operator="equal">
      <formula>"Nem Heineken Költség"</formula>
    </cfRule>
    <cfRule type="cellIs" dxfId="5023" priority="7686" operator="equal">
      <formula>"Nincs Po"</formula>
    </cfRule>
  </conditionalFormatting>
  <conditionalFormatting sqref="I492">
    <cfRule type="cellIs" dxfId="5022" priority="7675" operator="equal">
      <formula>"H"</formula>
    </cfRule>
  </conditionalFormatting>
  <conditionalFormatting sqref="J492">
    <cfRule type="cellIs" dxfId="5021" priority="7673" operator="equal">
      <formula>"Nem Heineken Költség"</formula>
    </cfRule>
  </conditionalFormatting>
  <conditionalFormatting sqref="J492">
    <cfRule type="cellIs" dxfId="5020" priority="7674" operator="equal">
      <formula>"Nincs Po"</formula>
    </cfRule>
  </conditionalFormatting>
  <conditionalFormatting sqref="K492">
    <cfRule type="cellIs" dxfId="5019" priority="7670" operator="equal">
      <formula>"Nem Heineken Költség"</formula>
    </cfRule>
    <cfRule type="cellIs" dxfId="5018" priority="7671" operator="equal">
      <formula>"Nincs Po"</formula>
    </cfRule>
  </conditionalFormatting>
  <conditionalFormatting sqref="I491">
    <cfRule type="cellIs" dxfId="5017" priority="7660" operator="equal">
      <formula>"H"</formula>
    </cfRule>
  </conditionalFormatting>
  <conditionalFormatting sqref="J491">
    <cfRule type="cellIs" dxfId="5016" priority="7658" operator="equal">
      <formula>"Nem Heineken Költség"</formula>
    </cfRule>
  </conditionalFormatting>
  <conditionalFormatting sqref="J491">
    <cfRule type="cellIs" dxfId="5015" priority="7659" operator="equal">
      <formula>"Nincs Po"</formula>
    </cfRule>
  </conditionalFormatting>
  <conditionalFormatting sqref="K491">
    <cfRule type="cellIs" dxfId="5014" priority="7655" operator="equal">
      <formula>"Nem Heineken Költség"</formula>
    </cfRule>
    <cfRule type="cellIs" dxfId="5013" priority="7656" operator="equal">
      <formula>"Nincs Po"</formula>
    </cfRule>
  </conditionalFormatting>
  <conditionalFormatting sqref="I490">
    <cfRule type="cellIs" dxfId="5012" priority="7645" operator="equal">
      <formula>"H"</formula>
    </cfRule>
  </conditionalFormatting>
  <conditionalFormatting sqref="J490">
    <cfRule type="cellIs" dxfId="5011" priority="7643" operator="equal">
      <formula>"Nem Heineken Költség"</formula>
    </cfRule>
  </conditionalFormatting>
  <conditionalFormatting sqref="J490">
    <cfRule type="cellIs" dxfId="5010" priority="7644" operator="equal">
      <formula>"Nincs Po"</formula>
    </cfRule>
  </conditionalFormatting>
  <conditionalFormatting sqref="K490">
    <cfRule type="cellIs" dxfId="5009" priority="7640" operator="equal">
      <formula>"Nem Heineken Költség"</formula>
    </cfRule>
    <cfRule type="cellIs" dxfId="5008" priority="7641" operator="equal">
      <formula>"Nincs Po"</formula>
    </cfRule>
  </conditionalFormatting>
  <conditionalFormatting sqref="I489">
    <cfRule type="cellIs" dxfId="5007" priority="7630" operator="equal">
      <formula>"H"</formula>
    </cfRule>
  </conditionalFormatting>
  <conditionalFormatting sqref="J489">
    <cfRule type="cellIs" dxfId="5006" priority="7628" operator="equal">
      <formula>"Nem Heineken Költség"</formula>
    </cfRule>
  </conditionalFormatting>
  <conditionalFormatting sqref="J489">
    <cfRule type="cellIs" dxfId="5005" priority="7629" operator="equal">
      <formula>"Nincs Po"</formula>
    </cfRule>
  </conditionalFormatting>
  <conditionalFormatting sqref="K489">
    <cfRule type="cellIs" dxfId="5004" priority="7625" operator="equal">
      <formula>"Nem Heineken Költség"</formula>
    </cfRule>
    <cfRule type="cellIs" dxfId="5003" priority="7626" operator="equal">
      <formula>"Nincs Po"</formula>
    </cfRule>
  </conditionalFormatting>
  <conditionalFormatting sqref="I488">
    <cfRule type="cellIs" dxfId="5002" priority="7615" operator="equal">
      <formula>"H"</formula>
    </cfRule>
  </conditionalFormatting>
  <conditionalFormatting sqref="J488">
    <cfRule type="cellIs" dxfId="5001" priority="7613" operator="equal">
      <formula>"Nem Heineken Költség"</formula>
    </cfRule>
  </conditionalFormatting>
  <conditionalFormatting sqref="J488">
    <cfRule type="cellIs" dxfId="5000" priority="7614" operator="equal">
      <formula>"Nincs Po"</formula>
    </cfRule>
  </conditionalFormatting>
  <conditionalFormatting sqref="K488">
    <cfRule type="cellIs" dxfId="4999" priority="7610" operator="equal">
      <formula>"Nem Heineken Költség"</formula>
    </cfRule>
    <cfRule type="cellIs" dxfId="4998" priority="7611" operator="equal">
      <formula>"Nincs Po"</formula>
    </cfRule>
  </conditionalFormatting>
  <conditionalFormatting sqref="I487">
    <cfRule type="cellIs" dxfId="4997" priority="7600" operator="equal">
      <formula>"H"</formula>
    </cfRule>
  </conditionalFormatting>
  <conditionalFormatting sqref="J487">
    <cfRule type="cellIs" dxfId="4996" priority="7598" operator="equal">
      <formula>"Nem Heineken Költség"</formula>
    </cfRule>
  </conditionalFormatting>
  <conditionalFormatting sqref="J487">
    <cfRule type="cellIs" dxfId="4995" priority="7599" operator="equal">
      <formula>"Nincs Po"</formula>
    </cfRule>
  </conditionalFormatting>
  <conditionalFormatting sqref="K487">
    <cfRule type="cellIs" dxfId="4994" priority="7595" operator="equal">
      <formula>"Nem Heineken Költség"</formula>
    </cfRule>
    <cfRule type="cellIs" dxfId="4993" priority="7596" operator="equal">
      <formula>"Nincs Po"</formula>
    </cfRule>
  </conditionalFormatting>
  <conditionalFormatting sqref="I486">
    <cfRule type="cellIs" dxfId="4992" priority="7585" operator="equal">
      <formula>"H"</formula>
    </cfRule>
  </conditionalFormatting>
  <conditionalFormatting sqref="J486">
    <cfRule type="cellIs" dxfId="4991" priority="7583" operator="equal">
      <formula>"Nem Heineken Költség"</formula>
    </cfRule>
  </conditionalFormatting>
  <conditionalFormatting sqref="J486">
    <cfRule type="cellIs" dxfId="4990" priority="7584" operator="equal">
      <formula>"Nincs Po"</formula>
    </cfRule>
  </conditionalFormatting>
  <conditionalFormatting sqref="K486">
    <cfRule type="cellIs" dxfId="4989" priority="7580" operator="equal">
      <formula>"Nem Heineken Költség"</formula>
    </cfRule>
    <cfRule type="cellIs" dxfId="4988" priority="7581" operator="equal">
      <formula>"Nincs Po"</formula>
    </cfRule>
  </conditionalFormatting>
  <conditionalFormatting sqref="I485">
    <cfRule type="cellIs" dxfId="4987" priority="7570" operator="equal">
      <formula>"H"</formula>
    </cfRule>
  </conditionalFormatting>
  <conditionalFormatting sqref="J485">
    <cfRule type="cellIs" dxfId="4986" priority="7568" operator="equal">
      <formula>"Nem Heineken Költség"</formula>
    </cfRule>
  </conditionalFormatting>
  <conditionalFormatting sqref="J485">
    <cfRule type="cellIs" dxfId="4985" priority="7569" operator="equal">
      <formula>"Nincs Po"</formula>
    </cfRule>
  </conditionalFormatting>
  <conditionalFormatting sqref="K485">
    <cfRule type="cellIs" dxfId="4984" priority="7565" operator="equal">
      <formula>"Nem Heineken Költség"</formula>
    </cfRule>
    <cfRule type="cellIs" dxfId="4983" priority="7566" operator="equal">
      <formula>"Nincs Po"</formula>
    </cfRule>
  </conditionalFormatting>
  <conditionalFormatting sqref="I484">
    <cfRule type="cellIs" dxfId="4982" priority="7555" operator="equal">
      <formula>"H"</formula>
    </cfRule>
  </conditionalFormatting>
  <conditionalFormatting sqref="J484">
    <cfRule type="cellIs" dxfId="4981" priority="7553" operator="equal">
      <formula>"Nem Heineken Költség"</formula>
    </cfRule>
  </conditionalFormatting>
  <conditionalFormatting sqref="J484">
    <cfRule type="cellIs" dxfId="4980" priority="7554" operator="equal">
      <formula>"Nincs Po"</formula>
    </cfRule>
  </conditionalFormatting>
  <conditionalFormatting sqref="K484">
    <cfRule type="cellIs" dxfId="4979" priority="7550" operator="equal">
      <formula>"Nem Heineken Költség"</formula>
    </cfRule>
    <cfRule type="cellIs" dxfId="4978" priority="7551" operator="equal">
      <formula>"Nincs Po"</formula>
    </cfRule>
  </conditionalFormatting>
  <conditionalFormatting sqref="I483">
    <cfRule type="cellIs" dxfId="4977" priority="7540" operator="equal">
      <formula>"H"</formula>
    </cfRule>
  </conditionalFormatting>
  <conditionalFormatting sqref="J483">
    <cfRule type="cellIs" dxfId="4976" priority="7538" operator="equal">
      <formula>"Nem Heineken Költség"</formula>
    </cfRule>
  </conditionalFormatting>
  <conditionalFormatting sqref="J483">
    <cfRule type="cellIs" dxfId="4975" priority="7539" operator="equal">
      <formula>"Nincs Po"</formula>
    </cfRule>
  </conditionalFormatting>
  <conditionalFormatting sqref="K483">
    <cfRule type="cellIs" dxfId="4974" priority="7535" operator="equal">
      <formula>"Nem Heineken Költség"</formula>
    </cfRule>
    <cfRule type="cellIs" dxfId="4973" priority="7536" operator="equal">
      <formula>"Nincs Po"</formula>
    </cfRule>
  </conditionalFormatting>
  <conditionalFormatting sqref="I482">
    <cfRule type="cellIs" dxfId="4972" priority="7525" operator="equal">
      <formula>"H"</formula>
    </cfRule>
  </conditionalFormatting>
  <conditionalFormatting sqref="J482">
    <cfRule type="cellIs" dxfId="4971" priority="7523" operator="equal">
      <formula>"Nem Heineken Költség"</formula>
    </cfRule>
  </conditionalFormatting>
  <conditionalFormatting sqref="J482">
    <cfRule type="cellIs" dxfId="4970" priority="7524" operator="equal">
      <formula>"Nincs Po"</formula>
    </cfRule>
  </conditionalFormatting>
  <conditionalFormatting sqref="I481">
    <cfRule type="cellIs" dxfId="4969" priority="7510" operator="equal">
      <formula>"H"</formula>
    </cfRule>
  </conditionalFormatting>
  <conditionalFormatting sqref="J481">
    <cfRule type="cellIs" dxfId="4968" priority="7508" operator="equal">
      <formula>"Nem Heineken Költség"</formula>
    </cfRule>
  </conditionalFormatting>
  <conditionalFormatting sqref="J481">
    <cfRule type="cellIs" dxfId="4967" priority="7509" operator="equal">
      <formula>"Nincs Po"</formula>
    </cfRule>
  </conditionalFormatting>
  <conditionalFormatting sqref="K481">
    <cfRule type="cellIs" dxfId="4966" priority="7505" operator="equal">
      <formula>"Nem Heineken Költség"</formula>
    </cfRule>
    <cfRule type="cellIs" dxfId="4965" priority="7506" operator="equal">
      <formula>"Nincs Po"</formula>
    </cfRule>
  </conditionalFormatting>
  <conditionalFormatting sqref="I480">
    <cfRule type="cellIs" dxfId="4964" priority="7495" operator="equal">
      <formula>"H"</formula>
    </cfRule>
  </conditionalFormatting>
  <conditionalFormatting sqref="J480">
    <cfRule type="cellIs" dxfId="4963" priority="7493" operator="equal">
      <formula>"Nem Heineken Költség"</formula>
    </cfRule>
  </conditionalFormatting>
  <conditionalFormatting sqref="J480">
    <cfRule type="cellIs" dxfId="4962" priority="7494" operator="equal">
      <formula>"Nincs Po"</formula>
    </cfRule>
  </conditionalFormatting>
  <conditionalFormatting sqref="I479">
    <cfRule type="cellIs" dxfId="4961" priority="7480" operator="equal">
      <formula>"H"</formula>
    </cfRule>
  </conditionalFormatting>
  <conditionalFormatting sqref="J479">
    <cfRule type="cellIs" dxfId="4960" priority="7478" operator="equal">
      <formula>"Nem Heineken Költség"</formula>
    </cfRule>
  </conditionalFormatting>
  <conditionalFormatting sqref="J479">
    <cfRule type="cellIs" dxfId="4959" priority="7479" operator="equal">
      <formula>"Nincs Po"</formula>
    </cfRule>
  </conditionalFormatting>
  <conditionalFormatting sqref="K479">
    <cfRule type="cellIs" dxfId="4958" priority="7475" operator="equal">
      <formula>"Nem Heineken Költség"</formula>
    </cfRule>
    <cfRule type="cellIs" dxfId="4957" priority="7476" operator="equal">
      <formula>"Nincs Po"</formula>
    </cfRule>
  </conditionalFormatting>
  <conditionalFormatting sqref="I478">
    <cfRule type="cellIs" dxfId="4956" priority="7465" operator="equal">
      <formula>"H"</formula>
    </cfRule>
  </conditionalFormatting>
  <conditionalFormatting sqref="J478">
    <cfRule type="cellIs" dxfId="4955" priority="7463" operator="equal">
      <formula>"Nem Heineken Költség"</formula>
    </cfRule>
  </conditionalFormatting>
  <conditionalFormatting sqref="J478">
    <cfRule type="cellIs" dxfId="4954" priority="7464" operator="equal">
      <formula>"Nincs Po"</formula>
    </cfRule>
  </conditionalFormatting>
  <conditionalFormatting sqref="K478">
    <cfRule type="cellIs" dxfId="4953" priority="7460" operator="equal">
      <formula>"Nem Heineken Költség"</formula>
    </cfRule>
    <cfRule type="cellIs" dxfId="4952" priority="7461" operator="equal">
      <formula>"Nincs Po"</formula>
    </cfRule>
  </conditionalFormatting>
  <conditionalFormatting sqref="I477">
    <cfRule type="cellIs" dxfId="4951" priority="7450" operator="equal">
      <formula>"H"</formula>
    </cfRule>
  </conditionalFormatting>
  <conditionalFormatting sqref="J477">
    <cfRule type="cellIs" dxfId="4950" priority="7448" operator="equal">
      <formula>"Nem Heineken Költség"</formula>
    </cfRule>
  </conditionalFormatting>
  <conditionalFormatting sqref="J477">
    <cfRule type="cellIs" dxfId="4949" priority="7449" operator="equal">
      <formula>"Nincs Po"</formula>
    </cfRule>
  </conditionalFormatting>
  <conditionalFormatting sqref="K477">
    <cfRule type="cellIs" dxfId="4948" priority="7445" operator="equal">
      <formula>"Nem Heineken Költség"</formula>
    </cfRule>
    <cfRule type="cellIs" dxfId="4947" priority="7446" operator="equal">
      <formula>"Nincs Po"</formula>
    </cfRule>
  </conditionalFormatting>
  <conditionalFormatting sqref="I476">
    <cfRule type="cellIs" dxfId="4946" priority="7435" operator="equal">
      <formula>"H"</formula>
    </cfRule>
  </conditionalFormatting>
  <conditionalFormatting sqref="J476">
    <cfRule type="cellIs" dxfId="4945" priority="7433" operator="equal">
      <formula>"Nem Heineken Költség"</formula>
    </cfRule>
  </conditionalFormatting>
  <conditionalFormatting sqref="J476">
    <cfRule type="cellIs" dxfId="4944" priority="7434" operator="equal">
      <formula>"Nincs Po"</formula>
    </cfRule>
  </conditionalFormatting>
  <conditionalFormatting sqref="K476">
    <cfRule type="cellIs" dxfId="4943" priority="7430" operator="equal">
      <formula>"Nem Heineken Költség"</formula>
    </cfRule>
    <cfRule type="cellIs" dxfId="4942" priority="7431" operator="equal">
      <formula>"Nincs Po"</formula>
    </cfRule>
  </conditionalFormatting>
  <conditionalFormatting sqref="D471:D475">
    <cfRule type="cellIs" dxfId="4941" priority="7427" operator="equal">
      <formula>"Folyamatban"</formula>
    </cfRule>
    <cfRule type="cellIs" dxfId="4940" priority="7428" operator="equal">
      <formula>"Kész"</formula>
    </cfRule>
  </conditionalFormatting>
  <conditionalFormatting sqref="I475">
    <cfRule type="cellIs" dxfId="4939" priority="7420" operator="equal">
      <formula>"H"</formula>
    </cfRule>
  </conditionalFormatting>
  <conditionalFormatting sqref="J475">
    <cfRule type="cellIs" dxfId="4938" priority="7418" operator="equal">
      <formula>"Nem Heineken Költség"</formula>
    </cfRule>
  </conditionalFormatting>
  <conditionalFormatting sqref="J475">
    <cfRule type="cellIs" dxfId="4937" priority="7419" operator="equal">
      <formula>"Nincs Po"</formula>
    </cfRule>
  </conditionalFormatting>
  <conditionalFormatting sqref="K475">
    <cfRule type="cellIs" dxfId="4936" priority="7415" operator="equal">
      <formula>"Nem Heineken Költség"</formula>
    </cfRule>
    <cfRule type="cellIs" dxfId="4935" priority="7416" operator="equal">
      <formula>"Nincs Po"</formula>
    </cfRule>
  </conditionalFormatting>
  <conditionalFormatting sqref="I474">
    <cfRule type="cellIs" dxfId="4934" priority="7405" operator="equal">
      <formula>"H"</formula>
    </cfRule>
  </conditionalFormatting>
  <conditionalFormatting sqref="J474">
    <cfRule type="cellIs" dxfId="4933" priority="7403" operator="equal">
      <formula>"Nem Heineken Költség"</formula>
    </cfRule>
  </conditionalFormatting>
  <conditionalFormatting sqref="J474">
    <cfRule type="cellIs" dxfId="4932" priority="7404" operator="equal">
      <formula>"Nincs Po"</formula>
    </cfRule>
  </conditionalFormatting>
  <conditionalFormatting sqref="K474">
    <cfRule type="cellIs" dxfId="4931" priority="7400" operator="equal">
      <formula>"Nem Heineken Költség"</formula>
    </cfRule>
    <cfRule type="cellIs" dxfId="4930" priority="7401" operator="equal">
      <formula>"Nincs Po"</formula>
    </cfRule>
  </conditionalFormatting>
  <conditionalFormatting sqref="I473">
    <cfRule type="cellIs" dxfId="4929" priority="7375" operator="equal">
      <formula>"H"</formula>
    </cfRule>
  </conditionalFormatting>
  <conditionalFormatting sqref="J473">
    <cfRule type="cellIs" dxfId="4928" priority="7373" operator="equal">
      <formula>"Nem Heineken Költség"</formula>
    </cfRule>
  </conditionalFormatting>
  <conditionalFormatting sqref="J473">
    <cfRule type="cellIs" dxfId="4927" priority="7374" operator="equal">
      <formula>"Nincs Po"</formula>
    </cfRule>
  </conditionalFormatting>
  <conditionalFormatting sqref="K473">
    <cfRule type="cellIs" dxfId="4926" priority="7370" operator="equal">
      <formula>"Nem Heineken Költség"</formula>
    </cfRule>
    <cfRule type="cellIs" dxfId="4925" priority="7371" operator="equal">
      <formula>"Nincs Po"</formula>
    </cfRule>
  </conditionalFormatting>
  <conditionalFormatting sqref="I472">
    <cfRule type="cellIs" dxfId="4924" priority="7360" operator="equal">
      <formula>"H"</formula>
    </cfRule>
  </conditionalFormatting>
  <conditionalFormatting sqref="J472">
    <cfRule type="cellIs" dxfId="4923" priority="7358" operator="equal">
      <formula>"Nem Heineken Költség"</formula>
    </cfRule>
  </conditionalFormatting>
  <conditionalFormatting sqref="J472">
    <cfRule type="cellIs" dxfId="4922" priority="7359" operator="equal">
      <formula>"Nincs Po"</formula>
    </cfRule>
  </conditionalFormatting>
  <conditionalFormatting sqref="K472">
    <cfRule type="cellIs" dxfId="4921" priority="7355" operator="equal">
      <formula>"Nem Heineken Költség"</formula>
    </cfRule>
    <cfRule type="cellIs" dxfId="4920" priority="7356" operator="equal">
      <formula>"Nincs Po"</formula>
    </cfRule>
  </conditionalFormatting>
  <conditionalFormatting sqref="I471">
    <cfRule type="cellIs" dxfId="4919" priority="7345" operator="equal">
      <formula>"H"</formula>
    </cfRule>
  </conditionalFormatting>
  <conditionalFormatting sqref="J471">
    <cfRule type="cellIs" dxfId="4918" priority="7343" operator="equal">
      <formula>"Nem Heineken Költség"</formula>
    </cfRule>
  </conditionalFormatting>
  <conditionalFormatting sqref="J471">
    <cfRule type="cellIs" dxfId="4917" priority="7344" operator="equal">
      <formula>"Nincs Po"</formula>
    </cfRule>
  </conditionalFormatting>
  <conditionalFormatting sqref="K471">
    <cfRule type="cellIs" dxfId="4916" priority="7340" operator="equal">
      <formula>"Nem Heineken Költség"</formula>
    </cfRule>
    <cfRule type="cellIs" dxfId="4915" priority="7341" operator="equal">
      <formula>"Nincs Po"</formula>
    </cfRule>
  </conditionalFormatting>
  <conditionalFormatting sqref="I470">
    <cfRule type="cellIs" dxfId="4914" priority="7300" operator="equal">
      <formula>"H"</formula>
    </cfRule>
  </conditionalFormatting>
  <conditionalFormatting sqref="J470">
    <cfRule type="cellIs" dxfId="4913" priority="7298" operator="equal">
      <formula>"Nem Heineken Költség"</formula>
    </cfRule>
  </conditionalFormatting>
  <conditionalFormatting sqref="J470">
    <cfRule type="cellIs" dxfId="4912" priority="7299" operator="equal">
      <formula>"Nincs Po"</formula>
    </cfRule>
  </conditionalFormatting>
  <conditionalFormatting sqref="K470">
    <cfRule type="cellIs" dxfId="4911" priority="7295" operator="equal">
      <formula>"Nem Heineken Költség"</formula>
    </cfRule>
    <cfRule type="cellIs" dxfId="4910" priority="7296" operator="equal">
      <formula>"Nincs Po"</formula>
    </cfRule>
  </conditionalFormatting>
  <conditionalFormatting sqref="I469">
    <cfRule type="cellIs" dxfId="4909" priority="7285" operator="equal">
      <formula>"H"</formula>
    </cfRule>
  </conditionalFormatting>
  <conditionalFormatting sqref="J469">
    <cfRule type="cellIs" dxfId="4908" priority="7283" operator="equal">
      <formula>"Nem Heineken Költség"</formula>
    </cfRule>
  </conditionalFormatting>
  <conditionalFormatting sqref="J469">
    <cfRule type="cellIs" dxfId="4907" priority="7284" operator="equal">
      <formula>"Nincs Po"</formula>
    </cfRule>
  </conditionalFormatting>
  <conditionalFormatting sqref="K469">
    <cfRule type="cellIs" dxfId="4906" priority="7280" operator="equal">
      <formula>"Nem Heineken Költség"</formula>
    </cfRule>
    <cfRule type="cellIs" dxfId="4905" priority="7281" operator="equal">
      <formula>"Nincs Po"</formula>
    </cfRule>
  </conditionalFormatting>
  <conditionalFormatting sqref="I468">
    <cfRule type="cellIs" dxfId="4904" priority="7270" operator="equal">
      <formula>"H"</formula>
    </cfRule>
  </conditionalFormatting>
  <conditionalFormatting sqref="J468">
    <cfRule type="cellIs" dxfId="4903" priority="7268" operator="equal">
      <formula>"Nem Heineken Költség"</formula>
    </cfRule>
  </conditionalFormatting>
  <conditionalFormatting sqref="J468">
    <cfRule type="cellIs" dxfId="4902" priority="7269" operator="equal">
      <formula>"Nincs Po"</formula>
    </cfRule>
  </conditionalFormatting>
  <conditionalFormatting sqref="K468">
    <cfRule type="cellIs" dxfId="4901" priority="7265" operator="equal">
      <formula>"Nem Heineken Költség"</formula>
    </cfRule>
    <cfRule type="cellIs" dxfId="4900" priority="7266" operator="equal">
      <formula>"Nincs Po"</formula>
    </cfRule>
  </conditionalFormatting>
  <conditionalFormatting sqref="I467">
    <cfRule type="cellIs" dxfId="4899" priority="7255" operator="equal">
      <formula>"H"</formula>
    </cfRule>
  </conditionalFormatting>
  <conditionalFormatting sqref="J467">
    <cfRule type="cellIs" dxfId="4898" priority="7253" operator="equal">
      <formula>"Nem Heineken Költség"</formula>
    </cfRule>
  </conditionalFormatting>
  <conditionalFormatting sqref="J467">
    <cfRule type="cellIs" dxfId="4897" priority="7254" operator="equal">
      <formula>"Nincs Po"</formula>
    </cfRule>
  </conditionalFormatting>
  <conditionalFormatting sqref="K467">
    <cfRule type="cellIs" dxfId="4896" priority="7250" operator="equal">
      <formula>"Nem Heineken Költség"</formula>
    </cfRule>
    <cfRule type="cellIs" dxfId="4895" priority="7251" operator="equal">
      <formula>"Nincs Po"</formula>
    </cfRule>
  </conditionalFormatting>
  <conditionalFormatting sqref="I466">
    <cfRule type="cellIs" dxfId="4894" priority="7225" operator="equal">
      <formula>"H"</formula>
    </cfRule>
  </conditionalFormatting>
  <conditionalFormatting sqref="J466">
    <cfRule type="cellIs" dxfId="4893" priority="7223" operator="equal">
      <formula>"Nem Heineken Költség"</formula>
    </cfRule>
  </conditionalFormatting>
  <conditionalFormatting sqref="J466">
    <cfRule type="cellIs" dxfId="4892" priority="7224" operator="equal">
      <formula>"Nincs Po"</formula>
    </cfRule>
  </conditionalFormatting>
  <conditionalFormatting sqref="K466">
    <cfRule type="cellIs" dxfId="4891" priority="7220" operator="equal">
      <formula>"Nem Heineken Költség"</formula>
    </cfRule>
    <cfRule type="cellIs" dxfId="4890" priority="7221" operator="equal">
      <formula>"Nincs Po"</formula>
    </cfRule>
  </conditionalFormatting>
  <conditionalFormatting sqref="I465">
    <cfRule type="cellIs" dxfId="4889" priority="7210" operator="equal">
      <formula>"H"</formula>
    </cfRule>
  </conditionalFormatting>
  <conditionalFormatting sqref="J465">
    <cfRule type="cellIs" dxfId="4888" priority="7208" operator="equal">
      <formula>"Nem Heineken Költség"</formula>
    </cfRule>
  </conditionalFormatting>
  <conditionalFormatting sqref="J465">
    <cfRule type="cellIs" dxfId="4887" priority="7209" operator="equal">
      <formula>"Nincs Po"</formula>
    </cfRule>
  </conditionalFormatting>
  <conditionalFormatting sqref="K465">
    <cfRule type="cellIs" dxfId="4886" priority="7205" operator="equal">
      <formula>"Nem Heineken Költség"</formula>
    </cfRule>
    <cfRule type="cellIs" dxfId="4885" priority="7206" operator="equal">
      <formula>"Nincs Po"</formula>
    </cfRule>
  </conditionalFormatting>
  <conditionalFormatting sqref="I464">
    <cfRule type="cellIs" dxfId="4884" priority="7195" operator="equal">
      <formula>"H"</formula>
    </cfRule>
  </conditionalFormatting>
  <conditionalFormatting sqref="J464">
    <cfRule type="cellIs" dxfId="4883" priority="7193" operator="equal">
      <formula>"Nem Heineken Költség"</formula>
    </cfRule>
  </conditionalFormatting>
  <conditionalFormatting sqref="J464">
    <cfRule type="cellIs" dxfId="4882" priority="7194" operator="equal">
      <formula>"Nincs Po"</formula>
    </cfRule>
  </conditionalFormatting>
  <conditionalFormatting sqref="K464">
    <cfRule type="cellIs" dxfId="4881" priority="7190" operator="equal">
      <formula>"Nem Heineken Költség"</formula>
    </cfRule>
    <cfRule type="cellIs" dxfId="4880" priority="7191" operator="equal">
      <formula>"Nincs Po"</formula>
    </cfRule>
  </conditionalFormatting>
  <conditionalFormatting sqref="I463">
    <cfRule type="cellIs" dxfId="4879" priority="7180" operator="equal">
      <formula>"H"</formula>
    </cfRule>
  </conditionalFormatting>
  <conditionalFormatting sqref="J463">
    <cfRule type="cellIs" dxfId="4878" priority="7178" operator="equal">
      <formula>"Nem Heineken Költség"</formula>
    </cfRule>
  </conditionalFormatting>
  <conditionalFormatting sqref="J463">
    <cfRule type="cellIs" dxfId="4877" priority="7179" operator="equal">
      <formula>"Nincs Po"</formula>
    </cfRule>
  </conditionalFormatting>
  <conditionalFormatting sqref="K463">
    <cfRule type="cellIs" dxfId="4876" priority="7175" operator="equal">
      <formula>"Nem Heineken Költség"</formula>
    </cfRule>
    <cfRule type="cellIs" dxfId="4875" priority="7176" operator="equal">
      <formula>"Nincs Po"</formula>
    </cfRule>
  </conditionalFormatting>
  <conditionalFormatting sqref="I462">
    <cfRule type="cellIs" dxfId="4874" priority="7165" operator="equal">
      <formula>"H"</formula>
    </cfRule>
  </conditionalFormatting>
  <conditionalFormatting sqref="J462">
    <cfRule type="cellIs" dxfId="4873" priority="7163" operator="equal">
      <formula>"Nem Heineken Költség"</formula>
    </cfRule>
  </conditionalFormatting>
  <conditionalFormatting sqref="J462">
    <cfRule type="cellIs" dxfId="4872" priority="7164" operator="equal">
      <formula>"Nincs Po"</formula>
    </cfRule>
  </conditionalFormatting>
  <conditionalFormatting sqref="K462">
    <cfRule type="cellIs" dxfId="4871" priority="7160" operator="equal">
      <formula>"Nem Heineken Költség"</formula>
    </cfRule>
    <cfRule type="cellIs" dxfId="4870" priority="7161" operator="equal">
      <formula>"Nincs Po"</formula>
    </cfRule>
  </conditionalFormatting>
  <conditionalFormatting sqref="I461">
    <cfRule type="cellIs" dxfId="4869" priority="7150" operator="equal">
      <formula>"H"</formula>
    </cfRule>
  </conditionalFormatting>
  <conditionalFormatting sqref="J461">
    <cfRule type="cellIs" dxfId="4868" priority="7148" operator="equal">
      <formula>"Nem Heineken Költség"</formula>
    </cfRule>
  </conditionalFormatting>
  <conditionalFormatting sqref="J461">
    <cfRule type="cellIs" dxfId="4867" priority="7149" operator="equal">
      <formula>"Nincs Po"</formula>
    </cfRule>
  </conditionalFormatting>
  <conditionalFormatting sqref="K461">
    <cfRule type="cellIs" dxfId="4866" priority="7145" operator="equal">
      <formula>"Nem Heineken Költség"</formula>
    </cfRule>
    <cfRule type="cellIs" dxfId="4865" priority="7146" operator="equal">
      <formula>"Nincs Po"</formula>
    </cfRule>
  </conditionalFormatting>
  <conditionalFormatting sqref="I460">
    <cfRule type="cellIs" dxfId="4864" priority="7135" operator="equal">
      <formula>"H"</formula>
    </cfRule>
  </conditionalFormatting>
  <conditionalFormatting sqref="J460">
    <cfRule type="cellIs" dxfId="4863" priority="7133" operator="equal">
      <formula>"Nem Heineken Költség"</formula>
    </cfRule>
  </conditionalFormatting>
  <conditionalFormatting sqref="J460">
    <cfRule type="cellIs" dxfId="4862" priority="7134" operator="equal">
      <formula>"Nincs Po"</formula>
    </cfRule>
  </conditionalFormatting>
  <conditionalFormatting sqref="K460">
    <cfRule type="cellIs" dxfId="4861" priority="7130" operator="equal">
      <formula>"Nem Heineken Költség"</formula>
    </cfRule>
    <cfRule type="cellIs" dxfId="4860" priority="7131" operator="equal">
      <formula>"Nincs Po"</formula>
    </cfRule>
  </conditionalFormatting>
  <conditionalFormatting sqref="I459">
    <cfRule type="cellIs" dxfId="4859" priority="7120" operator="equal">
      <formula>"H"</formula>
    </cfRule>
  </conditionalFormatting>
  <conditionalFormatting sqref="J459">
    <cfRule type="cellIs" dxfId="4858" priority="7118" operator="equal">
      <formula>"Nem Heineken Költség"</formula>
    </cfRule>
  </conditionalFormatting>
  <conditionalFormatting sqref="J459">
    <cfRule type="cellIs" dxfId="4857" priority="7119" operator="equal">
      <formula>"Nincs Po"</formula>
    </cfRule>
  </conditionalFormatting>
  <conditionalFormatting sqref="K459">
    <cfRule type="cellIs" dxfId="4856" priority="7115" operator="equal">
      <formula>"Nem Heineken Költség"</formula>
    </cfRule>
    <cfRule type="cellIs" dxfId="4855" priority="7116" operator="equal">
      <formula>"Nincs Po"</formula>
    </cfRule>
  </conditionalFormatting>
  <conditionalFormatting sqref="I458">
    <cfRule type="cellIs" dxfId="4854" priority="7105" operator="equal">
      <formula>"H"</formula>
    </cfRule>
  </conditionalFormatting>
  <conditionalFormatting sqref="J458">
    <cfRule type="cellIs" dxfId="4853" priority="7103" operator="equal">
      <formula>"Nem Heineken Költség"</formula>
    </cfRule>
  </conditionalFormatting>
  <conditionalFormatting sqref="J458">
    <cfRule type="cellIs" dxfId="4852" priority="7104" operator="equal">
      <formula>"Nincs Po"</formula>
    </cfRule>
  </conditionalFormatting>
  <conditionalFormatting sqref="K458">
    <cfRule type="cellIs" dxfId="4851" priority="7100" operator="equal">
      <formula>"Nem Heineken Költség"</formula>
    </cfRule>
    <cfRule type="cellIs" dxfId="4850" priority="7101" operator="equal">
      <formula>"Nincs Po"</formula>
    </cfRule>
  </conditionalFormatting>
  <conditionalFormatting sqref="I457">
    <cfRule type="cellIs" dxfId="4849" priority="7090" operator="equal">
      <formula>"H"</formula>
    </cfRule>
  </conditionalFormatting>
  <conditionalFormatting sqref="J457">
    <cfRule type="cellIs" dxfId="4848" priority="7088" operator="equal">
      <formula>"Nem Heineken Költség"</formula>
    </cfRule>
  </conditionalFormatting>
  <conditionalFormatting sqref="J457">
    <cfRule type="cellIs" dxfId="4847" priority="7089" operator="equal">
      <formula>"Nincs Po"</formula>
    </cfRule>
  </conditionalFormatting>
  <conditionalFormatting sqref="K457">
    <cfRule type="cellIs" dxfId="4846" priority="7085" operator="equal">
      <formula>"Nem Heineken Költség"</formula>
    </cfRule>
    <cfRule type="cellIs" dxfId="4845" priority="7086" operator="equal">
      <formula>"Nincs Po"</formula>
    </cfRule>
  </conditionalFormatting>
  <conditionalFormatting sqref="I456">
    <cfRule type="cellIs" dxfId="4844" priority="7075" operator="equal">
      <formula>"H"</formula>
    </cfRule>
  </conditionalFormatting>
  <conditionalFormatting sqref="J456">
    <cfRule type="cellIs" dxfId="4843" priority="7073" operator="equal">
      <formula>"Nem Heineken Költség"</formula>
    </cfRule>
  </conditionalFormatting>
  <conditionalFormatting sqref="J456">
    <cfRule type="cellIs" dxfId="4842" priority="7074" operator="equal">
      <formula>"Nincs Po"</formula>
    </cfRule>
  </conditionalFormatting>
  <conditionalFormatting sqref="K456">
    <cfRule type="cellIs" dxfId="4841" priority="7070" operator="equal">
      <formula>"Nem Heineken Költség"</formula>
    </cfRule>
    <cfRule type="cellIs" dxfId="4840" priority="7071" operator="equal">
      <formula>"Nincs Po"</formula>
    </cfRule>
  </conditionalFormatting>
  <conditionalFormatting sqref="I455">
    <cfRule type="cellIs" dxfId="4839" priority="7060" operator="equal">
      <formula>"H"</formula>
    </cfRule>
  </conditionalFormatting>
  <conditionalFormatting sqref="J455">
    <cfRule type="cellIs" dxfId="4838" priority="7058" operator="equal">
      <formula>"Nem Heineken Költség"</formula>
    </cfRule>
  </conditionalFormatting>
  <conditionalFormatting sqref="J455">
    <cfRule type="cellIs" dxfId="4837" priority="7059" operator="equal">
      <formula>"Nincs Po"</formula>
    </cfRule>
  </conditionalFormatting>
  <conditionalFormatting sqref="K455">
    <cfRule type="cellIs" dxfId="4836" priority="7055" operator="equal">
      <formula>"Nem Heineken Költség"</formula>
    </cfRule>
    <cfRule type="cellIs" dxfId="4835" priority="7056" operator="equal">
      <formula>"Nincs Po"</formula>
    </cfRule>
  </conditionalFormatting>
  <conditionalFormatting sqref="I454">
    <cfRule type="cellIs" dxfId="4834" priority="7045" operator="equal">
      <formula>"H"</formula>
    </cfRule>
  </conditionalFormatting>
  <conditionalFormatting sqref="J454">
    <cfRule type="cellIs" dxfId="4833" priority="7043" operator="equal">
      <formula>"Nem Heineken Költség"</formula>
    </cfRule>
  </conditionalFormatting>
  <conditionalFormatting sqref="J454">
    <cfRule type="cellIs" dxfId="4832" priority="7044" operator="equal">
      <formula>"Nincs Po"</formula>
    </cfRule>
  </conditionalFormatting>
  <conditionalFormatting sqref="K454">
    <cfRule type="cellIs" dxfId="4831" priority="7040" operator="equal">
      <formula>"Nem Heineken Költség"</formula>
    </cfRule>
    <cfRule type="cellIs" dxfId="4830" priority="7041" operator="equal">
      <formula>"Nincs Po"</formula>
    </cfRule>
  </conditionalFormatting>
  <conditionalFormatting sqref="I453">
    <cfRule type="cellIs" dxfId="4829" priority="7030" operator="equal">
      <formula>"H"</formula>
    </cfRule>
  </conditionalFormatting>
  <conditionalFormatting sqref="J453">
    <cfRule type="cellIs" dxfId="4828" priority="7028" operator="equal">
      <formula>"Nem Heineken Költség"</formula>
    </cfRule>
  </conditionalFormatting>
  <conditionalFormatting sqref="J453">
    <cfRule type="cellIs" dxfId="4827" priority="7029" operator="equal">
      <formula>"Nincs Po"</formula>
    </cfRule>
  </conditionalFormatting>
  <conditionalFormatting sqref="K453">
    <cfRule type="cellIs" dxfId="4826" priority="7025" operator="equal">
      <formula>"Nem Heineken Költség"</formula>
    </cfRule>
    <cfRule type="cellIs" dxfId="4825" priority="7026" operator="equal">
      <formula>"Nincs Po"</formula>
    </cfRule>
  </conditionalFormatting>
  <conditionalFormatting sqref="I452">
    <cfRule type="cellIs" dxfId="4824" priority="7015" operator="equal">
      <formula>"H"</formula>
    </cfRule>
  </conditionalFormatting>
  <conditionalFormatting sqref="J452">
    <cfRule type="cellIs" dxfId="4823" priority="7013" operator="equal">
      <formula>"Nem Heineken Költség"</formula>
    </cfRule>
  </conditionalFormatting>
  <conditionalFormatting sqref="J452">
    <cfRule type="cellIs" dxfId="4822" priority="7014" operator="equal">
      <formula>"Nincs Po"</formula>
    </cfRule>
  </conditionalFormatting>
  <conditionalFormatting sqref="K452">
    <cfRule type="cellIs" dxfId="4821" priority="7010" operator="equal">
      <formula>"Nem Heineken Költség"</formula>
    </cfRule>
    <cfRule type="cellIs" dxfId="4820" priority="7011" operator="equal">
      <formula>"Nincs Po"</formula>
    </cfRule>
  </conditionalFormatting>
  <conditionalFormatting sqref="I451">
    <cfRule type="cellIs" dxfId="4819" priority="7000" operator="equal">
      <formula>"H"</formula>
    </cfRule>
  </conditionalFormatting>
  <conditionalFormatting sqref="J451">
    <cfRule type="cellIs" dxfId="4818" priority="6998" operator="equal">
      <formula>"Nem Heineken Költség"</formula>
    </cfRule>
  </conditionalFormatting>
  <conditionalFormatting sqref="J451">
    <cfRule type="cellIs" dxfId="4817" priority="6999" operator="equal">
      <formula>"Nincs Po"</formula>
    </cfRule>
  </conditionalFormatting>
  <conditionalFormatting sqref="K451">
    <cfRule type="cellIs" dxfId="4816" priority="6995" operator="equal">
      <formula>"Nem Heineken Költség"</formula>
    </cfRule>
    <cfRule type="cellIs" dxfId="4815" priority="6996" operator="equal">
      <formula>"Nincs Po"</formula>
    </cfRule>
  </conditionalFormatting>
  <conditionalFormatting sqref="I450">
    <cfRule type="cellIs" dxfId="4814" priority="6985" operator="equal">
      <formula>"H"</formula>
    </cfRule>
  </conditionalFormatting>
  <conditionalFormatting sqref="J450">
    <cfRule type="cellIs" dxfId="4813" priority="6983" operator="equal">
      <formula>"Nem Heineken Költség"</formula>
    </cfRule>
  </conditionalFormatting>
  <conditionalFormatting sqref="J450">
    <cfRule type="cellIs" dxfId="4812" priority="6984" operator="equal">
      <formula>"Nincs Po"</formula>
    </cfRule>
  </conditionalFormatting>
  <conditionalFormatting sqref="K450">
    <cfRule type="cellIs" dxfId="4811" priority="6980" operator="equal">
      <formula>"Nem Heineken Költség"</formula>
    </cfRule>
    <cfRule type="cellIs" dxfId="4810" priority="6981" operator="equal">
      <formula>"Nincs Po"</formula>
    </cfRule>
  </conditionalFormatting>
  <conditionalFormatting sqref="I449">
    <cfRule type="cellIs" dxfId="4809" priority="6970" operator="equal">
      <formula>"H"</formula>
    </cfRule>
  </conditionalFormatting>
  <conditionalFormatting sqref="J449">
    <cfRule type="cellIs" dxfId="4808" priority="6968" operator="equal">
      <formula>"Nem Heineken Költség"</formula>
    </cfRule>
  </conditionalFormatting>
  <conditionalFormatting sqref="J449">
    <cfRule type="cellIs" dxfId="4807" priority="6969" operator="equal">
      <formula>"Nincs Po"</formula>
    </cfRule>
  </conditionalFormatting>
  <conditionalFormatting sqref="K449">
    <cfRule type="cellIs" dxfId="4806" priority="6965" operator="equal">
      <formula>"Nem Heineken Költség"</formula>
    </cfRule>
    <cfRule type="cellIs" dxfId="4805" priority="6966" operator="equal">
      <formula>"Nincs Po"</formula>
    </cfRule>
  </conditionalFormatting>
  <conditionalFormatting sqref="I448">
    <cfRule type="cellIs" dxfId="4804" priority="6955" operator="equal">
      <formula>"H"</formula>
    </cfRule>
  </conditionalFormatting>
  <conditionalFormatting sqref="J448">
    <cfRule type="cellIs" dxfId="4803" priority="6953" operator="equal">
      <formula>"Nem Heineken Költség"</formula>
    </cfRule>
  </conditionalFormatting>
  <conditionalFormatting sqref="J448">
    <cfRule type="cellIs" dxfId="4802" priority="6954" operator="equal">
      <formula>"Nincs Po"</formula>
    </cfRule>
  </conditionalFormatting>
  <conditionalFormatting sqref="K448">
    <cfRule type="cellIs" dxfId="4801" priority="6950" operator="equal">
      <formula>"Nem Heineken Költség"</formula>
    </cfRule>
    <cfRule type="cellIs" dxfId="4800" priority="6951" operator="equal">
      <formula>"Nincs Po"</formula>
    </cfRule>
  </conditionalFormatting>
  <conditionalFormatting sqref="I447">
    <cfRule type="cellIs" dxfId="4799" priority="6910" operator="equal">
      <formula>"H"</formula>
    </cfRule>
  </conditionalFormatting>
  <conditionalFormatting sqref="J447">
    <cfRule type="cellIs" dxfId="4798" priority="6908" operator="equal">
      <formula>"Nem Heineken Költség"</formula>
    </cfRule>
  </conditionalFormatting>
  <conditionalFormatting sqref="J447">
    <cfRule type="cellIs" dxfId="4797" priority="6909" operator="equal">
      <formula>"Nincs Po"</formula>
    </cfRule>
  </conditionalFormatting>
  <conditionalFormatting sqref="K447">
    <cfRule type="cellIs" dxfId="4796" priority="6905" operator="equal">
      <formula>"Nem Heineken Költség"</formula>
    </cfRule>
    <cfRule type="cellIs" dxfId="4795" priority="6906" operator="equal">
      <formula>"Nincs Po"</formula>
    </cfRule>
  </conditionalFormatting>
  <conditionalFormatting sqref="I446">
    <cfRule type="cellIs" dxfId="4794" priority="6895" operator="equal">
      <formula>"H"</formula>
    </cfRule>
  </conditionalFormatting>
  <conditionalFormatting sqref="J446">
    <cfRule type="cellIs" dxfId="4793" priority="6893" operator="equal">
      <formula>"Nem Heineken Költség"</formula>
    </cfRule>
  </conditionalFormatting>
  <conditionalFormatting sqref="J446">
    <cfRule type="cellIs" dxfId="4792" priority="6894" operator="equal">
      <formula>"Nincs Po"</formula>
    </cfRule>
  </conditionalFormatting>
  <conditionalFormatting sqref="K446">
    <cfRule type="cellIs" dxfId="4791" priority="6890" operator="equal">
      <formula>"Nem Heineken Költség"</formula>
    </cfRule>
    <cfRule type="cellIs" dxfId="4790" priority="6891" operator="equal">
      <formula>"Nincs Po"</formula>
    </cfRule>
  </conditionalFormatting>
  <conditionalFormatting sqref="D445">
    <cfRule type="cellIs" dxfId="4789" priority="6887" operator="equal">
      <formula>"Folyamatban"</formula>
    </cfRule>
    <cfRule type="cellIs" dxfId="4788" priority="6888" operator="equal">
      <formula>"Kész"</formula>
    </cfRule>
  </conditionalFormatting>
  <conditionalFormatting sqref="I445">
    <cfRule type="cellIs" dxfId="4787" priority="6880" operator="equal">
      <formula>"H"</formula>
    </cfRule>
  </conditionalFormatting>
  <conditionalFormatting sqref="J445">
    <cfRule type="cellIs" dxfId="4786" priority="6878" operator="equal">
      <formula>"Nem Heineken Költség"</formula>
    </cfRule>
  </conditionalFormatting>
  <conditionalFormatting sqref="J445">
    <cfRule type="cellIs" dxfId="4785" priority="6879" operator="equal">
      <formula>"Nincs Po"</formula>
    </cfRule>
  </conditionalFormatting>
  <conditionalFormatting sqref="K445">
    <cfRule type="cellIs" dxfId="4784" priority="6875" operator="equal">
      <formula>"Nem Heineken Költség"</formula>
    </cfRule>
    <cfRule type="cellIs" dxfId="4783" priority="6876" operator="equal">
      <formula>"Nincs Po"</formula>
    </cfRule>
  </conditionalFormatting>
  <conditionalFormatting sqref="D444">
    <cfRule type="cellIs" dxfId="4782" priority="6872" operator="equal">
      <formula>"Folyamatban"</formula>
    </cfRule>
    <cfRule type="cellIs" dxfId="4781" priority="6873" operator="equal">
      <formula>"Kész"</formula>
    </cfRule>
  </conditionalFormatting>
  <conditionalFormatting sqref="I444">
    <cfRule type="cellIs" dxfId="4780" priority="6865" operator="equal">
      <formula>"H"</formula>
    </cfRule>
  </conditionalFormatting>
  <conditionalFormatting sqref="J444">
    <cfRule type="cellIs" dxfId="4779" priority="6863" operator="equal">
      <formula>"Nem Heineken Költség"</formula>
    </cfRule>
  </conditionalFormatting>
  <conditionalFormatting sqref="J444">
    <cfRule type="cellIs" dxfId="4778" priority="6864" operator="equal">
      <formula>"Nincs Po"</formula>
    </cfRule>
  </conditionalFormatting>
  <conditionalFormatting sqref="K444">
    <cfRule type="cellIs" dxfId="4777" priority="6860" operator="equal">
      <formula>"Nem Heineken Költség"</formula>
    </cfRule>
    <cfRule type="cellIs" dxfId="4776" priority="6861" operator="equal">
      <formula>"Nincs Po"</formula>
    </cfRule>
  </conditionalFormatting>
  <conditionalFormatting sqref="D433:D442">
    <cfRule type="cellIs" dxfId="4775" priority="6857" operator="equal">
      <formula>"Folyamatban"</formula>
    </cfRule>
    <cfRule type="cellIs" dxfId="4774" priority="6858" operator="equal">
      <formula>"Kész"</formula>
    </cfRule>
  </conditionalFormatting>
  <conditionalFormatting sqref="I443">
    <cfRule type="cellIs" dxfId="4773" priority="6850" operator="equal">
      <formula>"H"</formula>
    </cfRule>
  </conditionalFormatting>
  <conditionalFormatting sqref="J443">
    <cfRule type="cellIs" dxfId="4772" priority="6848" operator="equal">
      <formula>"Nem Heineken Költség"</formula>
    </cfRule>
  </conditionalFormatting>
  <conditionalFormatting sqref="J443">
    <cfRule type="cellIs" dxfId="4771" priority="6849" operator="equal">
      <formula>"Nincs Po"</formula>
    </cfRule>
  </conditionalFormatting>
  <conditionalFormatting sqref="K443">
    <cfRule type="cellIs" dxfId="4770" priority="6845" operator="equal">
      <formula>"Nem Heineken Költség"</formula>
    </cfRule>
    <cfRule type="cellIs" dxfId="4769" priority="6846" operator="equal">
      <formula>"Nincs Po"</formula>
    </cfRule>
  </conditionalFormatting>
  <conditionalFormatting sqref="I442">
    <cfRule type="cellIs" dxfId="4768" priority="6835" operator="equal">
      <formula>"H"</formula>
    </cfRule>
  </conditionalFormatting>
  <conditionalFormatting sqref="J442">
    <cfRule type="cellIs" dxfId="4767" priority="6833" operator="equal">
      <formula>"Nem Heineken Költség"</formula>
    </cfRule>
  </conditionalFormatting>
  <conditionalFormatting sqref="J442">
    <cfRule type="cellIs" dxfId="4766" priority="6834" operator="equal">
      <formula>"Nincs Po"</formula>
    </cfRule>
  </conditionalFormatting>
  <conditionalFormatting sqref="K442">
    <cfRule type="cellIs" dxfId="4765" priority="6830" operator="equal">
      <formula>"Nem Heineken Költség"</formula>
    </cfRule>
    <cfRule type="cellIs" dxfId="4764" priority="6831" operator="equal">
      <formula>"Nincs Po"</formula>
    </cfRule>
  </conditionalFormatting>
  <conditionalFormatting sqref="I441">
    <cfRule type="cellIs" dxfId="4763" priority="6820" operator="equal">
      <formula>"H"</formula>
    </cfRule>
  </conditionalFormatting>
  <conditionalFormatting sqref="J441">
    <cfRule type="cellIs" dxfId="4762" priority="6818" operator="equal">
      <formula>"Nem Heineken Költség"</formula>
    </cfRule>
  </conditionalFormatting>
  <conditionalFormatting sqref="J441">
    <cfRule type="cellIs" dxfId="4761" priority="6819" operator="equal">
      <formula>"Nincs Po"</formula>
    </cfRule>
  </conditionalFormatting>
  <conditionalFormatting sqref="K441">
    <cfRule type="cellIs" dxfId="4760" priority="6815" operator="equal">
      <formula>"Nem Heineken Költség"</formula>
    </cfRule>
    <cfRule type="cellIs" dxfId="4759" priority="6816" operator="equal">
      <formula>"Nincs Po"</formula>
    </cfRule>
  </conditionalFormatting>
  <conditionalFormatting sqref="I440">
    <cfRule type="cellIs" dxfId="4758" priority="6805" operator="equal">
      <formula>"H"</formula>
    </cfRule>
  </conditionalFormatting>
  <conditionalFormatting sqref="J440">
    <cfRule type="cellIs" dxfId="4757" priority="6803" operator="equal">
      <formula>"Nem Heineken Költség"</formula>
    </cfRule>
  </conditionalFormatting>
  <conditionalFormatting sqref="J440">
    <cfRule type="cellIs" dxfId="4756" priority="6804" operator="equal">
      <formula>"Nincs Po"</formula>
    </cfRule>
  </conditionalFormatting>
  <conditionalFormatting sqref="K440">
    <cfRule type="cellIs" dxfId="4755" priority="6800" operator="equal">
      <formula>"Nem Heineken Költség"</formula>
    </cfRule>
    <cfRule type="cellIs" dxfId="4754" priority="6801" operator="equal">
      <formula>"Nincs Po"</formula>
    </cfRule>
  </conditionalFormatting>
  <conditionalFormatting sqref="I439">
    <cfRule type="cellIs" dxfId="4753" priority="6790" operator="equal">
      <formula>"H"</formula>
    </cfRule>
  </conditionalFormatting>
  <conditionalFormatting sqref="J439">
    <cfRule type="cellIs" dxfId="4752" priority="6788" operator="equal">
      <formula>"Nem Heineken Költség"</formula>
    </cfRule>
  </conditionalFormatting>
  <conditionalFormatting sqref="J439">
    <cfRule type="cellIs" dxfId="4751" priority="6789" operator="equal">
      <formula>"Nincs Po"</formula>
    </cfRule>
  </conditionalFormatting>
  <conditionalFormatting sqref="K439">
    <cfRule type="cellIs" dxfId="4750" priority="6785" operator="equal">
      <formula>"Nem Heineken Költség"</formula>
    </cfRule>
    <cfRule type="cellIs" dxfId="4749" priority="6786" operator="equal">
      <formula>"Nincs Po"</formula>
    </cfRule>
  </conditionalFormatting>
  <conditionalFormatting sqref="I438">
    <cfRule type="cellIs" dxfId="4748" priority="6775" operator="equal">
      <formula>"H"</formula>
    </cfRule>
  </conditionalFormatting>
  <conditionalFormatting sqref="J438">
    <cfRule type="cellIs" dxfId="4747" priority="6773" operator="equal">
      <formula>"Nem Heineken Költség"</formula>
    </cfRule>
  </conditionalFormatting>
  <conditionalFormatting sqref="J438">
    <cfRule type="cellIs" dxfId="4746" priority="6774" operator="equal">
      <formula>"Nincs Po"</formula>
    </cfRule>
  </conditionalFormatting>
  <conditionalFormatting sqref="K438">
    <cfRule type="cellIs" dxfId="4745" priority="6770" operator="equal">
      <formula>"Nem Heineken Költség"</formula>
    </cfRule>
    <cfRule type="cellIs" dxfId="4744" priority="6771" operator="equal">
      <formula>"Nincs Po"</formula>
    </cfRule>
  </conditionalFormatting>
  <conditionalFormatting sqref="I437">
    <cfRule type="cellIs" dxfId="4743" priority="6760" operator="equal">
      <formula>"H"</formula>
    </cfRule>
  </conditionalFormatting>
  <conditionalFormatting sqref="J437">
    <cfRule type="cellIs" dxfId="4742" priority="6758" operator="equal">
      <formula>"Nem Heineken Költség"</formula>
    </cfRule>
  </conditionalFormatting>
  <conditionalFormatting sqref="J437">
    <cfRule type="cellIs" dxfId="4741" priority="6759" operator="equal">
      <formula>"Nincs Po"</formula>
    </cfRule>
  </conditionalFormatting>
  <conditionalFormatting sqref="K437">
    <cfRule type="cellIs" dxfId="4740" priority="6755" operator="equal">
      <formula>"Nem Heineken Költség"</formula>
    </cfRule>
    <cfRule type="cellIs" dxfId="4739" priority="6756" operator="equal">
      <formula>"Nincs Po"</formula>
    </cfRule>
  </conditionalFormatting>
  <conditionalFormatting sqref="I436">
    <cfRule type="cellIs" dxfId="4738" priority="6745" operator="equal">
      <formula>"H"</formula>
    </cfRule>
  </conditionalFormatting>
  <conditionalFormatting sqref="J436">
    <cfRule type="cellIs" dxfId="4737" priority="6743" operator="equal">
      <formula>"Nem Heineken Költség"</formula>
    </cfRule>
  </conditionalFormatting>
  <conditionalFormatting sqref="J436">
    <cfRule type="cellIs" dxfId="4736" priority="6744" operator="equal">
      <formula>"Nincs Po"</formula>
    </cfRule>
  </conditionalFormatting>
  <conditionalFormatting sqref="K436">
    <cfRule type="cellIs" dxfId="4735" priority="6740" operator="equal">
      <formula>"Nem Heineken Költség"</formula>
    </cfRule>
    <cfRule type="cellIs" dxfId="4734" priority="6741" operator="equal">
      <formula>"Nincs Po"</formula>
    </cfRule>
  </conditionalFormatting>
  <conditionalFormatting sqref="I435">
    <cfRule type="cellIs" dxfId="4733" priority="6730" operator="equal">
      <formula>"H"</formula>
    </cfRule>
  </conditionalFormatting>
  <conditionalFormatting sqref="J435">
    <cfRule type="cellIs" dxfId="4732" priority="6728" operator="equal">
      <formula>"Nem Heineken Költség"</formula>
    </cfRule>
  </conditionalFormatting>
  <conditionalFormatting sqref="J435">
    <cfRule type="cellIs" dxfId="4731" priority="6729" operator="equal">
      <formula>"Nincs Po"</formula>
    </cfRule>
  </conditionalFormatting>
  <conditionalFormatting sqref="K435">
    <cfRule type="cellIs" dxfId="4730" priority="6725" operator="equal">
      <formula>"Nem Heineken Költség"</formula>
    </cfRule>
    <cfRule type="cellIs" dxfId="4729" priority="6726" operator="equal">
      <formula>"Nincs Po"</formula>
    </cfRule>
  </conditionalFormatting>
  <conditionalFormatting sqref="I434">
    <cfRule type="cellIs" dxfId="4728" priority="6715" operator="equal">
      <formula>"H"</formula>
    </cfRule>
  </conditionalFormatting>
  <conditionalFormatting sqref="J434">
    <cfRule type="cellIs" dxfId="4727" priority="6713" operator="equal">
      <formula>"Nem Heineken Költség"</formula>
    </cfRule>
  </conditionalFormatting>
  <conditionalFormatting sqref="J434">
    <cfRule type="cellIs" dxfId="4726" priority="6714" operator="equal">
      <formula>"Nincs Po"</formula>
    </cfRule>
  </conditionalFormatting>
  <conditionalFormatting sqref="K434">
    <cfRule type="cellIs" dxfId="4725" priority="6710" operator="equal">
      <formula>"Nem Heineken Költség"</formula>
    </cfRule>
    <cfRule type="cellIs" dxfId="4724" priority="6711" operator="equal">
      <formula>"Nincs Po"</formula>
    </cfRule>
  </conditionalFormatting>
  <conditionalFormatting sqref="I433">
    <cfRule type="cellIs" dxfId="4723" priority="6700" operator="equal">
      <formula>"H"</formula>
    </cfRule>
  </conditionalFormatting>
  <conditionalFormatting sqref="J433">
    <cfRule type="cellIs" dxfId="4722" priority="6698" operator="equal">
      <formula>"Nem Heineken Költség"</formula>
    </cfRule>
  </conditionalFormatting>
  <conditionalFormatting sqref="J433">
    <cfRule type="cellIs" dxfId="4721" priority="6699" operator="equal">
      <formula>"Nincs Po"</formula>
    </cfRule>
  </conditionalFormatting>
  <conditionalFormatting sqref="K433">
    <cfRule type="cellIs" dxfId="4720" priority="6695" operator="equal">
      <formula>"Nem Heineken Költség"</formula>
    </cfRule>
    <cfRule type="cellIs" dxfId="4719" priority="6696" operator="equal">
      <formula>"Nincs Po"</formula>
    </cfRule>
  </conditionalFormatting>
  <conditionalFormatting sqref="D431:D432">
    <cfRule type="cellIs" dxfId="4718" priority="6692" operator="equal">
      <formula>"Folyamatban"</formula>
    </cfRule>
    <cfRule type="cellIs" dxfId="4717" priority="6693" operator="equal">
      <formula>"Kész"</formula>
    </cfRule>
  </conditionalFormatting>
  <conditionalFormatting sqref="I432">
    <cfRule type="cellIs" dxfId="4716" priority="6685" operator="equal">
      <formula>"H"</formula>
    </cfRule>
  </conditionalFormatting>
  <conditionalFormatting sqref="J432">
    <cfRule type="cellIs" dxfId="4715" priority="6683" operator="equal">
      <formula>"Nem Heineken Költség"</formula>
    </cfRule>
  </conditionalFormatting>
  <conditionalFormatting sqref="J432">
    <cfRule type="cellIs" dxfId="4714" priority="6684" operator="equal">
      <formula>"Nincs Po"</formula>
    </cfRule>
  </conditionalFormatting>
  <conditionalFormatting sqref="K432">
    <cfRule type="cellIs" dxfId="4713" priority="6680" operator="equal">
      <formula>"Nem Heineken Költség"</formula>
    </cfRule>
    <cfRule type="cellIs" dxfId="4712" priority="6681" operator="equal">
      <formula>"Nincs Po"</formula>
    </cfRule>
  </conditionalFormatting>
  <conditionalFormatting sqref="I431">
    <cfRule type="cellIs" dxfId="4711" priority="6670" operator="equal">
      <formula>"H"</formula>
    </cfRule>
  </conditionalFormatting>
  <conditionalFormatting sqref="J431">
    <cfRule type="cellIs" dxfId="4710" priority="6668" operator="equal">
      <formula>"Nem Heineken Költség"</formula>
    </cfRule>
  </conditionalFormatting>
  <conditionalFormatting sqref="J431">
    <cfRule type="cellIs" dxfId="4709" priority="6669" operator="equal">
      <formula>"Nincs Po"</formula>
    </cfRule>
  </conditionalFormatting>
  <conditionalFormatting sqref="K431">
    <cfRule type="cellIs" dxfId="4708" priority="6665" operator="equal">
      <formula>"Nem Heineken Költség"</formula>
    </cfRule>
    <cfRule type="cellIs" dxfId="4707" priority="6666" operator="equal">
      <formula>"Nincs Po"</formula>
    </cfRule>
  </conditionalFormatting>
  <conditionalFormatting sqref="I430">
    <cfRule type="cellIs" dxfId="4706" priority="6655" operator="equal">
      <formula>"H"</formula>
    </cfRule>
  </conditionalFormatting>
  <conditionalFormatting sqref="J430">
    <cfRule type="cellIs" dxfId="4705" priority="6653" operator="equal">
      <formula>"Nem Heineken Költség"</formula>
    </cfRule>
  </conditionalFormatting>
  <conditionalFormatting sqref="J430">
    <cfRule type="cellIs" dxfId="4704" priority="6654" operator="equal">
      <formula>"Nincs Po"</formula>
    </cfRule>
  </conditionalFormatting>
  <conditionalFormatting sqref="D411:D430">
    <cfRule type="cellIs" dxfId="4703" priority="6647" operator="equal">
      <formula>"Folyamatban"</formula>
    </cfRule>
    <cfRule type="cellIs" dxfId="4702" priority="6648" operator="equal">
      <formula>"Kész"</formula>
    </cfRule>
  </conditionalFormatting>
  <conditionalFormatting sqref="I429">
    <cfRule type="cellIs" dxfId="4701" priority="6638" operator="equal">
      <formula>"H"</formula>
    </cfRule>
  </conditionalFormatting>
  <conditionalFormatting sqref="J429">
    <cfRule type="cellIs" dxfId="4700" priority="6636" operator="equal">
      <formula>"Nem Heineken Költség"</formula>
    </cfRule>
  </conditionalFormatting>
  <conditionalFormatting sqref="J429">
    <cfRule type="cellIs" dxfId="4699" priority="6637" operator="equal">
      <formula>"Nincs Po"</formula>
    </cfRule>
  </conditionalFormatting>
  <conditionalFormatting sqref="I428">
    <cfRule type="cellIs" dxfId="4698" priority="6623" operator="equal">
      <formula>"H"</formula>
    </cfRule>
  </conditionalFormatting>
  <conditionalFormatting sqref="J428">
    <cfRule type="cellIs" dxfId="4697" priority="6621" operator="equal">
      <formula>"Nem Heineken Költség"</formula>
    </cfRule>
  </conditionalFormatting>
  <conditionalFormatting sqref="J428">
    <cfRule type="cellIs" dxfId="4696" priority="6622" operator="equal">
      <formula>"Nincs Po"</formula>
    </cfRule>
  </conditionalFormatting>
  <conditionalFormatting sqref="K428">
    <cfRule type="cellIs" dxfId="4695" priority="6618" operator="equal">
      <formula>"Nem Heineken Költség"</formula>
    </cfRule>
    <cfRule type="cellIs" dxfId="4694" priority="6619" operator="equal">
      <formula>"Nincs Po"</formula>
    </cfRule>
  </conditionalFormatting>
  <conditionalFormatting sqref="I427">
    <cfRule type="cellIs" dxfId="4693" priority="6608" operator="equal">
      <formula>"H"</formula>
    </cfRule>
  </conditionalFormatting>
  <conditionalFormatting sqref="J427">
    <cfRule type="cellIs" dxfId="4692" priority="6606" operator="equal">
      <formula>"Nem Heineken Költség"</formula>
    </cfRule>
  </conditionalFormatting>
  <conditionalFormatting sqref="J427">
    <cfRule type="cellIs" dxfId="4691" priority="6607" operator="equal">
      <formula>"Nincs Po"</formula>
    </cfRule>
  </conditionalFormatting>
  <conditionalFormatting sqref="I426">
    <cfRule type="cellIs" dxfId="4690" priority="6593" operator="equal">
      <formula>"H"</formula>
    </cfRule>
  </conditionalFormatting>
  <conditionalFormatting sqref="J426">
    <cfRule type="cellIs" dxfId="4689" priority="6591" operator="equal">
      <formula>"Nem Heineken Költség"</formula>
    </cfRule>
  </conditionalFormatting>
  <conditionalFormatting sqref="J426">
    <cfRule type="cellIs" dxfId="4688" priority="6592" operator="equal">
      <formula>"Nincs Po"</formula>
    </cfRule>
  </conditionalFormatting>
  <conditionalFormatting sqref="K426">
    <cfRule type="cellIs" dxfId="4687" priority="6588" operator="equal">
      <formula>"Nem Heineken Költség"</formula>
    </cfRule>
    <cfRule type="cellIs" dxfId="4686" priority="6589" operator="equal">
      <formula>"Nincs Po"</formula>
    </cfRule>
  </conditionalFormatting>
  <conditionalFormatting sqref="I425">
    <cfRule type="cellIs" dxfId="4685" priority="6578" operator="equal">
      <formula>"H"</formula>
    </cfRule>
  </conditionalFormatting>
  <conditionalFormatting sqref="J425">
    <cfRule type="cellIs" dxfId="4684" priority="6576" operator="equal">
      <formula>"Nem Heineken Költség"</formula>
    </cfRule>
  </conditionalFormatting>
  <conditionalFormatting sqref="J425">
    <cfRule type="cellIs" dxfId="4683" priority="6577" operator="equal">
      <formula>"Nincs Po"</formula>
    </cfRule>
  </conditionalFormatting>
  <conditionalFormatting sqref="K425">
    <cfRule type="cellIs" dxfId="4682" priority="6573" operator="equal">
      <formula>"Nem Heineken Költség"</formula>
    </cfRule>
    <cfRule type="cellIs" dxfId="4681" priority="6574" operator="equal">
      <formula>"Nincs Po"</formula>
    </cfRule>
  </conditionalFormatting>
  <conditionalFormatting sqref="I424">
    <cfRule type="cellIs" dxfId="4680" priority="6563" operator="equal">
      <formula>"H"</formula>
    </cfRule>
  </conditionalFormatting>
  <conditionalFormatting sqref="J424">
    <cfRule type="cellIs" dxfId="4679" priority="6561" operator="equal">
      <formula>"Nem Heineken Költség"</formula>
    </cfRule>
  </conditionalFormatting>
  <conditionalFormatting sqref="J424">
    <cfRule type="cellIs" dxfId="4678" priority="6562" operator="equal">
      <formula>"Nincs Po"</formula>
    </cfRule>
  </conditionalFormatting>
  <conditionalFormatting sqref="K424">
    <cfRule type="cellIs" dxfId="4677" priority="6558" operator="equal">
      <formula>"Nem Heineken Költség"</formula>
    </cfRule>
    <cfRule type="cellIs" dxfId="4676" priority="6559" operator="equal">
      <formula>"Nincs Po"</formula>
    </cfRule>
  </conditionalFormatting>
  <conditionalFormatting sqref="I423">
    <cfRule type="cellIs" dxfId="4675" priority="6548" operator="equal">
      <formula>"H"</formula>
    </cfRule>
  </conditionalFormatting>
  <conditionalFormatting sqref="J423">
    <cfRule type="cellIs" dxfId="4674" priority="6546" operator="equal">
      <formula>"Nem Heineken Költség"</formula>
    </cfRule>
  </conditionalFormatting>
  <conditionalFormatting sqref="J423">
    <cfRule type="cellIs" dxfId="4673" priority="6547" operator="equal">
      <formula>"Nincs Po"</formula>
    </cfRule>
  </conditionalFormatting>
  <conditionalFormatting sqref="K423">
    <cfRule type="cellIs" dxfId="4672" priority="6543" operator="equal">
      <formula>"Nem Heineken Költség"</formula>
    </cfRule>
    <cfRule type="cellIs" dxfId="4671" priority="6544" operator="equal">
      <formula>"Nincs Po"</formula>
    </cfRule>
  </conditionalFormatting>
  <conditionalFormatting sqref="I422">
    <cfRule type="cellIs" dxfId="4670" priority="6533" operator="equal">
      <formula>"H"</formula>
    </cfRule>
  </conditionalFormatting>
  <conditionalFormatting sqref="J422">
    <cfRule type="cellIs" dxfId="4669" priority="6531" operator="equal">
      <formula>"Nem Heineken Költség"</formula>
    </cfRule>
  </conditionalFormatting>
  <conditionalFormatting sqref="J422">
    <cfRule type="cellIs" dxfId="4668" priority="6532" operator="equal">
      <formula>"Nincs Po"</formula>
    </cfRule>
  </conditionalFormatting>
  <conditionalFormatting sqref="K422">
    <cfRule type="cellIs" dxfId="4667" priority="6528" operator="equal">
      <formula>"Nem Heineken Költség"</formula>
    </cfRule>
    <cfRule type="cellIs" dxfId="4666" priority="6529" operator="equal">
      <formula>"Nincs Po"</formula>
    </cfRule>
  </conditionalFormatting>
  <conditionalFormatting sqref="I421">
    <cfRule type="cellIs" dxfId="4665" priority="6518" operator="equal">
      <formula>"H"</formula>
    </cfRule>
  </conditionalFormatting>
  <conditionalFormatting sqref="J421">
    <cfRule type="cellIs" dxfId="4664" priority="6516" operator="equal">
      <formula>"Nem Heineken Költség"</formula>
    </cfRule>
  </conditionalFormatting>
  <conditionalFormatting sqref="J421">
    <cfRule type="cellIs" dxfId="4663" priority="6517" operator="equal">
      <formula>"Nincs Po"</formula>
    </cfRule>
  </conditionalFormatting>
  <conditionalFormatting sqref="K421">
    <cfRule type="cellIs" dxfId="4662" priority="6513" operator="equal">
      <formula>"Nem Heineken Költség"</formula>
    </cfRule>
    <cfRule type="cellIs" dxfId="4661" priority="6514" operator="equal">
      <formula>"Nincs Po"</formula>
    </cfRule>
  </conditionalFormatting>
  <conditionalFormatting sqref="I420">
    <cfRule type="cellIs" dxfId="4660" priority="6503" operator="equal">
      <formula>"H"</formula>
    </cfRule>
  </conditionalFormatting>
  <conditionalFormatting sqref="J420">
    <cfRule type="cellIs" dxfId="4659" priority="6501" operator="equal">
      <formula>"Nem Heineken Költség"</formula>
    </cfRule>
  </conditionalFormatting>
  <conditionalFormatting sqref="J420">
    <cfRule type="cellIs" dxfId="4658" priority="6502" operator="equal">
      <formula>"Nincs Po"</formula>
    </cfRule>
  </conditionalFormatting>
  <conditionalFormatting sqref="K420">
    <cfRule type="cellIs" dxfId="4657" priority="6498" operator="equal">
      <formula>"Nem Heineken Költség"</formula>
    </cfRule>
    <cfRule type="cellIs" dxfId="4656" priority="6499" operator="equal">
      <formula>"Nincs Po"</formula>
    </cfRule>
  </conditionalFormatting>
  <conditionalFormatting sqref="I419">
    <cfRule type="cellIs" dxfId="4655" priority="6488" operator="equal">
      <formula>"H"</formula>
    </cfRule>
  </conditionalFormatting>
  <conditionalFormatting sqref="J419">
    <cfRule type="cellIs" dxfId="4654" priority="6486" operator="equal">
      <formula>"Nem Heineken Költség"</formula>
    </cfRule>
  </conditionalFormatting>
  <conditionalFormatting sqref="J419">
    <cfRule type="cellIs" dxfId="4653" priority="6487" operator="equal">
      <formula>"Nincs Po"</formula>
    </cfRule>
  </conditionalFormatting>
  <conditionalFormatting sqref="K419">
    <cfRule type="cellIs" dxfId="4652" priority="6483" operator="equal">
      <formula>"Nem Heineken Költség"</formula>
    </cfRule>
    <cfRule type="cellIs" dxfId="4651" priority="6484" operator="equal">
      <formula>"Nincs Po"</formula>
    </cfRule>
  </conditionalFormatting>
  <conditionalFormatting sqref="I418">
    <cfRule type="cellIs" dxfId="4650" priority="6473" operator="equal">
      <formula>"H"</formula>
    </cfRule>
  </conditionalFormatting>
  <conditionalFormatting sqref="J418">
    <cfRule type="cellIs" dxfId="4649" priority="6471" operator="equal">
      <formula>"Nem Heineken Költség"</formula>
    </cfRule>
  </conditionalFormatting>
  <conditionalFormatting sqref="J418">
    <cfRule type="cellIs" dxfId="4648" priority="6472" operator="equal">
      <formula>"Nincs Po"</formula>
    </cfRule>
  </conditionalFormatting>
  <conditionalFormatting sqref="K418">
    <cfRule type="cellIs" dxfId="4647" priority="6468" operator="equal">
      <formula>"Nem Heineken Költség"</formula>
    </cfRule>
    <cfRule type="cellIs" dxfId="4646" priority="6469" operator="equal">
      <formula>"Nincs Po"</formula>
    </cfRule>
  </conditionalFormatting>
  <conditionalFormatting sqref="I417">
    <cfRule type="cellIs" dxfId="4645" priority="6458" operator="equal">
      <formula>"H"</formula>
    </cfRule>
  </conditionalFormatting>
  <conditionalFormatting sqref="J417">
    <cfRule type="cellIs" dxfId="4644" priority="6456" operator="equal">
      <formula>"Nem Heineken Költség"</formula>
    </cfRule>
  </conditionalFormatting>
  <conditionalFormatting sqref="J417">
    <cfRule type="cellIs" dxfId="4643" priority="6457" operator="equal">
      <formula>"Nincs Po"</formula>
    </cfRule>
  </conditionalFormatting>
  <conditionalFormatting sqref="K417">
    <cfRule type="cellIs" dxfId="4642" priority="6453" operator="equal">
      <formula>"Nem Heineken Költség"</formula>
    </cfRule>
    <cfRule type="cellIs" dxfId="4641" priority="6454" operator="equal">
      <formula>"Nincs Po"</formula>
    </cfRule>
  </conditionalFormatting>
  <conditionalFormatting sqref="I416">
    <cfRule type="cellIs" dxfId="4640" priority="6443" operator="equal">
      <formula>"H"</formula>
    </cfRule>
  </conditionalFormatting>
  <conditionalFormatting sqref="J416">
    <cfRule type="cellIs" dxfId="4639" priority="6441" operator="equal">
      <formula>"Nem Heineken Költség"</formula>
    </cfRule>
  </conditionalFormatting>
  <conditionalFormatting sqref="J416">
    <cfRule type="cellIs" dxfId="4638" priority="6442" operator="equal">
      <formula>"Nincs Po"</formula>
    </cfRule>
  </conditionalFormatting>
  <conditionalFormatting sqref="K416">
    <cfRule type="cellIs" dxfId="4637" priority="6438" operator="equal">
      <formula>"Nem Heineken Költség"</formula>
    </cfRule>
    <cfRule type="cellIs" dxfId="4636" priority="6439" operator="equal">
      <formula>"Nincs Po"</formula>
    </cfRule>
  </conditionalFormatting>
  <conditionalFormatting sqref="I415">
    <cfRule type="cellIs" dxfId="4635" priority="6428" operator="equal">
      <formula>"H"</formula>
    </cfRule>
  </conditionalFormatting>
  <conditionalFormatting sqref="J415">
    <cfRule type="cellIs" dxfId="4634" priority="6426" operator="equal">
      <formula>"Nem Heineken Költség"</formula>
    </cfRule>
  </conditionalFormatting>
  <conditionalFormatting sqref="J415">
    <cfRule type="cellIs" dxfId="4633" priority="6427" operator="equal">
      <formula>"Nincs Po"</formula>
    </cfRule>
  </conditionalFormatting>
  <conditionalFormatting sqref="K415">
    <cfRule type="cellIs" dxfId="4632" priority="6423" operator="equal">
      <formula>"Nem Heineken Költség"</formula>
    </cfRule>
    <cfRule type="cellIs" dxfId="4631" priority="6424" operator="equal">
      <formula>"Nincs Po"</formula>
    </cfRule>
  </conditionalFormatting>
  <conditionalFormatting sqref="I414">
    <cfRule type="cellIs" dxfId="4630" priority="6413" operator="equal">
      <formula>"H"</formula>
    </cfRule>
  </conditionalFormatting>
  <conditionalFormatting sqref="J414">
    <cfRule type="cellIs" dxfId="4629" priority="6411" operator="equal">
      <formula>"Nem Heineken Költség"</formula>
    </cfRule>
  </conditionalFormatting>
  <conditionalFormatting sqref="J414">
    <cfRule type="cellIs" dxfId="4628" priority="6412" operator="equal">
      <formula>"Nincs Po"</formula>
    </cfRule>
  </conditionalFormatting>
  <conditionalFormatting sqref="K414">
    <cfRule type="cellIs" dxfId="4627" priority="6408" operator="equal">
      <formula>"Nem Heineken Költség"</formula>
    </cfRule>
    <cfRule type="cellIs" dxfId="4626" priority="6409" operator="equal">
      <formula>"Nincs Po"</formula>
    </cfRule>
  </conditionalFormatting>
  <conditionalFormatting sqref="I413">
    <cfRule type="cellIs" dxfId="4625" priority="6398" operator="equal">
      <formula>"H"</formula>
    </cfRule>
  </conditionalFormatting>
  <conditionalFormatting sqref="J413">
    <cfRule type="cellIs" dxfId="4624" priority="6396" operator="equal">
      <formula>"Nem Heineken Költség"</formula>
    </cfRule>
  </conditionalFormatting>
  <conditionalFormatting sqref="J413">
    <cfRule type="cellIs" dxfId="4623" priority="6397" operator="equal">
      <formula>"Nincs Po"</formula>
    </cfRule>
  </conditionalFormatting>
  <conditionalFormatting sqref="K413">
    <cfRule type="cellIs" dxfId="4622" priority="6393" operator="equal">
      <formula>"Nem Heineken Költség"</formula>
    </cfRule>
    <cfRule type="cellIs" dxfId="4621" priority="6394" operator="equal">
      <formula>"Nincs Po"</formula>
    </cfRule>
  </conditionalFormatting>
  <conditionalFormatting sqref="I412">
    <cfRule type="cellIs" dxfId="4620" priority="6383" operator="equal">
      <formula>"H"</formula>
    </cfRule>
  </conditionalFormatting>
  <conditionalFormatting sqref="J412">
    <cfRule type="cellIs" dxfId="4619" priority="6381" operator="equal">
      <formula>"Nem Heineken Költség"</formula>
    </cfRule>
  </conditionalFormatting>
  <conditionalFormatting sqref="J412">
    <cfRule type="cellIs" dxfId="4618" priority="6382" operator="equal">
      <formula>"Nincs Po"</formula>
    </cfRule>
  </conditionalFormatting>
  <conditionalFormatting sqref="K412">
    <cfRule type="cellIs" dxfId="4617" priority="6378" operator="equal">
      <formula>"Nem Heineken Költség"</formula>
    </cfRule>
    <cfRule type="cellIs" dxfId="4616" priority="6379" operator="equal">
      <formula>"Nincs Po"</formula>
    </cfRule>
  </conditionalFormatting>
  <conditionalFormatting sqref="I411">
    <cfRule type="cellIs" dxfId="4615" priority="6368" operator="equal">
      <formula>"H"</formula>
    </cfRule>
  </conditionalFormatting>
  <conditionalFormatting sqref="J411">
    <cfRule type="cellIs" dxfId="4614" priority="6366" operator="equal">
      <formula>"Nem Heineken Költség"</formula>
    </cfRule>
  </conditionalFormatting>
  <conditionalFormatting sqref="J411">
    <cfRule type="cellIs" dxfId="4613" priority="6367" operator="equal">
      <formula>"Nincs Po"</formula>
    </cfRule>
  </conditionalFormatting>
  <conditionalFormatting sqref="K411">
    <cfRule type="cellIs" dxfId="4612" priority="6363" operator="equal">
      <formula>"Nem Heineken Költség"</formula>
    </cfRule>
    <cfRule type="cellIs" dxfId="4611" priority="6364" operator="equal">
      <formula>"Nincs Po"</formula>
    </cfRule>
  </conditionalFormatting>
  <conditionalFormatting sqref="D361:D410">
    <cfRule type="cellIs" dxfId="4610" priority="6360" operator="equal">
      <formula>"Folyamatban"</formula>
    </cfRule>
    <cfRule type="cellIs" dxfId="4609" priority="6361" operator="equal">
      <formula>"Kész"</formula>
    </cfRule>
  </conditionalFormatting>
  <conditionalFormatting sqref="I410">
    <cfRule type="cellIs" dxfId="4608" priority="6353" operator="equal">
      <formula>"H"</formula>
    </cfRule>
  </conditionalFormatting>
  <conditionalFormatting sqref="J410">
    <cfRule type="cellIs" dxfId="4607" priority="6351" operator="equal">
      <formula>"Nem Heineken Költség"</formula>
    </cfRule>
  </conditionalFormatting>
  <conditionalFormatting sqref="J410">
    <cfRule type="cellIs" dxfId="4606" priority="6352" operator="equal">
      <formula>"Nincs Po"</formula>
    </cfRule>
  </conditionalFormatting>
  <conditionalFormatting sqref="K410">
    <cfRule type="cellIs" dxfId="4605" priority="6348" operator="equal">
      <formula>"Nem Heineken Költség"</formula>
    </cfRule>
    <cfRule type="cellIs" dxfId="4604" priority="6349" operator="equal">
      <formula>"Nincs Po"</formula>
    </cfRule>
  </conditionalFormatting>
  <conditionalFormatting sqref="I409">
    <cfRule type="cellIs" dxfId="4603" priority="6338" operator="equal">
      <formula>"H"</formula>
    </cfRule>
  </conditionalFormatting>
  <conditionalFormatting sqref="J409">
    <cfRule type="cellIs" dxfId="4602" priority="6336" operator="equal">
      <formula>"Nem Heineken Költség"</formula>
    </cfRule>
  </conditionalFormatting>
  <conditionalFormatting sqref="J409">
    <cfRule type="cellIs" dxfId="4601" priority="6337" operator="equal">
      <formula>"Nincs Po"</formula>
    </cfRule>
  </conditionalFormatting>
  <conditionalFormatting sqref="K409">
    <cfRule type="cellIs" dxfId="4600" priority="6333" operator="equal">
      <formula>"Nem Heineken Költség"</formula>
    </cfRule>
    <cfRule type="cellIs" dxfId="4599" priority="6334" operator="equal">
      <formula>"Nincs Po"</formula>
    </cfRule>
  </conditionalFormatting>
  <conditionalFormatting sqref="I408">
    <cfRule type="cellIs" dxfId="4598" priority="6323" operator="equal">
      <formula>"H"</formula>
    </cfRule>
  </conditionalFormatting>
  <conditionalFormatting sqref="J408">
    <cfRule type="cellIs" dxfId="4597" priority="6321" operator="equal">
      <formula>"Nem Heineken Költség"</formula>
    </cfRule>
  </conditionalFormatting>
  <conditionalFormatting sqref="J408">
    <cfRule type="cellIs" dxfId="4596" priority="6322" operator="equal">
      <formula>"Nincs Po"</formula>
    </cfRule>
  </conditionalFormatting>
  <conditionalFormatting sqref="K408">
    <cfRule type="cellIs" dxfId="4595" priority="6318" operator="equal">
      <formula>"Nem Heineken Költség"</formula>
    </cfRule>
    <cfRule type="cellIs" dxfId="4594" priority="6319" operator="equal">
      <formula>"Nincs Po"</formula>
    </cfRule>
  </conditionalFormatting>
  <conditionalFormatting sqref="I407">
    <cfRule type="cellIs" dxfId="4593" priority="6308" operator="equal">
      <formula>"H"</formula>
    </cfRule>
  </conditionalFormatting>
  <conditionalFormatting sqref="J407">
    <cfRule type="cellIs" dxfId="4592" priority="6306" operator="equal">
      <formula>"Nem Heineken Költség"</formula>
    </cfRule>
  </conditionalFormatting>
  <conditionalFormatting sqref="J407">
    <cfRule type="cellIs" dxfId="4591" priority="6307" operator="equal">
      <formula>"Nincs Po"</formula>
    </cfRule>
  </conditionalFormatting>
  <conditionalFormatting sqref="K407">
    <cfRule type="cellIs" dxfId="4590" priority="6303" operator="equal">
      <formula>"Nem Heineken Költség"</formula>
    </cfRule>
    <cfRule type="cellIs" dxfId="4589" priority="6304" operator="equal">
      <formula>"Nincs Po"</formula>
    </cfRule>
  </conditionalFormatting>
  <conditionalFormatting sqref="I406">
    <cfRule type="cellIs" dxfId="4588" priority="6293" operator="equal">
      <formula>"H"</formula>
    </cfRule>
  </conditionalFormatting>
  <conditionalFormatting sqref="J406">
    <cfRule type="cellIs" dxfId="4587" priority="6291" operator="equal">
      <formula>"Nem Heineken Költség"</formula>
    </cfRule>
  </conditionalFormatting>
  <conditionalFormatting sqref="J406">
    <cfRule type="cellIs" dxfId="4586" priority="6292" operator="equal">
      <formula>"Nincs Po"</formula>
    </cfRule>
  </conditionalFormatting>
  <conditionalFormatting sqref="K406">
    <cfRule type="cellIs" dxfId="4585" priority="6288" operator="equal">
      <formula>"Nem Heineken Költség"</formula>
    </cfRule>
    <cfRule type="cellIs" dxfId="4584" priority="6289" operator="equal">
      <formula>"Nincs Po"</formula>
    </cfRule>
  </conditionalFormatting>
  <conditionalFormatting sqref="I405">
    <cfRule type="cellIs" dxfId="4583" priority="6278" operator="equal">
      <formula>"H"</formula>
    </cfRule>
  </conditionalFormatting>
  <conditionalFormatting sqref="J405">
    <cfRule type="cellIs" dxfId="4582" priority="6276" operator="equal">
      <formula>"Nem Heineken Költség"</formula>
    </cfRule>
  </conditionalFormatting>
  <conditionalFormatting sqref="J405">
    <cfRule type="cellIs" dxfId="4581" priority="6277" operator="equal">
      <formula>"Nincs Po"</formula>
    </cfRule>
  </conditionalFormatting>
  <conditionalFormatting sqref="K405">
    <cfRule type="cellIs" dxfId="4580" priority="6273" operator="equal">
      <formula>"Nem Heineken Költség"</formula>
    </cfRule>
    <cfRule type="cellIs" dxfId="4579" priority="6274" operator="equal">
      <formula>"Nincs Po"</formula>
    </cfRule>
  </conditionalFormatting>
  <conditionalFormatting sqref="I404">
    <cfRule type="cellIs" dxfId="4578" priority="6263" operator="equal">
      <formula>"H"</formula>
    </cfRule>
  </conditionalFormatting>
  <conditionalFormatting sqref="J404">
    <cfRule type="cellIs" dxfId="4577" priority="6261" operator="equal">
      <formula>"Nem Heineken Költség"</formula>
    </cfRule>
  </conditionalFormatting>
  <conditionalFormatting sqref="J404">
    <cfRule type="cellIs" dxfId="4576" priority="6262" operator="equal">
      <formula>"Nincs Po"</formula>
    </cfRule>
  </conditionalFormatting>
  <conditionalFormatting sqref="K404">
    <cfRule type="cellIs" dxfId="4575" priority="6258" operator="equal">
      <formula>"Nem Heineken Költség"</formula>
    </cfRule>
    <cfRule type="cellIs" dxfId="4574" priority="6259" operator="equal">
      <formula>"Nincs Po"</formula>
    </cfRule>
  </conditionalFormatting>
  <conditionalFormatting sqref="I403">
    <cfRule type="cellIs" dxfId="4573" priority="6248" operator="equal">
      <formula>"H"</formula>
    </cfRule>
  </conditionalFormatting>
  <conditionalFormatting sqref="J403">
    <cfRule type="cellIs" dxfId="4572" priority="6246" operator="equal">
      <formula>"Nem Heineken Költség"</formula>
    </cfRule>
  </conditionalFormatting>
  <conditionalFormatting sqref="J403">
    <cfRule type="cellIs" dxfId="4571" priority="6247" operator="equal">
      <formula>"Nincs Po"</formula>
    </cfRule>
  </conditionalFormatting>
  <conditionalFormatting sqref="K403">
    <cfRule type="cellIs" dxfId="4570" priority="6243" operator="equal">
      <formula>"Nem Heineken Költség"</formula>
    </cfRule>
    <cfRule type="cellIs" dxfId="4569" priority="6244" operator="equal">
      <formula>"Nincs Po"</formula>
    </cfRule>
  </conditionalFormatting>
  <conditionalFormatting sqref="I402">
    <cfRule type="cellIs" dxfId="4568" priority="6233" operator="equal">
      <formula>"H"</formula>
    </cfRule>
  </conditionalFormatting>
  <conditionalFormatting sqref="J402">
    <cfRule type="cellIs" dxfId="4567" priority="6231" operator="equal">
      <formula>"Nem Heineken Költség"</formula>
    </cfRule>
  </conditionalFormatting>
  <conditionalFormatting sqref="J402">
    <cfRule type="cellIs" dxfId="4566" priority="6232" operator="equal">
      <formula>"Nincs Po"</formula>
    </cfRule>
  </conditionalFormatting>
  <conditionalFormatting sqref="K402">
    <cfRule type="cellIs" dxfId="4565" priority="6228" operator="equal">
      <formula>"Nem Heineken Költség"</formula>
    </cfRule>
    <cfRule type="cellIs" dxfId="4564" priority="6229" operator="equal">
      <formula>"Nincs Po"</formula>
    </cfRule>
  </conditionalFormatting>
  <conditionalFormatting sqref="I401">
    <cfRule type="cellIs" dxfId="4563" priority="6218" operator="equal">
      <formula>"H"</formula>
    </cfRule>
  </conditionalFormatting>
  <conditionalFormatting sqref="J401">
    <cfRule type="cellIs" dxfId="4562" priority="6216" operator="equal">
      <formula>"Nem Heineken Költség"</formula>
    </cfRule>
  </conditionalFormatting>
  <conditionalFormatting sqref="J401">
    <cfRule type="cellIs" dxfId="4561" priority="6217" operator="equal">
      <formula>"Nincs Po"</formula>
    </cfRule>
  </conditionalFormatting>
  <conditionalFormatting sqref="K401">
    <cfRule type="cellIs" dxfId="4560" priority="6213" operator="equal">
      <formula>"Nem Heineken Költség"</formula>
    </cfRule>
    <cfRule type="cellIs" dxfId="4559" priority="6214" operator="equal">
      <formula>"Nincs Po"</formula>
    </cfRule>
  </conditionalFormatting>
  <conditionalFormatting sqref="I400">
    <cfRule type="cellIs" dxfId="4558" priority="6203" operator="equal">
      <formula>"H"</formula>
    </cfRule>
  </conditionalFormatting>
  <conditionalFormatting sqref="J400">
    <cfRule type="cellIs" dxfId="4557" priority="6201" operator="equal">
      <formula>"Nem Heineken Költség"</formula>
    </cfRule>
  </conditionalFormatting>
  <conditionalFormatting sqref="J400">
    <cfRule type="cellIs" dxfId="4556" priority="6202" operator="equal">
      <formula>"Nincs Po"</formula>
    </cfRule>
  </conditionalFormatting>
  <conditionalFormatting sqref="K400">
    <cfRule type="cellIs" dxfId="4555" priority="6198" operator="equal">
      <formula>"Nem Heineken Költség"</formula>
    </cfRule>
    <cfRule type="cellIs" dxfId="4554" priority="6199" operator="equal">
      <formula>"Nincs Po"</formula>
    </cfRule>
  </conditionalFormatting>
  <conditionalFormatting sqref="I399">
    <cfRule type="cellIs" dxfId="4553" priority="6188" operator="equal">
      <formula>"H"</formula>
    </cfRule>
  </conditionalFormatting>
  <conditionalFormatting sqref="J399">
    <cfRule type="cellIs" dxfId="4552" priority="6186" operator="equal">
      <formula>"Nem Heineken Költség"</formula>
    </cfRule>
  </conditionalFormatting>
  <conditionalFormatting sqref="J399">
    <cfRule type="cellIs" dxfId="4551" priority="6187" operator="equal">
      <formula>"Nincs Po"</formula>
    </cfRule>
  </conditionalFormatting>
  <conditionalFormatting sqref="K399">
    <cfRule type="cellIs" dxfId="4550" priority="6183" operator="equal">
      <formula>"Nem Heineken Költség"</formula>
    </cfRule>
    <cfRule type="cellIs" dxfId="4549" priority="6184" operator="equal">
      <formula>"Nincs Po"</formula>
    </cfRule>
  </conditionalFormatting>
  <conditionalFormatting sqref="I398">
    <cfRule type="cellIs" dxfId="4548" priority="6173" operator="equal">
      <formula>"H"</formula>
    </cfRule>
  </conditionalFormatting>
  <conditionalFormatting sqref="J398">
    <cfRule type="cellIs" dxfId="4547" priority="6171" operator="equal">
      <formula>"Nem Heineken Költség"</formula>
    </cfRule>
  </conditionalFormatting>
  <conditionalFormatting sqref="J398">
    <cfRule type="cellIs" dxfId="4546" priority="6172" operator="equal">
      <formula>"Nincs Po"</formula>
    </cfRule>
  </conditionalFormatting>
  <conditionalFormatting sqref="K398">
    <cfRule type="cellIs" dxfId="4545" priority="6168" operator="equal">
      <formula>"Nem Heineken Költség"</formula>
    </cfRule>
    <cfRule type="cellIs" dxfId="4544" priority="6169" operator="equal">
      <formula>"Nincs Po"</formula>
    </cfRule>
  </conditionalFormatting>
  <conditionalFormatting sqref="I397">
    <cfRule type="cellIs" dxfId="4543" priority="6158" operator="equal">
      <formula>"H"</formula>
    </cfRule>
  </conditionalFormatting>
  <conditionalFormatting sqref="J397">
    <cfRule type="cellIs" dxfId="4542" priority="6156" operator="equal">
      <formula>"Nem Heineken Költség"</formula>
    </cfRule>
  </conditionalFormatting>
  <conditionalFormatting sqref="J397">
    <cfRule type="cellIs" dxfId="4541" priority="6157" operator="equal">
      <formula>"Nincs Po"</formula>
    </cfRule>
  </conditionalFormatting>
  <conditionalFormatting sqref="K397">
    <cfRule type="cellIs" dxfId="4540" priority="6153" operator="equal">
      <formula>"Nem Heineken Költség"</formula>
    </cfRule>
    <cfRule type="cellIs" dxfId="4539" priority="6154" operator="equal">
      <formula>"Nincs Po"</formula>
    </cfRule>
  </conditionalFormatting>
  <conditionalFormatting sqref="I396">
    <cfRule type="cellIs" dxfId="4538" priority="6143" operator="equal">
      <formula>"H"</formula>
    </cfRule>
  </conditionalFormatting>
  <conditionalFormatting sqref="J396">
    <cfRule type="cellIs" dxfId="4537" priority="6141" operator="equal">
      <formula>"Nem Heineken Költség"</formula>
    </cfRule>
  </conditionalFormatting>
  <conditionalFormatting sqref="J396">
    <cfRule type="cellIs" dxfId="4536" priority="6142" operator="equal">
      <formula>"Nincs Po"</formula>
    </cfRule>
  </conditionalFormatting>
  <conditionalFormatting sqref="K396">
    <cfRule type="cellIs" dxfId="4535" priority="6138" operator="equal">
      <formula>"Nem Heineken Költség"</formula>
    </cfRule>
    <cfRule type="cellIs" dxfId="4534" priority="6139" operator="equal">
      <formula>"Nincs Po"</formula>
    </cfRule>
  </conditionalFormatting>
  <conditionalFormatting sqref="I395">
    <cfRule type="cellIs" dxfId="4533" priority="6128" operator="equal">
      <formula>"H"</formula>
    </cfRule>
  </conditionalFormatting>
  <conditionalFormatting sqref="J395">
    <cfRule type="cellIs" dxfId="4532" priority="6126" operator="equal">
      <formula>"Nem Heineken Költség"</formula>
    </cfRule>
  </conditionalFormatting>
  <conditionalFormatting sqref="J395">
    <cfRule type="cellIs" dxfId="4531" priority="6127" operator="equal">
      <formula>"Nincs Po"</formula>
    </cfRule>
  </conditionalFormatting>
  <conditionalFormatting sqref="K395">
    <cfRule type="cellIs" dxfId="4530" priority="6123" operator="equal">
      <formula>"Nem Heineken Költség"</formula>
    </cfRule>
    <cfRule type="cellIs" dxfId="4529" priority="6124" operator="equal">
      <formula>"Nincs Po"</formula>
    </cfRule>
  </conditionalFormatting>
  <conditionalFormatting sqref="I394">
    <cfRule type="cellIs" dxfId="4528" priority="6113" operator="equal">
      <formula>"H"</formula>
    </cfRule>
  </conditionalFormatting>
  <conditionalFormatting sqref="J394">
    <cfRule type="cellIs" dxfId="4527" priority="6111" operator="equal">
      <formula>"Nem Heineken Költség"</formula>
    </cfRule>
  </conditionalFormatting>
  <conditionalFormatting sqref="J394">
    <cfRule type="cellIs" dxfId="4526" priority="6112" operator="equal">
      <formula>"Nincs Po"</formula>
    </cfRule>
  </conditionalFormatting>
  <conditionalFormatting sqref="K394">
    <cfRule type="cellIs" dxfId="4525" priority="6108" operator="equal">
      <formula>"Nem Heineken Költség"</formula>
    </cfRule>
    <cfRule type="cellIs" dxfId="4524" priority="6109" operator="equal">
      <formula>"Nincs Po"</formula>
    </cfRule>
  </conditionalFormatting>
  <conditionalFormatting sqref="I393">
    <cfRule type="cellIs" dxfId="4523" priority="6098" operator="equal">
      <formula>"H"</formula>
    </cfRule>
  </conditionalFormatting>
  <conditionalFormatting sqref="J393">
    <cfRule type="cellIs" dxfId="4522" priority="6096" operator="equal">
      <formula>"Nem Heineken Költség"</formula>
    </cfRule>
  </conditionalFormatting>
  <conditionalFormatting sqref="J393">
    <cfRule type="cellIs" dxfId="4521" priority="6097" operator="equal">
      <formula>"Nincs Po"</formula>
    </cfRule>
  </conditionalFormatting>
  <conditionalFormatting sqref="K393">
    <cfRule type="cellIs" dxfId="4520" priority="6093" operator="equal">
      <formula>"Nem Heineken Költség"</formula>
    </cfRule>
    <cfRule type="cellIs" dxfId="4519" priority="6094" operator="equal">
      <formula>"Nincs Po"</formula>
    </cfRule>
  </conditionalFormatting>
  <conditionalFormatting sqref="I392">
    <cfRule type="cellIs" dxfId="4518" priority="6083" operator="equal">
      <formula>"H"</formula>
    </cfRule>
  </conditionalFormatting>
  <conditionalFormatting sqref="J392">
    <cfRule type="cellIs" dxfId="4517" priority="6081" operator="equal">
      <formula>"Nem Heineken Költség"</formula>
    </cfRule>
  </conditionalFormatting>
  <conditionalFormatting sqref="J392">
    <cfRule type="cellIs" dxfId="4516" priority="6082" operator="equal">
      <formula>"Nincs Po"</formula>
    </cfRule>
  </conditionalFormatting>
  <conditionalFormatting sqref="K392">
    <cfRule type="cellIs" dxfId="4515" priority="6078" operator="equal">
      <formula>"Nem Heineken Költség"</formula>
    </cfRule>
    <cfRule type="cellIs" dxfId="4514" priority="6079" operator="equal">
      <formula>"Nincs Po"</formula>
    </cfRule>
  </conditionalFormatting>
  <conditionalFormatting sqref="I391">
    <cfRule type="cellIs" dxfId="4513" priority="6068" operator="equal">
      <formula>"H"</formula>
    </cfRule>
  </conditionalFormatting>
  <conditionalFormatting sqref="J391">
    <cfRule type="cellIs" dxfId="4512" priority="6066" operator="equal">
      <formula>"Nem Heineken Költség"</formula>
    </cfRule>
  </conditionalFormatting>
  <conditionalFormatting sqref="J391">
    <cfRule type="cellIs" dxfId="4511" priority="6067" operator="equal">
      <formula>"Nincs Po"</formula>
    </cfRule>
  </conditionalFormatting>
  <conditionalFormatting sqref="K391">
    <cfRule type="cellIs" dxfId="4510" priority="6063" operator="equal">
      <formula>"Nem Heineken Költség"</formula>
    </cfRule>
    <cfRule type="cellIs" dxfId="4509" priority="6064" operator="equal">
      <formula>"Nincs Po"</formula>
    </cfRule>
  </conditionalFormatting>
  <conditionalFormatting sqref="I390">
    <cfRule type="cellIs" dxfId="4508" priority="6053" operator="equal">
      <formula>"H"</formula>
    </cfRule>
  </conditionalFormatting>
  <conditionalFormatting sqref="J390">
    <cfRule type="cellIs" dxfId="4507" priority="6051" operator="equal">
      <formula>"Nem Heineken Költség"</formula>
    </cfRule>
  </conditionalFormatting>
  <conditionalFormatting sqref="J390">
    <cfRule type="cellIs" dxfId="4506" priority="6052" operator="equal">
      <formula>"Nincs Po"</formula>
    </cfRule>
  </conditionalFormatting>
  <conditionalFormatting sqref="K390">
    <cfRule type="cellIs" dxfId="4505" priority="6048" operator="equal">
      <formula>"Nem Heineken Költség"</formula>
    </cfRule>
    <cfRule type="cellIs" dxfId="4504" priority="6049" operator="equal">
      <formula>"Nincs Po"</formula>
    </cfRule>
  </conditionalFormatting>
  <conditionalFormatting sqref="I389">
    <cfRule type="cellIs" dxfId="4503" priority="6023" operator="equal">
      <formula>"H"</formula>
    </cfRule>
  </conditionalFormatting>
  <conditionalFormatting sqref="J389">
    <cfRule type="cellIs" dxfId="4502" priority="6021" operator="equal">
      <formula>"Nem Heineken Költség"</formula>
    </cfRule>
  </conditionalFormatting>
  <conditionalFormatting sqref="J389">
    <cfRule type="cellIs" dxfId="4501" priority="6022" operator="equal">
      <formula>"Nincs Po"</formula>
    </cfRule>
  </conditionalFormatting>
  <conditionalFormatting sqref="K389">
    <cfRule type="cellIs" dxfId="4500" priority="6018" operator="equal">
      <formula>"Nem Heineken Költség"</formula>
    </cfRule>
    <cfRule type="cellIs" dxfId="4499" priority="6019" operator="equal">
      <formula>"Nincs Po"</formula>
    </cfRule>
  </conditionalFormatting>
  <conditionalFormatting sqref="I388">
    <cfRule type="cellIs" dxfId="4498" priority="6008" operator="equal">
      <formula>"H"</formula>
    </cfRule>
  </conditionalFormatting>
  <conditionalFormatting sqref="J388">
    <cfRule type="cellIs" dxfId="4497" priority="6006" operator="equal">
      <formula>"Nem Heineken Költség"</formula>
    </cfRule>
  </conditionalFormatting>
  <conditionalFormatting sqref="J388">
    <cfRule type="cellIs" dxfId="4496" priority="6007" operator="equal">
      <formula>"Nincs Po"</formula>
    </cfRule>
  </conditionalFormatting>
  <conditionalFormatting sqref="K388">
    <cfRule type="cellIs" dxfId="4495" priority="6003" operator="equal">
      <formula>"Nem Heineken Költség"</formula>
    </cfRule>
    <cfRule type="cellIs" dxfId="4494" priority="6004" operator="equal">
      <formula>"Nincs Po"</formula>
    </cfRule>
  </conditionalFormatting>
  <conditionalFormatting sqref="I387">
    <cfRule type="cellIs" dxfId="4493" priority="5993" operator="equal">
      <formula>"H"</formula>
    </cfRule>
  </conditionalFormatting>
  <conditionalFormatting sqref="J387">
    <cfRule type="cellIs" dxfId="4492" priority="5991" operator="equal">
      <formula>"Nem Heineken Költség"</formula>
    </cfRule>
  </conditionalFormatting>
  <conditionalFormatting sqref="J387">
    <cfRule type="cellIs" dxfId="4491" priority="5992" operator="equal">
      <formula>"Nincs Po"</formula>
    </cfRule>
  </conditionalFormatting>
  <conditionalFormatting sqref="K387">
    <cfRule type="cellIs" dxfId="4490" priority="5988" operator="equal">
      <formula>"Nem Heineken Költség"</formula>
    </cfRule>
    <cfRule type="cellIs" dxfId="4489" priority="5989" operator="equal">
      <formula>"Nincs Po"</formula>
    </cfRule>
  </conditionalFormatting>
  <conditionalFormatting sqref="I386">
    <cfRule type="cellIs" dxfId="4488" priority="5978" operator="equal">
      <formula>"H"</formula>
    </cfRule>
  </conditionalFormatting>
  <conditionalFormatting sqref="J386">
    <cfRule type="cellIs" dxfId="4487" priority="5976" operator="equal">
      <formula>"Nem Heineken Költség"</formula>
    </cfRule>
  </conditionalFormatting>
  <conditionalFormatting sqref="J386">
    <cfRule type="cellIs" dxfId="4486" priority="5977" operator="equal">
      <formula>"Nincs Po"</formula>
    </cfRule>
  </conditionalFormatting>
  <conditionalFormatting sqref="K386">
    <cfRule type="cellIs" dxfId="4485" priority="5973" operator="equal">
      <formula>"Nem Heineken Költség"</formula>
    </cfRule>
    <cfRule type="cellIs" dxfId="4484" priority="5974" operator="equal">
      <formula>"Nincs Po"</formula>
    </cfRule>
  </conditionalFormatting>
  <conditionalFormatting sqref="I385">
    <cfRule type="cellIs" dxfId="4483" priority="5963" operator="equal">
      <formula>"H"</formula>
    </cfRule>
  </conditionalFormatting>
  <conditionalFormatting sqref="J385">
    <cfRule type="cellIs" dxfId="4482" priority="5961" operator="equal">
      <formula>"Nem Heineken Költség"</formula>
    </cfRule>
  </conditionalFormatting>
  <conditionalFormatting sqref="J385">
    <cfRule type="cellIs" dxfId="4481" priority="5962" operator="equal">
      <formula>"Nincs Po"</formula>
    </cfRule>
  </conditionalFormatting>
  <conditionalFormatting sqref="K385">
    <cfRule type="cellIs" dxfId="4480" priority="5958" operator="equal">
      <formula>"Nem Heineken Költség"</formula>
    </cfRule>
    <cfRule type="cellIs" dxfId="4479" priority="5959" operator="equal">
      <formula>"Nincs Po"</formula>
    </cfRule>
  </conditionalFormatting>
  <conditionalFormatting sqref="I384">
    <cfRule type="cellIs" dxfId="4478" priority="5948" operator="equal">
      <formula>"H"</formula>
    </cfRule>
  </conditionalFormatting>
  <conditionalFormatting sqref="J384">
    <cfRule type="cellIs" dxfId="4477" priority="5946" operator="equal">
      <formula>"Nem Heineken Költség"</formula>
    </cfRule>
  </conditionalFormatting>
  <conditionalFormatting sqref="J384">
    <cfRule type="cellIs" dxfId="4476" priority="5947" operator="equal">
      <formula>"Nincs Po"</formula>
    </cfRule>
  </conditionalFormatting>
  <conditionalFormatting sqref="K384">
    <cfRule type="cellIs" dxfId="4475" priority="5943" operator="equal">
      <formula>"Nem Heineken Költség"</formula>
    </cfRule>
    <cfRule type="cellIs" dxfId="4474" priority="5944" operator="equal">
      <formula>"Nincs Po"</formula>
    </cfRule>
  </conditionalFormatting>
  <conditionalFormatting sqref="I383">
    <cfRule type="cellIs" dxfId="4473" priority="5933" operator="equal">
      <formula>"H"</formula>
    </cfRule>
  </conditionalFormatting>
  <conditionalFormatting sqref="J383">
    <cfRule type="cellIs" dxfId="4472" priority="5931" operator="equal">
      <formula>"Nem Heineken Költség"</formula>
    </cfRule>
  </conditionalFormatting>
  <conditionalFormatting sqref="J383">
    <cfRule type="cellIs" dxfId="4471" priority="5932" operator="equal">
      <formula>"Nincs Po"</formula>
    </cfRule>
  </conditionalFormatting>
  <conditionalFormatting sqref="K383">
    <cfRule type="cellIs" dxfId="4470" priority="5928" operator="equal">
      <formula>"Nem Heineken Költség"</formula>
    </cfRule>
    <cfRule type="cellIs" dxfId="4469" priority="5929" operator="equal">
      <formula>"Nincs Po"</formula>
    </cfRule>
  </conditionalFormatting>
  <conditionalFormatting sqref="I382">
    <cfRule type="cellIs" dxfId="4468" priority="5918" operator="equal">
      <formula>"H"</formula>
    </cfRule>
  </conditionalFormatting>
  <conditionalFormatting sqref="J382">
    <cfRule type="cellIs" dxfId="4467" priority="5916" operator="equal">
      <formula>"Nem Heineken Költség"</formula>
    </cfRule>
  </conditionalFormatting>
  <conditionalFormatting sqref="J382">
    <cfRule type="cellIs" dxfId="4466" priority="5917" operator="equal">
      <formula>"Nincs Po"</formula>
    </cfRule>
  </conditionalFormatting>
  <conditionalFormatting sqref="K382">
    <cfRule type="cellIs" dxfId="4465" priority="5913" operator="equal">
      <formula>"Nem Heineken Költség"</formula>
    </cfRule>
    <cfRule type="cellIs" dxfId="4464" priority="5914" operator="equal">
      <formula>"Nincs Po"</formula>
    </cfRule>
  </conditionalFormatting>
  <conditionalFormatting sqref="I381">
    <cfRule type="cellIs" dxfId="4463" priority="5903" operator="equal">
      <formula>"H"</formula>
    </cfRule>
  </conditionalFormatting>
  <conditionalFormatting sqref="J381">
    <cfRule type="cellIs" dxfId="4462" priority="5901" operator="equal">
      <formula>"Nem Heineken Költség"</formula>
    </cfRule>
  </conditionalFormatting>
  <conditionalFormatting sqref="J381">
    <cfRule type="cellIs" dxfId="4461" priority="5902" operator="equal">
      <formula>"Nincs Po"</formula>
    </cfRule>
  </conditionalFormatting>
  <conditionalFormatting sqref="K381">
    <cfRule type="cellIs" dxfId="4460" priority="5898" operator="equal">
      <formula>"Nem Heineken Költség"</formula>
    </cfRule>
    <cfRule type="cellIs" dxfId="4459" priority="5899" operator="equal">
      <formula>"Nincs Po"</formula>
    </cfRule>
  </conditionalFormatting>
  <conditionalFormatting sqref="I380">
    <cfRule type="cellIs" dxfId="4458" priority="5888" operator="equal">
      <formula>"H"</formula>
    </cfRule>
  </conditionalFormatting>
  <conditionalFormatting sqref="J380">
    <cfRule type="cellIs" dxfId="4457" priority="5886" operator="equal">
      <formula>"Nem Heineken Költség"</formula>
    </cfRule>
  </conditionalFormatting>
  <conditionalFormatting sqref="J380">
    <cfRule type="cellIs" dxfId="4456" priority="5887" operator="equal">
      <formula>"Nincs Po"</formula>
    </cfRule>
  </conditionalFormatting>
  <conditionalFormatting sqref="K380">
    <cfRule type="cellIs" dxfId="4455" priority="5883" operator="equal">
      <formula>"Nem Heineken Költség"</formula>
    </cfRule>
    <cfRule type="cellIs" dxfId="4454" priority="5884" operator="equal">
      <formula>"Nincs Po"</formula>
    </cfRule>
  </conditionalFormatting>
  <conditionalFormatting sqref="I379">
    <cfRule type="cellIs" dxfId="4453" priority="5873" operator="equal">
      <formula>"H"</formula>
    </cfRule>
  </conditionalFormatting>
  <conditionalFormatting sqref="J379">
    <cfRule type="cellIs" dxfId="4452" priority="5871" operator="equal">
      <formula>"Nem Heineken Költség"</formula>
    </cfRule>
  </conditionalFormatting>
  <conditionalFormatting sqref="J379">
    <cfRule type="cellIs" dxfId="4451" priority="5872" operator="equal">
      <formula>"Nincs Po"</formula>
    </cfRule>
  </conditionalFormatting>
  <conditionalFormatting sqref="I378">
    <cfRule type="cellIs" dxfId="4450" priority="5858" operator="equal">
      <formula>"H"</formula>
    </cfRule>
  </conditionalFormatting>
  <conditionalFormatting sqref="J378">
    <cfRule type="cellIs" dxfId="4449" priority="5856" operator="equal">
      <formula>"Nem Heineken Költség"</formula>
    </cfRule>
  </conditionalFormatting>
  <conditionalFormatting sqref="J378">
    <cfRule type="cellIs" dxfId="4448" priority="5857" operator="equal">
      <formula>"Nincs Po"</formula>
    </cfRule>
  </conditionalFormatting>
  <conditionalFormatting sqref="K378">
    <cfRule type="cellIs" dxfId="4447" priority="5853" operator="equal">
      <formula>"Nem Heineken Költség"</formula>
    </cfRule>
    <cfRule type="cellIs" dxfId="4446" priority="5854" operator="equal">
      <formula>"Nincs Po"</formula>
    </cfRule>
  </conditionalFormatting>
  <conditionalFormatting sqref="I377">
    <cfRule type="cellIs" dxfId="4445" priority="5843" operator="equal">
      <formula>"H"</formula>
    </cfRule>
  </conditionalFormatting>
  <conditionalFormatting sqref="J377">
    <cfRule type="cellIs" dxfId="4444" priority="5841" operator="equal">
      <formula>"Nem Heineken Költség"</formula>
    </cfRule>
  </conditionalFormatting>
  <conditionalFormatting sqref="J377">
    <cfRule type="cellIs" dxfId="4443" priority="5842" operator="equal">
      <formula>"Nincs Po"</formula>
    </cfRule>
  </conditionalFormatting>
  <conditionalFormatting sqref="K377">
    <cfRule type="cellIs" dxfId="4442" priority="5838" operator="equal">
      <formula>"Nem Heineken Költség"</formula>
    </cfRule>
    <cfRule type="cellIs" dxfId="4441" priority="5839" operator="equal">
      <formula>"Nincs Po"</formula>
    </cfRule>
  </conditionalFormatting>
  <conditionalFormatting sqref="I376">
    <cfRule type="cellIs" dxfId="4440" priority="5828" operator="equal">
      <formula>"H"</formula>
    </cfRule>
  </conditionalFormatting>
  <conditionalFormatting sqref="J376">
    <cfRule type="cellIs" dxfId="4439" priority="5826" operator="equal">
      <formula>"Nem Heineken Költség"</formula>
    </cfRule>
  </conditionalFormatting>
  <conditionalFormatting sqref="J376">
    <cfRule type="cellIs" dxfId="4438" priority="5827" operator="equal">
      <formula>"Nincs Po"</formula>
    </cfRule>
  </conditionalFormatting>
  <conditionalFormatting sqref="K376">
    <cfRule type="cellIs" dxfId="4437" priority="5823" operator="equal">
      <formula>"Nem Heineken Költség"</formula>
    </cfRule>
    <cfRule type="cellIs" dxfId="4436" priority="5824" operator="equal">
      <formula>"Nincs Po"</formula>
    </cfRule>
  </conditionalFormatting>
  <conditionalFormatting sqref="I375">
    <cfRule type="cellIs" dxfId="4435" priority="5813" operator="equal">
      <formula>"H"</formula>
    </cfRule>
  </conditionalFormatting>
  <conditionalFormatting sqref="J375">
    <cfRule type="cellIs" dxfId="4434" priority="5811" operator="equal">
      <formula>"Nem Heineken Költség"</formula>
    </cfRule>
  </conditionalFormatting>
  <conditionalFormatting sqref="J375">
    <cfRule type="cellIs" dxfId="4433" priority="5812" operator="equal">
      <formula>"Nincs Po"</formula>
    </cfRule>
  </conditionalFormatting>
  <conditionalFormatting sqref="K375">
    <cfRule type="cellIs" dxfId="4432" priority="5808" operator="equal">
      <formula>"Nem Heineken Költség"</formula>
    </cfRule>
    <cfRule type="cellIs" dxfId="4431" priority="5809" operator="equal">
      <formula>"Nincs Po"</formula>
    </cfRule>
  </conditionalFormatting>
  <conditionalFormatting sqref="I374">
    <cfRule type="cellIs" dxfId="4430" priority="5798" operator="equal">
      <formula>"H"</formula>
    </cfRule>
  </conditionalFormatting>
  <conditionalFormatting sqref="J374">
    <cfRule type="cellIs" dxfId="4429" priority="5796" operator="equal">
      <formula>"Nem Heineken Költség"</formula>
    </cfRule>
  </conditionalFormatting>
  <conditionalFormatting sqref="J374">
    <cfRule type="cellIs" dxfId="4428" priority="5797" operator="equal">
      <formula>"Nincs Po"</formula>
    </cfRule>
  </conditionalFormatting>
  <conditionalFormatting sqref="K374">
    <cfRule type="cellIs" dxfId="4427" priority="5793" operator="equal">
      <formula>"Nem Heineken Költség"</formula>
    </cfRule>
    <cfRule type="cellIs" dxfId="4426" priority="5794" operator="equal">
      <formula>"Nincs Po"</formula>
    </cfRule>
  </conditionalFormatting>
  <conditionalFormatting sqref="I373">
    <cfRule type="cellIs" dxfId="4425" priority="5783" operator="equal">
      <formula>"H"</formula>
    </cfRule>
  </conditionalFormatting>
  <conditionalFormatting sqref="J373">
    <cfRule type="cellIs" dxfId="4424" priority="5781" operator="equal">
      <formula>"Nem Heineken Költség"</formula>
    </cfRule>
  </conditionalFormatting>
  <conditionalFormatting sqref="J373">
    <cfRule type="cellIs" dxfId="4423" priority="5782" operator="equal">
      <formula>"Nincs Po"</formula>
    </cfRule>
  </conditionalFormatting>
  <conditionalFormatting sqref="K373">
    <cfRule type="cellIs" dxfId="4422" priority="5778" operator="equal">
      <formula>"Nem Heineken Költség"</formula>
    </cfRule>
    <cfRule type="cellIs" dxfId="4421" priority="5779" operator="equal">
      <formula>"Nincs Po"</formula>
    </cfRule>
  </conditionalFormatting>
  <conditionalFormatting sqref="I372">
    <cfRule type="cellIs" dxfId="4420" priority="5768" operator="equal">
      <formula>"H"</formula>
    </cfRule>
  </conditionalFormatting>
  <conditionalFormatting sqref="J372">
    <cfRule type="cellIs" dxfId="4419" priority="5766" operator="equal">
      <formula>"Nem Heineken Költség"</formula>
    </cfRule>
  </conditionalFormatting>
  <conditionalFormatting sqref="J372">
    <cfRule type="cellIs" dxfId="4418" priority="5767" operator="equal">
      <formula>"Nincs Po"</formula>
    </cfRule>
  </conditionalFormatting>
  <conditionalFormatting sqref="K372">
    <cfRule type="cellIs" dxfId="4417" priority="5763" operator="equal">
      <formula>"Nem Heineken Költség"</formula>
    </cfRule>
    <cfRule type="cellIs" dxfId="4416" priority="5764" operator="equal">
      <formula>"Nincs Po"</formula>
    </cfRule>
  </conditionalFormatting>
  <conditionalFormatting sqref="I371">
    <cfRule type="cellIs" dxfId="4415" priority="5753" operator="equal">
      <formula>"H"</formula>
    </cfRule>
  </conditionalFormatting>
  <conditionalFormatting sqref="J371">
    <cfRule type="cellIs" dxfId="4414" priority="5751" operator="equal">
      <formula>"Nem Heineken Költség"</formula>
    </cfRule>
  </conditionalFormatting>
  <conditionalFormatting sqref="J371">
    <cfRule type="cellIs" dxfId="4413" priority="5752" operator="equal">
      <formula>"Nincs Po"</formula>
    </cfRule>
  </conditionalFormatting>
  <conditionalFormatting sqref="K371">
    <cfRule type="cellIs" dxfId="4412" priority="5748" operator="equal">
      <formula>"Nem Heineken Költség"</formula>
    </cfRule>
    <cfRule type="cellIs" dxfId="4411" priority="5749" operator="equal">
      <formula>"Nincs Po"</formula>
    </cfRule>
  </conditionalFormatting>
  <conditionalFormatting sqref="I370">
    <cfRule type="cellIs" dxfId="4410" priority="5738" operator="equal">
      <formula>"H"</formula>
    </cfRule>
  </conditionalFormatting>
  <conditionalFormatting sqref="J370">
    <cfRule type="cellIs" dxfId="4409" priority="5736" operator="equal">
      <formula>"Nem Heineken Költség"</formula>
    </cfRule>
  </conditionalFormatting>
  <conditionalFormatting sqref="J370">
    <cfRule type="cellIs" dxfId="4408" priority="5737" operator="equal">
      <formula>"Nincs Po"</formula>
    </cfRule>
  </conditionalFormatting>
  <conditionalFormatting sqref="K370">
    <cfRule type="cellIs" dxfId="4407" priority="5733" operator="equal">
      <formula>"Nem Heineken Költség"</formula>
    </cfRule>
    <cfRule type="cellIs" dxfId="4406" priority="5734" operator="equal">
      <formula>"Nincs Po"</formula>
    </cfRule>
  </conditionalFormatting>
  <conditionalFormatting sqref="I369">
    <cfRule type="cellIs" dxfId="4405" priority="5723" operator="equal">
      <formula>"H"</formula>
    </cfRule>
  </conditionalFormatting>
  <conditionalFormatting sqref="J369">
    <cfRule type="cellIs" dxfId="4404" priority="5721" operator="equal">
      <formula>"Nem Heineken Költség"</formula>
    </cfRule>
  </conditionalFormatting>
  <conditionalFormatting sqref="J369">
    <cfRule type="cellIs" dxfId="4403" priority="5722" operator="equal">
      <formula>"Nincs Po"</formula>
    </cfRule>
  </conditionalFormatting>
  <conditionalFormatting sqref="K369">
    <cfRule type="cellIs" dxfId="4402" priority="5718" operator="equal">
      <formula>"Nem Heineken Költség"</formula>
    </cfRule>
    <cfRule type="cellIs" dxfId="4401" priority="5719" operator="equal">
      <formula>"Nincs Po"</formula>
    </cfRule>
  </conditionalFormatting>
  <conditionalFormatting sqref="I368">
    <cfRule type="cellIs" dxfId="4400" priority="5708" operator="equal">
      <formula>"H"</formula>
    </cfRule>
  </conditionalFormatting>
  <conditionalFormatting sqref="J368">
    <cfRule type="cellIs" dxfId="4399" priority="5706" operator="equal">
      <formula>"Nem Heineken Költség"</formula>
    </cfRule>
  </conditionalFormatting>
  <conditionalFormatting sqref="J368">
    <cfRule type="cellIs" dxfId="4398" priority="5707" operator="equal">
      <formula>"Nincs Po"</formula>
    </cfRule>
  </conditionalFormatting>
  <conditionalFormatting sqref="K368">
    <cfRule type="cellIs" dxfId="4397" priority="5703" operator="equal">
      <formula>"Nem Heineken Költség"</formula>
    </cfRule>
    <cfRule type="cellIs" dxfId="4396" priority="5704" operator="equal">
      <formula>"Nincs Po"</formula>
    </cfRule>
  </conditionalFormatting>
  <conditionalFormatting sqref="I367">
    <cfRule type="cellIs" dxfId="4395" priority="5693" operator="equal">
      <formula>"H"</formula>
    </cfRule>
  </conditionalFormatting>
  <conditionalFormatting sqref="J367">
    <cfRule type="cellIs" dxfId="4394" priority="5691" operator="equal">
      <formula>"Nem Heineken Költség"</formula>
    </cfRule>
  </conditionalFormatting>
  <conditionalFormatting sqref="J367">
    <cfRule type="cellIs" dxfId="4393" priority="5692" operator="equal">
      <formula>"Nincs Po"</formula>
    </cfRule>
  </conditionalFormatting>
  <conditionalFormatting sqref="K367">
    <cfRule type="cellIs" dxfId="4392" priority="5688" operator="equal">
      <formula>"Nem Heineken Költség"</formula>
    </cfRule>
    <cfRule type="cellIs" dxfId="4391" priority="5689" operator="equal">
      <formula>"Nincs Po"</formula>
    </cfRule>
  </conditionalFormatting>
  <conditionalFormatting sqref="I366">
    <cfRule type="cellIs" dxfId="4390" priority="5678" operator="equal">
      <formula>"H"</formula>
    </cfRule>
  </conditionalFormatting>
  <conditionalFormatting sqref="J366">
    <cfRule type="cellIs" dxfId="4389" priority="5676" operator="equal">
      <formula>"Nem Heineken Költség"</formula>
    </cfRule>
  </conditionalFormatting>
  <conditionalFormatting sqref="J366">
    <cfRule type="cellIs" dxfId="4388" priority="5677" operator="equal">
      <formula>"Nincs Po"</formula>
    </cfRule>
  </conditionalFormatting>
  <conditionalFormatting sqref="K366">
    <cfRule type="cellIs" dxfId="4387" priority="5673" operator="equal">
      <formula>"Nem Heineken Költség"</formula>
    </cfRule>
    <cfRule type="cellIs" dxfId="4386" priority="5674" operator="equal">
      <formula>"Nincs Po"</formula>
    </cfRule>
  </conditionalFormatting>
  <conditionalFormatting sqref="I365">
    <cfRule type="cellIs" dxfId="4385" priority="5663" operator="equal">
      <formula>"H"</formula>
    </cfRule>
  </conditionalFormatting>
  <conditionalFormatting sqref="J365">
    <cfRule type="cellIs" dxfId="4384" priority="5661" operator="equal">
      <formula>"Nem Heineken Költség"</formula>
    </cfRule>
  </conditionalFormatting>
  <conditionalFormatting sqref="J365">
    <cfRule type="cellIs" dxfId="4383" priority="5662" operator="equal">
      <formula>"Nincs Po"</formula>
    </cfRule>
  </conditionalFormatting>
  <conditionalFormatting sqref="K365">
    <cfRule type="cellIs" dxfId="4382" priority="5658" operator="equal">
      <formula>"Nem Heineken Költség"</formula>
    </cfRule>
    <cfRule type="cellIs" dxfId="4381" priority="5659" operator="equal">
      <formula>"Nincs Po"</formula>
    </cfRule>
  </conditionalFormatting>
  <conditionalFormatting sqref="I364">
    <cfRule type="cellIs" dxfId="4380" priority="5648" operator="equal">
      <formula>"H"</formula>
    </cfRule>
  </conditionalFormatting>
  <conditionalFormatting sqref="J364">
    <cfRule type="cellIs" dxfId="4379" priority="5646" operator="equal">
      <formula>"Nem Heineken Költség"</formula>
    </cfRule>
  </conditionalFormatting>
  <conditionalFormatting sqref="J364">
    <cfRule type="cellIs" dxfId="4378" priority="5647" operator="equal">
      <formula>"Nincs Po"</formula>
    </cfRule>
  </conditionalFormatting>
  <conditionalFormatting sqref="K364">
    <cfRule type="cellIs" dxfId="4377" priority="5643" operator="equal">
      <formula>"Nem Heineken Költség"</formula>
    </cfRule>
    <cfRule type="cellIs" dxfId="4376" priority="5644" operator="equal">
      <formula>"Nincs Po"</formula>
    </cfRule>
  </conditionalFormatting>
  <conditionalFormatting sqref="I363">
    <cfRule type="cellIs" dxfId="4375" priority="5633" operator="equal">
      <formula>"H"</formula>
    </cfRule>
  </conditionalFormatting>
  <conditionalFormatting sqref="J363">
    <cfRule type="cellIs" dxfId="4374" priority="5631" operator="equal">
      <formula>"Nem Heineken Költség"</formula>
    </cfRule>
  </conditionalFormatting>
  <conditionalFormatting sqref="J363">
    <cfRule type="cellIs" dxfId="4373" priority="5632" operator="equal">
      <formula>"Nincs Po"</formula>
    </cfRule>
  </conditionalFormatting>
  <conditionalFormatting sqref="K363">
    <cfRule type="cellIs" dxfId="4372" priority="5628" operator="equal">
      <formula>"Nem Heineken Költség"</formula>
    </cfRule>
    <cfRule type="cellIs" dxfId="4371" priority="5629" operator="equal">
      <formula>"Nincs Po"</formula>
    </cfRule>
  </conditionalFormatting>
  <conditionalFormatting sqref="I362">
    <cfRule type="cellIs" dxfId="4370" priority="5618" operator="equal">
      <formula>"H"</formula>
    </cfRule>
  </conditionalFormatting>
  <conditionalFormatting sqref="J362">
    <cfRule type="cellIs" dxfId="4369" priority="5616" operator="equal">
      <formula>"Nem Heineken Költség"</formula>
    </cfRule>
  </conditionalFormatting>
  <conditionalFormatting sqref="J362">
    <cfRule type="cellIs" dxfId="4368" priority="5617" operator="equal">
      <formula>"Nincs Po"</formula>
    </cfRule>
  </conditionalFormatting>
  <conditionalFormatting sqref="K362">
    <cfRule type="cellIs" dxfId="4367" priority="5613" operator="equal">
      <formula>"Nem Heineken Költség"</formula>
    </cfRule>
    <cfRule type="cellIs" dxfId="4366" priority="5614" operator="equal">
      <formula>"Nincs Po"</formula>
    </cfRule>
  </conditionalFormatting>
  <conditionalFormatting sqref="I361">
    <cfRule type="cellIs" dxfId="4365" priority="5603" operator="equal">
      <formula>"H"</formula>
    </cfRule>
  </conditionalFormatting>
  <conditionalFormatting sqref="J361">
    <cfRule type="cellIs" dxfId="4364" priority="5601" operator="equal">
      <formula>"Nem Heineken Költség"</formula>
    </cfRule>
  </conditionalFormatting>
  <conditionalFormatting sqref="J361">
    <cfRule type="cellIs" dxfId="4363" priority="5602" operator="equal">
      <formula>"Nincs Po"</formula>
    </cfRule>
  </conditionalFormatting>
  <conditionalFormatting sqref="K361">
    <cfRule type="cellIs" dxfId="4362" priority="5598" operator="equal">
      <formula>"Nem Heineken Költség"</formula>
    </cfRule>
    <cfRule type="cellIs" dxfId="4361" priority="5599" operator="equal">
      <formula>"Nincs Po"</formula>
    </cfRule>
  </conditionalFormatting>
  <conditionalFormatting sqref="I360">
    <cfRule type="cellIs" dxfId="4360" priority="5588" operator="equal">
      <formula>"H"</formula>
    </cfRule>
  </conditionalFormatting>
  <conditionalFormatting sqref="J360">
    <cfRule type="cellIs" dxfId="4359" priority="5586" operator="equal">
      <formula>"Nem Heineken Költség"</formula>
    </cfRule>
  </conditionalFormatting>
  <conditionalFormatting sqref="J360">
    <cfRule type="cellIs" dxfId="4358" priority="5587" operator="equal">
      <formula>"Nincs Po"</formula>
    </cfRule>
  </conditionalFormatting>
  <conditionalFormatting sqref="K360">
    <cfRule type="cellIs" dxfId="4357" priority="5583" operator="equal">
      <formula>"Nem Heineken Költség"</formula>
    </cfRule>
    <cfRule type="cellIs" dxfId="4356" priority="5584" operator="equal">
      <formula>"Nincs Po"</formula>
    </cfRule>
  </conditionalFormatting>
  <conditionalFormatting sqref="I359">
    <cfRule type="cellIs" dxfId="4355" priority="5558" operator="equal">
      <formula>"H"</formula>
    </cfRule>
  </conditionalFormatting>
  <conditionalFormatting sqref="J359">
    <cfRule type="cellIs" dxfId="4354" priority="5554" operator="equal">
      <formula>"Nem Heineken Költség"</formula>
    </cfRule>
  </conditionalFormatting>
  <conditionalFormatting sqref="J359">
    <cfRule type="cellIs" dxfId="4353" priority="5555" operator="equal">
      <formula>"Nincs Po"</formula>
    </cfRule>
  </conditionalFormatting>
  <conditionalFormatting sqref="K359">
    <cfRule type="cellIs" dxfId="4352" priority="5551" operator="equal">
      <formula>"Nem Heineken Költség"</formula>
    </cfRule>
    <cfRule type="cellIs" dxfId="4351" priority="5552" operator="equal">
      <formula>"Nincs Po"</formula>
    </cfRule>
  </conditionalFormatting>
  <conditionalFormatting sqref="I358">
    <cfRule type="cellIs" dxfId="4350" priority="5543" operator="equal">
      <formula>"H"</formula>
    </cfRule>
  </conditionalFormatting>
  <conditionalFormatting sqref="J358">
    <cfRule type="cellIs" dxfId="4349" priority="5539" operator="equal">
      <formula>"Nem Heineken Költség"</formula>
    </cfRule>
  </conditionalFormatting>
  <conditionalFormatting sqref="J358">
    <cfRule type="cellIs" dxfId="4348" priority="5540" operator="equal">
      <formula>"Nincs Po"</formula>
    </cfRule>
  </conditionalFormatting>
  <conditionalFormatting sqref="K358">
    <cfRule type="cellIs" dxfId="4347" priority="5536" operator="equal">
      <formula>"Nem Heineken Költség"</formula>
    </cfRule>
    <cfRule type="cellIs" dxfId="4346" priority="5537" operator="equal">
      <formula>"Nincs Po"</formula>
    </cfRule>
  </conditionalFormatting>
  <conditionalFormatting sqref="I357">
    <cfRule type="cellIs" dxfId="4345" priority="5496" operator="equal">
      <formula>"H"</formula>
    </cfRule>
  </conditionalFormatting>
  <conditionalFormatting sqref="J357">
    <cfRule type="cellIs" dxfId="4344" priority="5492" operator="equal">
      <formula>"Nem Heineken Költség"</formula>
    </cfRule>
  </conditionalFormatting>
  <conditionalFormatting sqref="J357">
    <cfRule type="cellIs" dxfId="4343" priority="5493" operator="equal">
      <formula>"Nincs Po"</formula>
    </cfRule>
  </conditionalFormatting>
  <conditionalFormatting sqref="K357">
    <cfRule type="cellIs" dxfId="4342" priority="5489" operator="equal">
      <formula>"Nem Heineken Költség"</formula>
    </cfRule>
    <cfRule type="cellIs" dxfId="4341" priority="5490" operator="equal">
      <formula>"Nincs Po"</formula>
    </cfRule>
  </conditionalFormatting>
  <conditionalFormatting sqref="D443">
    <cfRule type="cellIs" dxfId="4340" priority="5486" operator="equal">
      <formula>"Folyamatban"</formula>
    </cfRule>
    <cfRule type="cellIs" dxfId="4339" priority="5487" operator="equal">
      <formula>"Kész"</formula>
    </cfRule>
  </conditionalFormatting>
  <conditionalFormatting sqref="D453">
    <cfRule type="cellIs" dxfId="4338" priority="5484" operator="equal">
      <formula>"Folyamatban"</formula>
    </cfRule>
    <cfRule type="cellIs" dxfId="4337" priority="5485" operator="equal">
      <formula>"Kész"</formula>
    </cfRule>
  </conditionalFormatting>
  <conditionalFormatting sqref="D456">
    <cfRule type="cellIs" dxfId="4336" priority="5482" operator="equal">
      <formula>"Folyamatban"</formula>
    </cfRule>
    <cfRule type="cellIs" dxfId="4335" priority="5483" operator="equal">
      <formula>"Kész"</formula>
    </cfRule>
  </conditionalFormatting>
  <conditionalFormatting sqref="D459">
    <cfRule type="cellIs" dxfId="4334" priority="5480" operator="equal">
      <formula>"Folyamatban"</formula>
    </cfRule>
    <cfRule type="cellIs" dxfId="4333" priority="5481" operator="equal">
      <formula>"Kész"</formula>
    </cfRule>
  </conditionalFormatting>
  <conditionalFormatting sqref="D460">
    <cfRule type="cellIs" dxfId="4332" priority="5478" operator="equal">
      <formula>"Folyamatban"</formula>
    </cfRule>
    <cfRule type="cellIs" dxfId="4331" priority="5479" operator="equal">
      <formula>"Kész"</formula>
    </cfRule>
  </conditionalFormatting>
  <conditionalFormatting sqref="D724">
    <cfRule type="cellIs" dxfId="4330" priority="5476" operator="equal">
      <formula>"Folyamatban"</formula>
    </cfRule>
    <cfRule type="cellIs" dxfId="4329" priority="5477" operator="equal">
      <formula>"Kész"</formula>
    </cfRule>
  </conditionalFormatting>
  <conditionalFormatting sqref="I356">
    <cfRule type="cellIs" dxfId="4328" priority="5469" operator="equal">
      <formula>"H"</formula>
    </cfRule>
  </conditionalFormatting>
  <conditionalFormatting sqref="J356">
    <cfRule type="cellIs" dxfId="4327" priority="5465" operator="equal">
      <formula>"Nem Heineken Költség"</formula>
    </cfRule>
  </conditionalFormatting>
  <conditionalFormatting sqref="J356">
    <cfRule type="cellIs" dxfId="4326" priority="5466" operator="equal">
      <formula>"Nincs Po"</formula>
    </cfRule>
  </conditionalFormatting>
  <conditionalFormatting sqref="K356">
    <cfRule type="cellIs" dxfId="4325" priority="5462" operator="equal">
      <formula>"Nem Heineken Költség"</formula>
    </cfRule>
    <cfRule type="cellIs" dxfId="4324" priority="5463" operator="equal">
      <formula>"Nincs Po"</formula>
    </cfRule>
  </conditionalFormatting>
  <conditionalFormatting sqref="I355">
    <cfRule type="cellIs" dxfId="4323" priority="5439" operator="equal">
      <formula>"H"</formula>
    </cfRule>
  </conditionalFormatting>
  <conditionalFormatting sqref="D355">
    <cfRule type="cellIs" dxfId="4322" priority="5437" operator="equal">
      <formula>"Folyamatban"</formula>
    </cfRule>
    <cfRule type="cellIs" dxfId="4321" priority="5438" operator="equal">
      <formula>"Kész"</formula>
    </cfRule>
  </conditionalFormatting>
  <conditionalFormatting sqref="J355">
    <cfRule type="cellIs" dxfId="4320" priority="5435" operator="equal">
      <formula>"Nem Heineken Költség"</formula>
    </cfRule>
  </conditionalFormatting>
  <conditionalFormatting sqref="J355">
    <cfRule type="cellIs" dxfId="4319" priority="5436" operator="equal">
      <formula>"Nincs Po"</formula>
    </cfRule>
  </conditionalFormatting>
  <conditionalFormatting sqref="K355">
    <cfRule type="cellIs" dxfId="4318" priority="5432" operator="equal">
      <formula>"Nem Heineken Költség"</formula>
    </cfRule>
    <cfRule type="cellIs" dxfId="4317" priority="5433" operator="equal">
      <formula>"Nincs Po"</formula>
    </cfRule>
  </conditionalFormatting>
  <conditionalFormatting sqref="I354">
    <cfRule type="cellIs" dxfId="4316" priority="5424" operator="equal">
      <formula>"H"</formula>
    </cfRule>
  </conditionalFormatting>
  <conditionalFormatting sqref="D354">
    <cfRule type="cellIs" dxfId="4315" priority="5422" operator="equal">
      <formula>"Folyamatban"</formula>
    </cfRule>
    <cfRule type="cellIs" dxfId="4314" priority="5423" operator="equal">
      <formula>"Kész"</formula>
    </cfRule>
  </conditionalFormatting>
  <conditionalFormatting sqref="J354">
    <cfRule type="cellIs" dxfId="4313" priority="5420" operator="equal">
      <formula>"Nem Heineken Költség"</formula>
    </cfRule>
  </conditionalFormatting>
  <conditionalFormatting sqref="J354">
    <cfRule type="cellIs" dxfId="4312" priority="5421" operator="equal">
      <formula>"Nincs Po"</formula>
    </cfRule>
  </conditionalFormatting>
  <conditionalFormatting sqref="K354">
    <cfRule type="cellIs" dxfId="4311" priority="5417" operator="equal">
      <formula>"Nem Heineken Költség"</formula>
    </cfRule>
    <cfRule type="cellIs" dxfId="4310" priority="5418" operator="equal">
      <formula>"Nincs Po"</formula>
    </cfRule>
  </conditionalFormatting>
  <conditionalFormatting sqref="I353">
    <cfRule type="cellIs" dxfId="4309" priority="5409" operator="equal">
      <formula>"H"</formula>
    </cfRule>
  </conditionalFormatting>
  <conditionalFormatting sqref="D353">
    <cfRule type="cellIs" dxfId="4308" priority="5407" operator="equal">
      <formula>"Folyamatban"</formula>
    </cfRule>
    <cfRule type="cellIs" dxfId="4307" priority="5408" operator="equal">
      <formula>"Kész"</formula>
    </cfRule>
  </conditionalFormatting>
  <conditionalFormatting sqref="J353">
    <cfRule type="cellIs" dxfId="4306" priority="5405" operator="equal">
      <formula>"Nem Heineken Költség"</formula>
    </cfRule>
  </conditionalFormatting>
  <conditionalFormatting sqref="J353">
    <cfRule type="cellIs" dxfId="4305" priority="5406" operator="equal">
      <formula>"Nincs Po"</formula>
    </cfRule>
  </conditionalFormatting>
  <conditionalFormatting sqref="K353">
    <cfRule type="cellIs" dxfId="4304" priority="5402" operator="equal">
      <formula>"Nem Heineken Költség"</formula>
    </cfRule>
    <cfRule type="cellIs" dxfId="4303" priority="5403" operator="equal">
      <formula>"Nincs Po"</formula>
    </cfRule>
  </conditionalFormatting>
  <conditionalFormatting sqref="I352">
    <cfRule type="cellIs" dxfId="4302" priority="5394" operator="equal">
      <formula>"H"</formula>
    </cfRule>
  </conditionalFormatting>
  <conditionalFormatting sqref="J352">
    <cfRule type="cellIs" dxfId="4301" priority="5390" operator="equal">
      <formula>"Nem Heineken Költség"</formula>
    </cfRule>
  </conditionalFormatting>
  <conditionalFormatting sqref="J352">
    <cfRule type="cellIs" dxfId="4300" priority="5391" operator="equal">
      <formula>"Nincs Po"</formula>
    </cfRule>
  </conditionalFormatting>
  <conditionalFormatting sqref="K352">
    <cfRule type="cellIs" dxfId="4299" priority="5387" operator="equal">
      <formula>"Nem Heineken Költség"</formula>
    </cfRule>
    <cfRule type="cellIs" dxfId="4298" priority="5388" operator="equal">
      <formula>"Nincs Po"</formula>
    </cfRule>
  </conditionalFormatting>
  <conditionalFormatting sqref="I351">
    <cfRule type="cellIs" dxfId="4297" priority="5379" operator="equal">
      <formula>"H"</formula>
    </cfRule>
  </conditionalFormatting>
  <conditionalFormatting sqref="J351">
    <cfRule type="cellIs" dxfId="4296" priority="5375" operator="equal">
      <formula>"Nem Heineken Költség"</formula>
    </cfRule>
  </conditionalFormatting>
  <conditionalFormatting sqref="J351">
    <cfRule type="cellIs" dxfId="4295" priority="5376" operator="equal">
      <formula>"Nincs Po"</formula>
    </cfRule>
  </conditionalFormatting>
  <conditionalFormatting sqref="K351">
    <cfRule type="cellIs" dxfId="4294" priority="5372" operator="equal">
      <formula>"Nem Heineken Költség"</formula>
    </cfRule>
    <cfRule type="cellIs" dxfId="4293" priority="5373" operator="equal">
      <formula>"Nincs Po"</formula>
    </cfRule>
  </conditionalFormatting>
  <conditionalFormatting sqref="I350">
    <cfRule type="cellIs" dxfId="4292" priority="5364" operator="equal">
      <formula>"H"</formula>
    </cfRule>
  </conditionalFormatting>
  <conditionalFormatting sqref="J350">
    <cfRule type="cellIs" dxfId="4291" priority="5360" operator="equal">
      <formula>"Nem Heineken Költség"</formula>
    </cfRule>
  </conditionalFormatting>
  <conditionalFormatting sqref="J350">
    <cfRule type="cellIs" dxfId="4290" priority="5361" operator="equal">
      <formula>"Nincs Po"</formula>
    </cfRule>
  </conditionalFormatting>
  <conditionalFormatting sqref="K350">
    <cfRule type="cellIs" dxfId="4289" priority="5357" operator="equal">
      <formula>"Nem Heineken Költség"</formula>
    </cfRule>
    <cfRule type="cellIs" dxfId="4288" priority="5358" operator="equal">
      <formula>"Nincs Po"</formula>
    </cfRule>
  </conditionalFormatting>
  <conditionalFormatting sqref="I349">
    <cfRule type="cellIs" dxfId="4287" priority="5349" operator="equal">
      <formula>"H"</formula>
    </cfRule>
  </conditionalFormatting>
  <conditionalFormatting sqref="J349">
    <cfRule type="cellIs" dxfId="4286" priority="5345" operator="equal">
      <formula>"Nem Heineken Költség"</formula>
    </cfRule>
  </conditionalFormatting>
  <conditionalFormatting sqref="J349">
    <cfRule type="cellIs" dxfId="4285" priority="5346" operator="equal">
      <formula>"Nincs Po"</formula>
    </cfRule>
  </conditionalFormatting>
  <conditionalFormatting sqref="K349">
    <cfRule type="cellIs" dxfId="4284" priority="5342" operator="equal">
      <formula>"Nem Heineken Költség"</formula>
    </cfRule>
    <cfRule type="cellIs" dxfId="4283" priority="5343" operator="equal">
      <formula>"Nincs Po"</formula>
    </cfRule>
  </conditionalFormatting>
  <conditionalFormatting sqref="I348">
    <cfRule type="cellIs" dxfId="4282" priority="5334" operator="equal">
      <formula>"H"</formula>
    </cfRule>
  </conditionalFormatting>
  <conditionalFormatting sqref="J348">
    <cfRule type="cellIs" dxfId="4281" priority="5330" operator="equal">
      <formula>"Nem Heineken Költség"</formula>
    </cfRule>
  </conditionalFormatting>
  <conditionalFormatting sqref="J348">
    <cfRule type="cellIs" dxfId="4280" priority="5331" operator="equal">
      <formula>"Nincs Po"</formula>
    </cfRule>
  </conditionalFormatting>
  <conditionalFormatting sqref="K348">
    <cfRule type="cellIs" dxfId="4279" priority="5327" operator="equal">
      <formula>"Nem Heineken Költség"</formula>
    </cfRule>
    <cfRule type="cellIs" dxfId="4278" priority="5328" operator="equal">
      <formula>"Nincs Po"</formula>
    </cfRule>
  </conditionalFormatting>
  <conditionalFormatting sqref="I347">
    <cfRule type="cellIs" dxfId="4277" priority="5319" operator="equal">
      <formula>"H"</formula>
    </cfRule>
  </conditionalFormatting>
  <conditionalFormatting sqref="J347">
    <cfRule type="cellIs" dxfId="4276" priority="5315" operator="equal">
      <formula>"Nem Heineken Költség"</formula>
    </cfRule>
  </conditionalFormatting>
  <conditionalFormatting sqref="J347">
    <cfRule type="cellIs" dxfId="4275" priority="5316" operator="equal">
      <formula>"Nincs Po"</formula>
    </cfRule>
  </conditionalFormatting>
  <conditionalFormatting sqref="K347">
    <cfRule type="cellIs" dxfId="4274" priority="5312" operator="equal">
      <formula>"Nem Heineken Költség"</formula>
    </cfRule>
    <cfRule type="cellIs" dxfId="4273" priority="5313" operator="equal">
      <formula>"Nincs Po"</formula>
    </cfRule>
  </conditionalFormatting>
  <conditionalFormatting sqref="I346">
    <cfRule type="cellIs" dxfId="4272" priority="5304" operator="equal">
      <formula>"H"</formula>
    </cfRule>
  </conditionalFormatting>
  <conditionalFormatting sqref="J346">
    <cfRule type="cellIs" dxfId="4271" priority="5300" operator="equal">
      <formula>"Nem Heineken Költség"</formula>
    </cfRule>
  </conditionalFormatting>
  <conditionalFormatting sqref="J346">
    <cfRule type="cellIs" dxfId="4270" priority="5301" operator="equal">
      <formula>"Nincs Po"</formula>
    </cfRule>
  </conditionalFormatting>
  <conditionalFormatting sqref="K346">
    <cfRule type="cellIs" dxfId="4269" priority="5297" operator="equal">
      <formula>"Nem Heineken Költség"</formula>
    </cfRule>
    <cfRule type="cellIs" dxfId="4268" priority="5298" operator="equal">
      <formula>"Nincs Po"</formula>
    </cfRule>
  </conditionalFormatting>
  <conditionalFormatting sqref="I345">
    <cfRule type="cellIs" dxfId="4267" priority="5289" operator="equal">
      <formula>"H"</formula>
    </cfRule>
  </conditionalFormatting>
  <conditionalFormatting sqref="J345">
    <cfRule type="cellIs" dxfId="4266" priority="5285" operator="equal">
      <formula>"Nem Heineken Költség"</formula>
    </cfRule>
  </conditionalFormatting>
  <conditionalFormatting sqref="J345">
    <cfRule type="cellIs" dxfId="4265" priority="5286" operator="equal">
      <formula>"Nincs Po"</formula>
    </cfRule>
  </conditionalFormatting>
  <conditionalFormatting sqref="K345">
    <cfRule type="cellIs" dxfId="4264" priority="5282" operator="equal">
      <formula>"Nem Heineken Költség"</formula>
    </cfRule>
    <cfRule type="cellIs" dxfId="4263" priority="5283" operator="equal">
      <formula>"Nincs Po"</formula>
    </cfRule>
  </conditionalFormatting>
  <conditionalFormatting sqref="I344">
    <cfRule type="cellIs" dxfId="4262" priority="5274" operator="equal">
      <formula>"H"</formula>
    </cfRule>
  </conditionalFormatting>
  <conditionalFormatting sqref="J344">
    <cfRule type="cellIs" dxfId="4261" priority="5270" operator="equal">
      <formula>"Nem Heineken Költség"</formula>
    </cfRule>
  </conditionalFormatting>
  <conditionalFormatting sqref="J344">
    <cfRule type="cellIs" dxfId="4260" priority="5271" operator="equal">
      <formula>"Nincs Po"</formula>
    </cfRule>
  </conditionalFormatting>
  <conditionalFormatting sqref="K344">
    <cfRule type="cellIs" dxfId="4259" priority="5267" operator="equal">
      <formula>"Nem Heineken Költség"</formula>
    </cfRule>
    <cfRule type="cellIs" dxfId="4258" priority="5268" operator="equal">
      <formula>"Nincs Po"</formula>
    </cfRule>
  </conditionalFormatting>
  <conditionalFormatting sqref="I343">
    <cfRule type="cellIs" dxfId="4257" priority="5259" operator="equal">
      <formula>"H"</formula>
    </cfRule>
  </conditionalFormatting>
  <conditionalFormatting sqref="J343">
    <cfRule type="cellIs" dxfId="4256" priority="5255" operator="equal">
      <formula>"Nem Heineken Költség"</formula>
    </cfRule>
  </conditionalFormatting>
  <conditionalFormatting sqref="J343">
    <cfRule type="cellIs" dxfId="4255" priority="5256" operator="equal">
      <formula>"Nincs Po"</formula>
    </cfRule>
  </conditionalFormatting>
  <conditionalFormatting sqref="K343">
    <cfRule type="cellIs" dxfId="4254" priority="5252" operator="equal">
      <formula>"Nem Heineken Költség"</formula>
    </cfRule>
    <cfRule type="cellIs" dxfId="4253" priority="5253" operator="equal">
      <formula>"Nincs Po"</formula>
    </cfRule>
  </conditionalFormatting>
  <conditionalFormatting sqref="I342">
    <cfRule type="cellIs" dxfId="4252" priority="5244" operator="equal">
      <formula>"H"</formula>
    </cfRule>
  </conditionalFormatting>
  <conditionalFormatting sqref="J342">
    <cfRule type="cellIs" dxfId="4251" priority="5240" operator="equal">
      <formula>"Nem Heineken Költség"</formula>
    </cfRule>
  </conditionalFormatting>
  <conditionalFormatting sqref="J342">
    <cfRule type="cellIs" dxfId="4250" priority="5241" operator="equal">
      <formula>"Nincs Po"</formula>
    </cfRule>
  </conditionalFormatting>
  <conditionalFormatting sqref="K342">
    <cfRule type="cellIs" dxfId="4249" priority="5237" operator="equal">
      <formula>"Nem Heineken Költség"</formula>
    </cfRule>
    <cfRule type="cellIs" dxfId="4248" priority="5238" operator="equal">
      <formula>"Nincs Po"</formula>
    </cfRule>
  </conditionalFormatting>
  <conditionalFormatting sqref="I341">
    <cfRule type="cellIs" dxfId="4247" priority="5214" operator="equal">
      <formula>"H"</formula>
    </cfRule>
  </conditionalFormatting>
  <conditionalFormatting sqref="J341">
    <cfRule type="cellIs" dxfId="4246" priority="5210" operator="equal">
      <formula>"Nem Heineken Költség"</formula>
    </cfRule>
  </conditionalFormatting>
  <conditionalFormatting sqref="J341">
    <cfRule type="cellIs" dxfId="4245" priority="5211" operator="equal">
      <formula>"Nincs Po"</formula>
    </cfRule>
  </conditionalFormatting>
  <conditionalFormatting sqref="K341">
    <cfRule type="cellIs" dxfId="4244" priority="5207" operator="equal">
      <formula>"Nem Heineken Költség"</formula>
    </cfRule>
    <cfRule type="cellIs" dxfId="4243" priority="5208" operator="equal">
      <formula>"Nincs Po"</formula>
    </cfRule>
  </conditionalFormatting>
  <conditionalFormatting sqref="I340">
    <cfRule type="cellIs" dxfId="4242" priority="5199" operator="equal">
      <formula>"H"</formula>
    </cfRule>
  </conditionalFormatting>
  <conditionalFormatting sqref="J340">
    <cfRule type="cellIs" dxfId="4241" priority="5195" operator="equal">
      <formula>"Nem Heineken Költség"</formula>
    </cfRule>
  </conditionalFormatting>
  <conditionalFormatting sqref="J340">
    <cfRule type="cellIs" dxfId="4240" priority="5196" operator="equal">
      <formula>"Nincs Po"</formula>
    </cfRule>
  </conditionalFormatting>
  <conditionalFormatting sqref="K340">
    <cfRule type="cellIs" dxfId="4239" priority="5192" operator="equal">
      <formula>"Nem Heineken Költség"</formula>
    </cfRule>
    <cfRule type="cellIs" dxfId="4238" priority="5193" operator="equal">
      <formula>"Nincs Po"</formula>
    </cfRule>
  </conditionalFormatting>
  <conditionalFormatting sqref="I339">
    <cfRule type="cellIs" dxfId="4237" priority="5184" operator="equal">
      <formula>"H"</formula>
    </cfRule>
  </conditionalFormatting>
  <conditionalFormatting sqref="J339">
    <cfRule type="cellIs" dxfId="4236" priority="5180" operator="equal">
      <formula>"Nem Heineken Költség"</formula>
    </cfRule>
  </conditionalFormatting>
  <conditionalFormatting sqref="J339">
    <cfRule type="cellIs" dxfId="4235" priority="5181" operator="equal">
      <formula>"Nincs Po"</formula>
    </cfRule>
  </conditionalFormatting>
  <conditionalFormatting sqref="K339">
    <cfRule type="cellIs" dxfId="4234" priority="5177" operator="equal">
      <formula>"Nem Heineken Költség"</formula>
    </cfRule>
    <cfRule type="cellIs" dxfId="4233" priority="5178" operator="equal">
      <formula>"Nincs Po"</formula>
    </cfRule>
  </conditionalFormatting>
  <conditionalFormatting sqref="I338">
    <cfRule type="cellIs" dxfId="4232" priority="5169" operator="equal">
      <formula>"H"</formula>
    </cfRule>
  </conditionalFormatting>
  <conditionalFormatting sqref="J338">
    <cfRule type="cellIs" dxfId="4231" priority="5165" operator="equal">
      <formula>"Nem Heineken Költség"</formula>
    </cfRule>
  </conditionalFormatting>
  <conditionalFormatting sqref="J338">
    <cfRule type="cellIs" dxfId="4230" priority="5166" operator="equal">
      <formula>"Nincs Po"</formula>
    </cfRule>
  </conditionalFormatting>
  <conditionalFormatting sqref="K338">
    <cfRule type="cellIs" dxfId="4229" priority="5162" operator="equal">
      <formula>"Nem Heineken Költség"</formula>
    </cfRule>
    <cfRule type="cellIs" dxfId="4228" priority="5163" operator="equal">
      <formula>"Nincs Po"</formula>
    </cfRule>
  </conditionalFormatting>
  <conditionalFormatting sqref="I337">
    <cfRule type="cellIs" dxfId="4227" priority="5154" operator="equal">
      <formula>"H"</formula>
    </cfRule>
  </conditionalFormatting>
  <conditionalFormatting sqref="J337">
    <cfRule type="cellIs" dxfId="4226" priority="5150" operator="equal">
      <formula>"Nem Heineken Költség"</formula>
    </cfRule>
  </conditionalFormatting>
  <conditionalFormatting sqref="J337">
    <cfRule type="cellIs" dxfId="4225" priority="5151" operator="equal">
      <formula>"Nincs Po"</formula>
    </cfRule>
  </conditionalFormatting>
  <conditionalFormatting sqref="K337">
    <cfRule type="cellIs" dxfId="4224" priority="5147" operator="equal">
      <formula>"Nem Heineken Költség"</formula>
    </cfRule>
    <cfRule type="cellIs" dxfId="4223" priority="5148" operator="equal">
      <formula>"Nincs Po"</formula>
    </cfRule>
  </conditionalFormatting>
  <conditionalFormatting sqref="I336">
    <cfRule type="cellIs" dxfId="4222" priority="5139" operator="equal">
      <formula>"H"</formula>
    </cfRule>
  </conditionalFormatting>
  <conditionalFormatting sqref="J336">
    <cfRule type="cellIs" dxfId="4221" priority="5135" operator="equal">
      <formula>"Nem Heineken Költség"</formula>
    </cfRule>
  </conditionalFormatting>
  <conditionalFormatting sqref="J336">
    <cfRule type="cellIs" dxfId="4220" priority="5136" operator="equal">
      <formula>"Nincs Po"</formula>
    </cfRule>
  </conditionalFormatting>
  <conditionalFormatting sqref="K336">
    <cfRule type="cellIs" dxfId="4219" priority="5132" operator="equal">
      <formula>"Nem Heineken Költség"</formula>
    </cfRule>
    <cfRule type="cellIs" dxfId="4218" priority="5133" operator="equal">
      <formula>"Nincs Po"</formula>
    </cfRule>
  </conditionalFormatting>
  <conditionalFormatting sqref="I335">
    <cfRule type="cellIs" dxfId="4217" priority="5124" operator="equal">
      <formula>"H"</formula>
    </cfRule>
  </conditionalFormatting>
  <conditionalFormatting sqref="J335">
    <cfRule type="cellIs" dxfId="4216" priority="5120" operator="equal">
      <formula>"Nem Heineken Költség"</formula>
    </cfRule>
  </conditionalFormatting>
  <conditionalFormatting sqref="J335">
    <cfRule type="cellIs" dxfId="4215" priority="5121" operator="equal">
      <formula>"Nincs Po"</formula>
    </cfRule>
  </conditionalFormatting>
  <conditionalFormatting sqref="K335">
    <cfRule type="cellIs" dxfId="4214" priority="5117" operator="equal">
      <formula>"Nem Heineken Költség"</formula>
    </cfRule>
    <cfRule type="cellIs" dxfId="4213" priority="5118" operator="equal">
      <formula>"Nincs Po"</formula>
    </cfRule>
  </conditionalFormatting>
  <conditionalFormatting sqref="I334">
    <cfRule type="cellIs" dxfId="4212" priority="5109" operator="equal">
      <formula>"H"</formula>
    </cfRule>
  </conditionalFormatting>
  <conditionalFormatting sqref="J334">
    <cfRule type="cellIs" dxfId="4211" priority="5105" operator="equal">
      <formula>"Nem Heineken Költség"</formula>
    </cfRule>
  </conditionalFormatting>
  <conditionalFormatting sqref="J334">
    <cfRule type="cellIs" dxfId="4210" priority="5106" operator="equal">
      <formula>"Nincs Po"</formula>
    </cfRule>
  </conditionalFormatting>
  <conditionalFormatting sqref="K334">
    <cfRule type="cellIs" dxfId="4209" priority="5102" operator="equal">
      <formula>"Nem Heineken Költség"</formula>
    </cfRule>
    <cfRule type="cellIs" dxfId="4208" priority="5103" operator="equal">
      <formula>"Nincs Po"</formula>
    </cfRule>
  </conditionalFormatting>
  <conditionalFormatting sqref="I333">
    <cfRule type="cellIs" dxfId="4207" priority="5094" operator="equal">
      <formula>"H"</formula>
    </cfRule>
  </conditionalFormatting>
  <conditionalFormatting sqref="J333">
    <cfRule type="cellIs" dxfId="4206" priority="5090" operator="equal">
      <formula>"Nem Heineken Költség"</formula>
    </cfRule>
  </conditionalFormatting>
  <conditionalFormatting sqref="J333">
    <cfRule type="cellIs" dxfId="4205" priority="5091" operator="equal">
      <formula>"Nincs Po"</formula>
    </cfRule>
  </conditionalFormatting>
  <conditionalFormatting sqref="K333">
    <cfRule type="cellIs" dxfId="4204" priority="5087" operator="equal">
      <formula>"Nem Heineken Költség"</formula>
    </cfRule>
    <cfRule type="cellIs" dxfId="4203" priority="5088" operator="equal">
      <formula>"Nincs Po"</formula>
    </cfRule>
  </conditionalFormatting>
  <conditionalFormatting sqref="I332">
    <cfRule type="cellIs" dxfId="4202" priority="5079" operator="equal">
      <formula>"H"</formula>
    </cfRule>
  </conditionalFormatting>
  <conditionalFormatting sqref="J332">
    <cfRule type="cellIs" dxfId="4201" priority="5075" operator="equal">
      <formula>"Nem Heineken Költség"</formula>
    </cfRule>
  </conditionalFormatting>
  <conditionalFormatting sqref="J332">
    <cfRule type="cellIs" dxfId="4200" priority="5076" operator="equal">
      <formula>"Nincs Po"</formula>
    </cfRule>
  </conditionalFormatting>
  <conditionalFormatting sqref="K332">
    <cfRule type="cellIs" dxfId="4199" priority="5072" operator="equal">
      <formula>"Nem Heineken Költség"</formula>
    </cfRule>
    <cfRule type="cellIs" dxfId="4198" priority="5073" operator="equal">
      <formula>"Nincs Po"</formula>
    </cfRule>
  </conditionalFormatting>
  <conditionalFormatting sqref="I331">
    <cfRule type="cellIs" dxfId="4197" priority="5064" operator="equal">
      <formula>"H"</formula>
    </cfRule>
  </conditionalFormatting>
  <conditionalFormatting sqref="J331">
    <cfRule type="cellIs" dxfId="4196" priority="5060" operator="equal">
      <formula>"Nem Heineken Költség"</formula>
    </cfRule>
  </conditionalFormatting>
  <conditionalFormatting sqref="J331">
    <cfRule type="cellIs" dxfId="4195" priority="5061" operator="equal">
      <formula>"Nincs Po"</formula>
    </cfRule>
  </conditionalFormatting>
  <conditionalFormatting sqref="K331">
    <cfRule type="cellIs" dxfId="4194" priority="5057" operator="equal">
      <formula>"Nem Heineken Költség"</formula>
    </cfRule>
    <cfRule type="cellIs" dxfId="4193" priority="5058" operator="equal">
      <formula>"Nincs Po"</formula>
    </cfRule>
  </conditionalFormatting>
  <conditionalFormatting sqref="I330">
    <cfRule type="cellIs" dxfId="4192" priority="5049" operator="equal">
      <formula>"H"</formula>
    </cfRule>
  </conditionalFormatting>
  <conditionalFormatting sqref="J330">
    <cfRule type="cellIs" dxfId="4191" priority="5045" operator="equal">
      <formula>"Nem Heineken Költség"</formula>
    </cfRule>
  </conditionalFormatting>
  <conditionalFormatting sqref="J330">
    <cfRule type="cellIs" dxfId="4190" priority="5046" operator="equal">
      <formula>"Nincs Po"</formula>
    </cfRule>
  </conditionalFormatting>
  <conditionalFormatting sqref="K330">
    <cfRule type="cellIs" dxfId="4189" priority="5042" operator="equal">
      <formula>"Nem Heineken Költség"</formula>
    </cfRule>
    <cfRule type="cellIs" dxfId="4188" priority="5043" operator="equal">
      <formula>"Nincs Po"</formula>
    </cfRule>
  </conditionalFormatting>
  <conditionalFormatting sqref="I329">
    <cfRule type="cellIs" dxfId="4187" priority="5034" operator="equal">
      <formula>"H"</formula>
    </cfRule>
  </conditionalFormatting>
  <conditionalFormatting sqref="J329">
    <cfRule type="cellIs" dxfId="4186" priority="5030" operator="equal">
      <formula>"Nem Heineken Költség"</formula>
    </cfRule>
  </conditionalFormatting>
  <conditionalFormatting sqref="J329">
    <cfRule type="cellIs" dxfId="4185" priority="5031" operator="equal">
      <formula>"Nincs Po"</formula>
    </cfRule>
  </conditionalFormatting>
  <conditionalFormatting sqref="K329">
    <cfRule type="cellIs" dxfId="4184" priority="5027" operator="equal">
      <formula>"Nem Heineken Költség"</formula>
    </cfRule>
    <cfRule type="cellIs" dxfId="4183" priority="5028" operator="equal">
      <formula>"Nincs Po"</formula>
    </cfRule>
  </conditionalFormatting>
  <conditionalFormatting sqref="I328">
    <cfRule type="cellIs" dxfId="4182" priority="5019" operator="equal">
      <formula>"H"</formula>
    </cfRule>
  </conditionalFormatting>
  <conditionalFormatting sqref="J328">
    <cfRule type="cellIs" dxfId="4181" priority="5015" operator="equal">
      <formula>"Nem Heineken Költség"</formula>
    </cfRule>
  </conditionalFormatting>
  <conditionalFormatting sqref="J328">
    <cfRule type="cellIs" dxfId="4180" priority="5016" operator="equal">
      <formula>"Nincs Po"</formula>
    </cfRule>
  </conditionalFormatting>
  <conditionalFormatting sqref="K328">
    <cfRule type="cellIs" dxfId="4179" priority="5012" operator="equal">
      <formula>"Nem Heineken Költség"</formula>
    </cfRule>
    <cfRule type="cellIs" dxfId="4178" priority="5013" operator="equal">
      <formula>"Nincs Po"</formula>
    </cfRule>
  </conditionalFormatting>
  <conditionalFormatting sqref="I327">
    <cfRule type="cellIs" dxfId="4177" priority="5004" operator="equal">
      <formula>"H"</formula>
    </cfRule>
  </conditionalFormatting>
  <conditionalFormatting sqref="J327">
    <cfRule type="cellIs" dxfId="4176" priority="5000" operator="equal">
      <formula>"Nem Heineken Költség"</formula>
    </cfRule>
  </conditionalFormatting>
  <conditionalFormatting sqref="J327">
    <cfRule type="cellIs" dxfId="4175" priority="5001" operator="equal">
      <formula>"Nincs Po"</formula>
    </cfRule>
  </conditionalFormatting>
  <conditionalFormatting sqref="K327">
    <cfRule type="cellIs" dxfId="4174" priority="4997" operator="equal">
      <formula>"Nem Heineken Költség"</formula>
    </cfRule>
    <cfRule type="cellIs" dxfId="4173" priority="4998" operator="equal">
      <formula>"Nincs Po"</formula>
    </cfRule>
  </conditionalFormatting>
  <conditionalFormatting sqref="I326">
    <cfRule type="cellIs" dxfId="4172" priority="4989" operator="equal">
      <formula>"H"</formula>
    </cfRule>
  </conditionalFormatting>
  <conditionalFormatting sqref="J326">
    <cfRule type="cellIs" dxfId="4171" priority="4985" operator="equal">
      <formula>"Nem Heineken Költség"</formula>
    </cfRule>
  </conditionalFormatting>
  <conditionalFormatting sqref="J326">
    <cfRule type="cellIs" dxfId="4170" priority="4986" operator="equal">
      <formula>"Nincs Po"</formula>
    </cfRule>
  </conditionalFormatting>
  <conditionalFormatting sqref="K326">
    <cfRule type="cellIs" dxfId="4169" priority="4982" operator="equal">
      <formula>"Nem Heineken Költség"</formula>
    </cfRule>
    <cfRule type="cellIs" dxfId="4168" priority="4983" operator="equal">
      <formula>"Nincs Po"</formula>
    </cfRule>
  </conditionalFormatting>
  <conditionalFormatting sqref="I325">
    <cfRule type="cellIs" dxfId="4167" priority="4974" operator="equal">
      <formula>"H"</formula>
    </cfRule>
  </conditionalFormatting>
  <conditionalFormatting sqref="J325">
    <cfRule type="cellIs" dxfId="4166" priority="4970" operator="equal">
      <formula>"Nem Heineken Költség"</formula>
    </cfRule>
  </conditionalFormatting>
  <conditionalFormatting sqref="J325">
    <cfRule type="cellIs" dxfId="4165" priority="4971" operator="equal">
      <formula>"Nincs Po"</formula>
    </cfRule>
  </conditionalFormatting>
  <conditionalFormatting sqref="K325">
    <cfRule type="cellIs" dxfId="4164" priority="4967" operator="equal">
      <formula>"Nem Heineken Költség"</formula>
    </cfRule>
    <cfRule type="cellIs" dxfId="4163" priority="4968" operator="equal">
      <formula>"Nincs Po"</formula>
    </cfRule>
  </conditionalFormatting>
  <conditionalFormatting sqref="I324">
    <cfRule type="cellIs" dxfId="4162" priority="4959" operator="equal">
      <formula>"H"</formula>
    </cfRule>
  </conditionalFormatting>
  <conditionalFormatting sqref="J324">
    <cfRule type="cellIs" dxfId="4161" priority="4955" operator="equal">
      <formula>"Nem Heineken Költség"</formula>
    </cfRule>
  </conditionalFormatting>
  <conditionalFormatting sqref="J324">
    <cfRule type="cellIs" dxfId="4160" priority="4956" operator="equal">
      <formula>"Nincs Po"</formula>
    </cfRule>
  </conditionalFormatting>
  <conditionalFormatting sqref="K324">
    <cfRule type="cellIs" dxfId="4159" priority="4952" operator="equal">
      <formula>"Nem Heineken Költség"</formula>
    </cfRule>
    <cfRule type="cellIs" dxfId="4158" priority="4953" operator="equal">
      <formula>"Nincs Po"</formula>
    </cfRule>
  </conditionalFormatting>
  <conditionalFormatting sqref="I323">
    <cfRule type="cellIs" dxfId="4157" priority="4944" operator="equal">
      <formula>"H"</formula>
    </cfRule>
  </conditionalFormatting>
  <conditionalFormatting sqref="J323">
    <cfRule type="cellIs" dxfId="4156" priority="4940" operator="equal">
      <formula>"Nem Heineken Költség"</formula>
    </cfRule>
  </conditionalFormatting>
  <conditionalFormatting sqref="J323">
    <cfRule type="cellIs" dxfId="4155" priority="4941" operator="equal">
      <formula>"Nincs Po"</formula>
    </cfRule>
  </conditionalFormatting>
  <conditionalFormatting sqref="I322">
    <cfRule type="cellIs" dxfId="4154" priority="4929" operator="equal">
      <formula>"H"</formula>
    </cfRule>
  </conditionalFormatting>
  <conditionalFormatting sqref="J322">
    <cfRule type="cellIs" dxfId="4153" priority="4925" operator="equal">
      <formula>"Nem Heineken Költség"</formula>
    </cfRule>
  </conditionalFormatting>
  <conditionalFormatting sqref="J322">
    <cfRule type="cellIs" dxfId="4152" priority="4926" operator="equal">
      <formula>"Nincs Po"</formula>
    </cfRule>
  </conditionalFormatting>
  <conditionalFormatting sqref="K322">
    <cfRule type="cellIs" dxfId="4151" priority="4922" operator="equal">
      <formula>"Nem Heineken Költség"</formula>
    </cfRule>
    <cfRule type="cellIs" dxfId="4150" priority="4923" operator="equal">
      <formula>"Nincs Po"</formula>
    </cfRule>
  </conditionalFormatting>
  <conditionalFormatting sqref="I321">
    <cfRule type="cellIs" dxfId="4149" priority="4914" operator="equal">
      <formula>"H"</formula>
    </cfRule>
  </conditionalFormatting>
  <conditionalFormatting sqref="J321">
    <cfRule type="cellIs" dxfId="4148" priority="4910" operator="equal">
      <formula>"Nem Heineken Költség"</formula>
    </cfRule>
  </conditionalFormatting>
  <conditionalFormatting sqref="J321">
    <cfRule type="cellIs" dxfId="4147" priority="4911" operator="equal">
      <formula>"Nincs Po"</formula>
    </cfRule>
  </conditionalFormatting>
  <conditionalFormatting sqref="K321">
    <cfRule type="cellIs" dxfId="4146" priority="4907" operator="equal">
      <formula>"Nem Heineken Költség"</formula>
    </cfRule>
    <cfRule type="cellIs" dxfId="4145" priority="4908" operator="equal">
      <formula>"Nincs Po"</formula>
    </cfRule>
  </conditionalFormatting>
  <conditionalFormatting sqref="I320">
    <cfRule type="cellIs" dxfId="4144" priority="4899" operator="equal">
      <formula>"H"</formula>
    </cfRule>
  </conditionalFormatting>
  <conditionalFormatting sqref="J320">
    <cfRule type="cellIs" dxfId="4143" priority="4895" operator="equal">
      <formula>"Nem Heineken Költség"</formula>
    </cfRule>
  </conditionalFormatting>
  <conditionalFormatting sqref="J320">
    <cfRule type="cellIs" dxfId="4142" priority="4896" operator="equal">
      <formula>"Nincs Po"</formula>
    </cfRule>
  </conditionalFormatting>
  <conditionalFormatting sqref="K320">
    <cfRule type="cellIs" dxfId="4141" priority="4892" operator="equal">
      <formula>"Nem Heineken Költség"</formula>
    </cfRule>
    <cfRule type="cellIs" dxfId="4140" priority="4893" operator="equal">
      <formula>"Nincs Po"</formula>
    </cfRule>
  </conditionalFormatting>
  <conditionalFormatting sqref="I319">
    <cfRule type="cellIs" dxfId="4139" priority="4884" operator="equal">
      <formula>"H"</formula>
    </cfRule>
  </conditionalFormatting>
  <conditionalFormatting sqref="J319">
    <cfRule type="cellIs" dxfId="4138" priority="4880" operator="equal">
      <formula>"Nem Heineken Költség"</formula>
    </cfRule>
  </conditionalFormatting>
  <conditionalFormatting sqref="J319">
    <cfRule type="cellIs" dxfId="4137" priority="4881" operator="equal">
      <formula>"Nincs Po"</formula>
    </cfRule>
  </conditionalFormatting>
  <conditionalFormatting sqref="K319">
    <cfRule type="cellIs" dxfId="4136" priority="4877" operator="equal">
      <formula>"Nem Heineken Költség"</formula>
    </cfRule>
    <cfRule type="cellIs" dxfId="4135" priority="4878" operator="equal">
      <formula>"Nincs Po"</formula>
    </cfRule>
  </conditionalFormatting>
  <conditionalFormatting sqref="I318">
    <cfRule type="cellIs" dxfId="4134" priority="4869" operator="equal">
      <formula>"H"</formula>
    </cfRule>
  </conditionalFormatting>
  <conditionalFormatting sqref="J318">
    <cfRule type="cellIs" dxfId="4133" priority="4865" operator="equal">
      <formula>"Nem Heineken Költség"</formula>
    </cfRule>
  </conditionalFormatting>
  <conditionalFormatting sqref="J318">
    <cfRule type="cellIs" dxfId="4132" priority="4866" operator="equal">
      <formula>"Nincs Po"</formula>
    </cfRule>
  </conditionalFormatting>
  <conditionalFormatting sqref="K318">
    <cfRule type="cellIs" dxfId="4131" priority="4862" operator="equal">
      <formula>"Nem Heineken Költség"</formula>
    </cfRule>
    <cfRule type="cellIs" dxfId="4130" priority="4863" operator="equal">
      <formula>"Nincs Po"</formula>
    </cfRule>
  </conditionalFormatting>
  <conditionalFormatting sqref="I317">
    <cfRule type="cellIs" dxfId="4129" priority="4854" operator="equal">
      <formula>"H"</formula>
    </cfRule>
  </conditionalFormatting>
  <conditionalFormatting sqref="J317">
    <cfRule type="cellIs" dxfId="4128" priority="4850" operator="equal">
      <formula>"Nem Heineken Költség"</formula>
    </cfRule>
  </conditionalFormatting>
  <conditionalFormatting sqref="J317">
    <cfRule type="cellIs" dxfId="4127" priority="4851" operator="equal">
      <formula>"Nincs Po"</formula>
    </cfRule>
  </conditionalFormatting>
  <conditionalFormatting sqref="K317">
    <cfRule type="cellIs" dxfId="4126" priority="4847" operator="equal">
      <formula>"Nem Heineken Költség"</formula>
    </cfRule>
    <cfRule type="cellIs" dxfId="4125" priority="4848" operator="equal">
      <formula>"Nincs Po"</formula>
    </cfRule>
  </conditionalFormatting>
  <conditionalFormatting sqref="I316">
    <cfRule type="cellIs" dxfId="4124" priority="4839" operator="equal">
      <formula>"H"</formula>
    </cfRule>
  </conditionalFormatting>
  <conditionalFormatting sqref="J316">
    <cfRule type="cellIs" dxfId="4123" priority="4835" operator="equal">
      <formula>"Nem Heineken Költség"</formula>
    </cfRule>
  </conditionalFormatting>
  <conditionalFormatting sqref="J316">
    <cfRule type="cellIs" dxfId="4122" priority="4836" operator="equal">
      <formula>"Nincs Po"</formula>
    </cfRule>
  </conditionalFormatting>
  <conditionalFormatting sqref="K316">
    <cfRule type="cellIs" dxfId="4121" priority="4832" operator="equal">
      <formula>"Nem Heineken Költség"</formula>
    </cfRule>
    <cfRule type="cellIs" dxfId="4120" priority="4833" operator="equal">
      <formula>"Nincs Po"</formula>
    </cfRule>
  </conditionalFormatting>
  <conditionalFormatting sqref="I315">
    <cfRule type="cellIs" dxfId="4119" priority="4824" operator="equal">
      <formula>"H"</formula>
    </cfRule>
  </conditionalFormatting>
  <conditionalFormatting sqref="J315">
    <cfRule type="cellIs" dxfId="4118" priority="4820" operator="equal">
      <formula>"Nem Heineken Költség"</formula>
    </cfRule>
  </conditionalFormatting>
  <conditionalFormatting sqref="J315">
    <cfRule type="cellIs" dxfId="4117" priority="4821" operator="equal">
      <formula>"Nincs Po"</formula>
    </cfRule>
  </conditionalFormatting>
  <conditionalFormatting sqref="K315">
    <cfRule type="cellIs" dxfId="4116" priority="4817" operator="equal">
      <formula>"Nem Heineken Költség"</formula>
    </cfRule>
    <cfRule type="cellIs" dxfId="4115" priority="4818" operator="equal">
      <formula>"Nincs Po"</formula>
    </cfRule>
  </conditionalFormatting>
  <conditionalFormatting sqref="I314">
    <cfRule type="cellIs" dxfId="4114" priority="4809" operator="equal">
      <formula>"H"</formula>
    </cfRule>
  </conditionalFormatting>
  <conditionalFormatting sqref="J314">
    <cfRule type="cellIs" dxfId="4113" priority="4805" operator="equal">
      <formula>"Nem Heineken Költség"</formula>
    </cfRule>
  </conditionalFormatting>
  <conditionalFormatting sqref="J314">
    <cfRule type="cellIs" dxfId="4112" priority="4806" operator="equal">
      <formula>"Nincs Po"</formula>
    </cfRule>
  </conditionalFormatting>
  <conditionalFormatting sqref="K314">
    <cfRule type="cellIs" dxfId="4111" priority="4802" operator="equal">
      <formula>"Nem Heineken Költség"</formula>
    </cfRule>
    <cfRule type="cellIs" dxfId="4110" priority="4803" operator="equal">
      <formula>"Nincs Po"</formula>
    </cfRule>
  </conditionalFormatting>
  <conditionalFormatting sqref="I313">
    <cfRule type="cellIs" dxfId="4109" priority="4794" operator="equal">
      <formula>"H"</formula>
    </cfRule>
  </conditionalFormatting>
  <conditionalFormatting sqref="J313">
    <cfRule type="cellIs" dxfId="4108" priority="4790" operator="equal">
      <formula>"Nem Heineken Költség"</formula>
    </cfRule>
  </conditionalFormatting>
  <conditionalFormatting sqref="J313">
    <cfRule type="cellIs" dxfId="4107" priority="4791" operator="equal">
      <formula>"Nincs Po"</formula>
    </cfRule>
  </conditionalFormatting>
  <conditionalFormatting sqref="K313">
    <cfRule type="cellIs" dxfId="4106" priority="4787" operator="equal">
      <formula>"Nem Heineken Költség"</formula>
    </cfRule>
    <cfRule type="cellIs" dxfId="4105" priority="4788" operator="equal">
      <formula>"Nincs Po"</formula>
    </cfRule>
  </conditionalFormatting>
  <conditionalFormatting sqref="I312">
    <cfRule type="cellIs" dxfId="4104" priority="4779" operator="equal">
      <formula>"H"</formula>
    </cfRule>
  </conditionalFormatting>
  <conditionalFormatting sqref="J312">
    <cfRule type="cellIs" dxfId="4103" priority="4775" operator="equal">
      <formula>"Nem Heineken Költség"</formula>
    </cfRule>
  </conditionalFormatting>
  <conditionalFormatting sqref="J312">
    <cfRule type="cellIs" dxfId="4102" priority="4776" operator="equal">
      <formula>"Nincs Po"</formula>
    </cfRule>
  </conditionalFormatting>
  <conditionalFormatting sqref="K312">
    <cfRule type="cellIs" dxfId="4101" priority="4772" operator="equal">
      <formula>"Nem Heineken Költség"</formula>
    </cfRule>
    <cfRule type="cellIs" dxfId="4100" priority="4773" operator="equal">
      <formula>"Nincs Po"</formula>
    </cfRule>
  </conditionalFormatting>
  <conditionalFormatting sqref="I311">
    <cfRule type="cellIs" dxfId="4099" priority="4764" operator="equal">
      <formula>"H"</formula>
    </cfRule>
  </conditionalFormatting>
  <conditionalFormatting sqref="J311">
    <cfRule type="cellIs" dxfId="4098" priority="4760" operator="equal">
      <formula>"Nem Heineken Költség"</formula>
    </cfRule>
  </conditionalFormatting>
  <conditionalFormatting sqref="J311">
    <cfRule type="cellIs" dxfId="4097" priority="4761" operator="equal">
      <formula>"Nincs Po"</formula>
    </cfRule>
  </conditionalFormatting>
  <conditionalFormatting sqref="K311">
    <cfRule type="cellIs" dxfId="4096" priority="4757" operator="equal">
      <formula>"Nem Heineken Költség"</formula>
    </cfRule>
    <cfRule type="cellIs" dxfId="4095" priority="4758" operator="equal">
      <formula>"Nincs Po"</formula>
    </cfRule>
  </conditionalFormatting>
  <conditionalFormatting sqref="I310">
    <cfRule type="cellIs" dxfId="4094" priority="4749" operator="equal">
      <formula>"H"</formula>
    </cfRule>
  </conditionalFormatting>
  <conditionalFormatting sqref="J310">
    <cfRule type="cellIs" dxfId="4093" priority="4745" operator="equal">
      <formula>"Nem Heineken Költség"</formula>
    </cfRule>
  </conditionalFormatting>
  <conditionalFormatting sqref="J310">
    <cfRule type="cellIs" dxfId="4092" priority="4746" operator="equal">
      <formula>"Nincs Po"</formula>
    </cfRule>
  </conditionalFormatting>
  <conditionalFormatting sqref="K310">
    <cfRule type="cellIs" dxfId="4091" priority="4742" operator="equal">
      <formula>"Nem Heineken Költség"</formula>
    </cfRule>
    <cfRule type="cellIs" dxfId="4090" priority="4743" operator="equal">
      <formula>"Nincs Po"</formula>
    </cfRule>
  </conditionalFormatting>
  <conditionalFormatting sqref="I309">
    <cfRule type="cellIs" dxfId="4089" priority="4734" operator="equal">
      <formula>"H"</formula>
    </cfRule>
  </conditionalFormatting>
  <conditionalFormatting sqref="J309">
    <cfRule type="cellIs" dxfId="4088" priority="4730" operator="equal">
      <formula>"Nem Heineken Költség"</formula>
    </cfRule>
  </conditionalFormatting>
  <conditionalFormatting sqref="J309">
    <cfRule type="cellIs" dxfId="4087" priority="4731" operator="equal">
      <formula>"Nincs Po"</formula>
    </cfRule>
  </conditionalFormatting>
  <conditionalFormatting sqref="K309">
    <cfRule type="cellIs" dxfId="4086" priority="4727" operator="equal">
      <formula>"Nem Heineken Költség"</formula>
    </cfRule>
    <cfRule type="cellIs" dxfId="4085" priority="4728" operator="equal">
      <formula>"Nincs Po"</formula>
    </cfRule>
  </conditionalFormatting>
  <conditionalFormatting sqref="I308">
    <cfRule type="cellIs" dxfId="4084" priority="4719" operator="equal">
      <formula>"H"</formula>
    </cfRule>
  </conditionalFormatting>
  <conditionalFormatting sqref="J308">
    <cfRule type="cellIs" dxfId="4083" priority="4715" operator="equal">
      <formula>"Nem Heineken Költség"</formula>
    </cfRule>
  </conditionalFormatting>
  <conditionalFormatting sqref="J308">
    <cfRule type="cellIs" dxfId="4082" priority="4716" operator="equal">
      <formula>"Nincs Po"</formula>
    </cfRule>
  </conditionalFormatting>
  <conditionalFormatting sqref="K308">
    <cfRule type="cellIs" dxfId="4081" priority="4712" operator="equal">
      <formula>"Nem Heineken Költség"</formula>
    </cfRule>
    <cfRule type="cellIs" dxfId="4080" priority="4713" operator="equal">
      <formula>"Nincs Po"</formula>
    </cfRule>
  </conditionalFormatting>
  <conditionalFormatting sqref="I307">
    <cfRule type="cellIs" dxfId="4079" priority="4704" operator="equal">
      <formula>"H"</formula>
    </cfRule>
  </conditionalFormatting>
  <conditionalFormatting sqref="J307">
    <cfRule type="cellIs" dxfId="4078" priority="4700" operator="equal">
      <formula>"Nem Heineken Költség"</formula>
    </cfRule>
  </conditionalFormatting>
  <conditionalFormatting sqref="J307">
    <cfRule type="cellIs" dxfId="4077" priority="4701" operator="equal">
      <formula>"Nincs Po"</formula>
    </cfRule>
  </conditionalFormatting>
  <conditionalFormatting sqref="K307">
    <cfRule type="cellIs" dxfId="4076" priority="4697" operator="equal">
      <formula>"Nem Heineken Költség"</formula>
    </cfRule>
    <cfRule type="cellIs" dxfId="4075" priority="4698" operator="equal">
      <formula>"Nincs Po"</formula>
    </cfRule>
  </conditionalFormatting>
  <conditionalFormatting sqref="I306">
    <cfRule type="cellIs" dxfId="4074" priority="4689" operator="equal">
      <formula>"H"</formula>
    </cfRule>
  </conditionalFormatting>
  <conditionalFormatting sqref="J306">
    <cfRule type="cellIs" dxfId="4073" priority="4685" operator="equal">
      <formula>"Nem Heineken Költség"</formula>
    </cfRule>
  </conditionalFormatting>
  <conditionalFormatting sqref="J306">
    <cfRule type="cellIs" dxfId="4072" priority="4686" operator="equal">
      <formula>"Nincs Po"</formula>
    </cfRule>
  </conditionalFormatting>
  <conditionalFormatting sqref="K306">
    <cfRule type="cellIs" dxfId="4071" priority="4682" operator="equal">
      <formula>"Nem Heineken Költség"</formula>
    </cfRule>
    <cfRule type="cellIs" dxfId="4070" priority="4683" operator="equal">
      <formula>"Nincs Po"</formula>
    </cfRule>
  </conditionalFormatting>
  <conditionalFormatting sqref="I305">
    <cfRule type="cellIs" dxfId="4069" priority="4674" operator="equal">
      <formula>"H"</formula>
    </cfRule>
  </conditionalFormatting>
  <conditionalFormatting sqref="J305">
    <cfRule type="cellIs" dxfId="4068" priority="4670" operator="equal">
      <formula>"Nem Heineken Költség"</formula>
    </cfRule>
  </conditionalFormatting>
  <conditionalFormatting sqref="J305">
    <cfRule type="cellIs" dxfId="4067" priority="4671" operator="equal">
      <formula>"Nincs Po"</formula>
    </cfRule>
  </conditionalFormatting>
  <conditionalFormatting sqref="K305">
    <cfRule type="cellIs" dxfId="4066" priority="4667" operator="equal">
      <formula>"Nem Heineken Költség"</formula>
    </cfRule>
    <cfRule type="cellIs" dxfId="4065" priority="4668" operator="equal">
      <formula>"Nincs Po"</formula>
    </cfRule>
  </conditionalFormatting>
  <conditionalFormatting sqref="I304">
    <cfRule type="cellIs" dxfId="4064" priority="4659" operator="equal">
      <formula>"H"</formula>
    </cfRule>
  </conditionalFormatting>
  <conditionalFormatting sqref="J304">
    <cfRule type="cellIs" dxfId="4063" priority="4655" operator="equal">
      <formula>"Nem Heineken Költség"</formula>
    </cfRule>
  </conditionalFormatting>
  <conditionalFormatting sqref="J304">
    <cfRule type="cellIs" dxfId="4062" priority="4656" operator="equal">
      <formula>"Nincs Po"</formula>
    </cfRule>
  </conditionalFormatting>
  <conditionalFormatting sqref="K304">
    <cfRule type="cellIs" dxfId="4061" priority="4652" operator="equal">
      <formula>"Nem Heineken Költség"</formula>
    </cfRule>
    <cfRule type="cellIs" dxfId="4060" priority="4653" operator="equal">
      <formula>"Nincs Po"</formula>
    </cfRule>
  </conditionalFormatting>
  <conditionalFormatting sqref="I303">
    <cfRule type="cellIs" dxfId="4059" priority="4644" operator="equal">
      <formula>"H"</formula>
    </cfRule>
  </conditionalFormatting>
  <conditionalFormatting sqref="J303">
    <cfRule type="cellIs" dxfId="4058" priority="4640" operator="equal">
      <formula>"Nem Heineken Költség"</formula>
    </cfRule>
  </conditionalFormatting>
  <conditionalFormatting sqref="J303">
    <cfRule type="cellIs" dxfId="4057" priority="4641" operator="equal">
      <formula>"Nincs Po"</formula>
    </cfRule>
  </conditionalFormatting>
  <conditionalFormatting sqref="K303">
    <cfRule type="cellIs" dxfId="4056" priority="4637" operator="equal">
      <formula>"Nem Heineken Költség"</formula>
    </cfRule>
    <cfRule type="cellIs" dxfId="4055" priority="4638" operator="equal">
      <formula>"Nincs Po"</formula>
    </cfRule>
  </conditionalFormatting>
  <conditionalFormatting sqref="I302">
    <cfRule type="cellIs" dxfId="4054" priority="4629" operator="equal">
      <formula>"H"</formula>
    </cfRule>
  </conditionalFormatting>
  <conditionalFormatting sqref="J302">
    <cfRule type="cellIs" dxfId="4053" priority="4625" operator="equal">
      <formula>"Nem Heineken Költség"</formula>
    </cfRule>
  </conditionalFormatting>
  <conditionalFormatting sqref="J302">
    <cfRule type="cellIs" dxfId="4052" priority="4626" operator="equal">
      <formula>"Nincs Po"</formula>
    </cfRule>
  </conditionalFormatting>
  <conditionalFormatting sqref="K302">
    <cfRule type="cellIs" dxfId="4051" priority="4622" operator="equal">
      <formula>"Nem Heineken Költség"</formula>
    </cfRule>
    <cfRule type="cellIs" dxfId="4050" priority="4623" operator="equal">
      <formula>"Nincs Po"</formula>
    </cfRule>
  </conditionalFormatting>
  <conditionalFormatting sqref="I301">
    <cfRule type="cellIs" dxfId="4049" priority="4614" operator="equal">
      <formula>"H"</formula>
    </cfRule>
  </conditionalFormatting>
  <conditionalFormatting sqref="J301">
    <cfRule type="cellIs" dxfId="4048" priority="4610" operator="equal">
      <formula>"Nem Heineken Költség"</formula>
    </cfRule>
  </conditionalFormatting>
  <conditionalFormatting sqref="J301">
    <cfRule type="cellIs" dxfId="4047" priority="4611" operator="equal">
      <formula>"Nincs Po"</formula>
    </cfRule>
  </conditionalFormatting>
  <conditionalFormatting sqref="K301">
    <cfRule type="cellIs" dxfId="4046" priority="4607" operator="equal">
      <formula>"Nem Heineken Költség"</formula>
    </cfRule>
    <cfRule type="cellIs" dxfId="4045" priority="4608" operator="equal">
      <formula>"Nincs Po"</formula>
    </cfRule>
  </conditionalFormatting>
  <conditionalFormatting sqref="I300">
    <cfRule type="cellIs" dxfId="4044" priority="4599" operator="equal">
      <formula>"H"</formula>
    </cfRule>
  </conditionalFormatting>
  <conditionalFormatting sqref="J300">
    <cfRule type="cellIs" dxfId="4043" priority="4595" operator="equal">
      <formula>"Nem Heineken Költség"</formula>
    </cfRule>
  </conditionalFormatting>
  <conditionalFormatting sqref="J300">
    <cfRule type="cellIs" dxfId="4042" priority="4596" operator="equal">
      <formula>"Nincs Po"</formula>
    </cfRule>
  </conditionalFormatting>
  <conditionalFormatting sqref="K300">
    <cfRule type="cellIs" dxfId="4041" priority="4592" operator="equal">
      <formula>"Nem Heineken Költség"</formula>
    </cfRule>
    <cfRule type="cellIs" dxfId="4040" priority="4593" operator="equal">
      <formula>"Nincs Po"</formula>
    </cfRule>
  </conditionalFormatting>
  <conditionalFormatting sqref="I299">
    <cfRule type="cellIs" dxfId="4039" priority="4584" operator="equal">
      <formula>"H"</formula>
    </cfRule>
  </conditionalFormatting>
  <conditionalFormatting sqref="J299">
    <cfRule type="cellIs" dxfId="4038" priority="4580" operator="equal">
      <formula>"Nem Heineken Költség"</formula>
    </cfRule>
  </conditionalFormatting>
  <conditionalFormatting sqref="J299">
    <cfRule type="cellIs" dxfId="4037" priority="4581" operator="equal">
      <formula>"Nincs Po"</formula>
    </cfRule>
  </conditionalFormatting>
  <conditionalFormatting sqref="K299">
    <cfRule type="cellIs" dxfId="4036" priority="4577" operator="equal">
      <formula>"Nem Heineken Költség"</formula>
    </cfRule>
    <cfRule type="cellIs" dxfId="4035" priority="4578" operator="equal">
      <formula>"Nincs Po"</formula>
    </cfRule>
  </conditionalFormatting>
  <conditionalFormatting sqref="I298">
    <cfRule type="cellIs" dxfId="4034" priority="4569" operator="equal">
      <formula>"H"</formula>
    </cfRule>
  </conditionalFormatting>
  <conditionalFormatting sqref="J298">
    <cfRule type="cellIs" dxfId="4033" priority="4565" operator="equal">
      <formula>"Nem Heineken Költség"</formula>
    </cfRule>
  </conditionalFormatting>
  <conditionalFormatting sqref="J298">
    <cfRule type="cellIs" dxfId="4032" priority="4566" operator="equal">
      <formula>"Nincs Po"</formula>
    </cfRule>
  </conditionalFormatting>
  <conditionalFormatting sqref="K298">
    <cfRule type="cellIs" dxfId="4031" priority="4562" operator="equal">
      <formula>"Nem Heineken Költség"</formula>
    </cfRule>
    <cfRule type="cellIs" dxfId="4030" priority="4563" operator="equal">
      <formula>"Nincs Po"</formula>
    </cfRule>
  </conditionalFormatting>
  <conditionalFormatting sqref="I297">
    <cfRule type="cellIs" dxfId="4029" priority="4554" operator="equal">
      <formula>"H"</formula>
    </cfRule>
  </conditionalFormatting>
  <conditionalFormatting sqref="J297">
    <cfRule type="cellIs" dxfId="4028" priority="4550" operator="equal">
      <formula>"Nem Heineken Költség"</formula>
    </cfRule>
  </conditionalFormatting>
  <conditionalFormatting sqref="J297">
    <cfRule type="cellIs" dxfId="4027" priority="4551" operator="equal">
      <formula>"Nincs Po"</formula>
    </cfRule>
  </conditionalFormatting>
  <conditionalFormatting sqref="K297">
    <cfRule type="cellIs" dxfId="4026" priority="4547" operator="equal">
      <formula>"Nem Heineken Költség"</formula>
    </cfRule>
    <cfRule type="cellIs" dxfId="4025" priority="4548" operator="equal">
      <formula>"Nincs Po"</formula>
    </cfRule>
  </conditionalFormatting>
  <conditionalFormatting sqref="I296">
    <cfRule type="cellIs" dxfId="4024" priority="4539" operator="equal">
      <formula>"H"</formula>
    </cfRule>
  </conditionalFormatting>
  <conditionalFormatting sqref="J296">
    <cfRule type="cellIs" dxfId="4023" priority="4535" operator="equal">
      <formula>"Nem Heineken Költség"</formula>
    </cfRule>
  </conditionalFormatting>
  <conditionalFormatting sqref="J296">
    <cfRule type="cellIs" dxfId="4022" priority="4536" operator="equal">
      <formula>"Nincs Po"</formula>
    </cfRule>
  </conditionalFormatting>
  <conditionalFormatting sqref="K296">
    <cfRule type="cellIs" dxfId="4021" priority="4532" operator="equal">
      <formula>"Nem Heineken Költség"</formula>
    </cfRule>
    <cfRule type="cellIs" dxfId="4020" priority="4533" operator="equal">
      <formula>"Nincs Po"</formula>
    </cfRule>
  </conditionalFormatting>
  <conditionalFormatting sqref="I295">
    <cfRule type="cellIs" dxfId="4019" priority="4524" operator="equal">
      <formula>"H"</formula>
    </cfRule>
  </conditionalFormatting>
  <conditionalFormatting sqref="J295">
    <cfRule type="cellIs" dxfId="4018" priority="4520" operator="equal">
      <formula>"Nem Heineken Költség"</formula>
    </cfRule>
  </conditionalFormatting>
  <conditionalFormatting sqref="J295">
    <cfRule type="cellIs" dxfId="4017" priority="4521" operator="equal">
      <formula>"Nincs Po"</formula>
    </cfRule>
  </conditionalFormatting>
  <conditionalFormatting sqref="K295">
    <cfRule type="cellIs" dxfId="4016" priority="4517" operator="equal">
      <formula>"Nem Heineken Költség"</formula>
    </cfRule>
    <cfRule type="cellIs" dxfId="4015" priority="4518" operator="equal">
      <formula>"Nincs Po"</formula>
    </cfRule>
  </conditionalFormatting>
  <conditionalFormatting sqref="I294">
    <cfRule type="cellIs" dxfId="4014" priority="4509" operator="equal">
      <formula>"H"</formula>
    </cfRule>
  </conditionalFormatting>
  <conditionalFormatting sqref="J294">
    <cfRule type="cellIs" dxfId="4013" priority="4505" operator="equal">
      <formula>"Nem Heineken Költség"</formula>
    </cfRule>
  </conditionalFormatting>
  <conditionalFormatting sqref="J294">
    <cfRule type="cellIs" dxfId="4012" priority="4506" operator="equal">
      <formula>"Nincs Po"</formula>
    </cfRule>
  </conditionalFormatting>
  <conditionalFormatting sqref="K294">
    <cfRule type="cellIs" dxfId="4011" priority="4502" operator="equal">
      <formula>"Nem Heineken Költség"</formula>
    </cfRule>
    <cfRule type="cellIs" dxfId="4010" priority="4503" operator="equal">
      <formula>"Nincs Po"</formula>
    </cfRule>
  </conditionalFormatting>
  <conditionalFormatting sqref="I293">
    <cfRule type="cellIs" dxfId="4009" priority="4494" operator="equal">
      <formula>"H"</formula>
    </cfRule>
  </conditionalFormatting>
  <conditionalFormatting sqref="J293">
    <cfRule type="cellIs" dxfId="4008" priority="4490" operator="equal">
      <formula>"Nem Heineken Költség"</formula>
    </cfRule>
  </conditionalFormatting>
  <conditionalFormatting sqref="J293">
    <cfRule type="cellIs" dxfId="4007" priority="4491" operator="equal">
      <formula>"Nincs Po"</formula>
    </cfRule>
  </conditionalFormatting>
  <conditionalFormatting sqref="K293">
    <cfRule type="cellIs" dxfId="4006" priority="4487" operator="equal">
      <formula>"Nem Heineken Költség"</formula>
    </cfRule>
    <cfRule type="cellIs" dxfId="4005" priority="4488" operator="equal">
      <formula>"Nincs Po"</formula>
    </cfRule>
  </conditionalFormatting>
  <conditionalFormatting sqref="I292">
    <cfRule type="cellIs" dxfId="4004" priority="4479" operator="equal">
      <formula>"H"</formula>
    </cfRule>
  </conditionalFormatting>
  <conditionalFormatting sqref="J292">
    <cfRule type="cellIs" dxfId="4003" priority="4475" operator="equal">
      <formula>"Nem Heineken Költség"</formula>
    </cfRule>
  </conditionalFormatting>
  <conditionalFormatting sqref="J292">
    <cfRule type="cellIs" dxfId="4002" priority="4476" operator="equal">
      <formula>"Nincs Po"</formula>
    </cfRule>
  </conditionalFormatting>
  <conditionalFormatting sqref="K292">
    <cfRule type="cellIs" dxfId="4001" priority="4472" operator="equal">
      <formula>"Nem Heineken Költség"</formula>
    </cfRule>
    <cfRule type="cellIs" dxfId="4000" priority="4473" operator="equal">
      <formula>"Nincs Po"</formula>
    </cfRule>
  </conditionalFormatting>
  <conditionalFormatting sqref="I291">
    <cfRule type="cellIs" dxfId="3999" priority="4464" operator="equal">
      <formula>"H"</formula>
    </cfRule>
  </conditionalFormatting>
  <conditionalFormatting sqref="J291">
    <cfRule type="cellIs" dxfId="3998" priority="4460" operator="equal">
      <formula>"Nem Heineken Költség"</formula>
    </cfRule>
  </conditionalFormatting>
  <conditionalFormatting sqref="J291">
    <cfRule type="cellIs" dxfId="3997" priority="4461" operator="equal">
      <formula>"Nincs Po"</formula>
    </cfRule>
  </conditionalFormatting>
  <conditionalFormatting sqref="K291">
    <cfRule type="cellIs" dxfId="3996" priority="4457" operator="equal">
      <formula>"Nem Heineken Költség"</formula>
    </cfRule>
    <cfRule type="cellIs" dxfId="3995" priority="4458" operator="equal">
      <formula>"Nincs Po"</formula>
    </cfRule>
  </conditionalFormatting>
  <conditionalFormatting sqref="I290">
    <cfRule type="cellIs" dxfId="3994" priority="4449" operator="equal">
      <formula>"H"</formula>
    </cfRule>
  </conditionalFormatting>
  <conditionalFormatting sqref="J290">
    <cfRule type="cellIs" dxfId="3993" priority="4445" operator="equal">
      <formula>"Nem Heineken Költség"</formula>
    </cfRule>
  </conditionalFormatting>
  <conditionalFormatting sqref="J290">
    <cfRule type="cellIs" dxfId="3992" priority="4446" operator="equal">
      <formula>"Nincs Po"</formula>
    </cfRule>
  </conditionalFormatting>
  <conditionalFormatting sqref="K290">
    <cfRule type="cellIs" dxfId="3991" priority="4442" operator="equal">
      <formula>"Nem Heineken Költség"</formula>
    </cfRule>
    <cfRule type="cellIs" dxfId="3990" priority="4443" operator="equal">
      <formula>"Nincs Po"</formula>
    </cfRule>
  </conditionalFormatting>
  <conditionalFormatting sqref="I289">
    <cfRule type="cellIs" dxfId="3989" priority="4434" operator="equal">
      <formula>"H"</formula>
    </cfRule>
  </conditionalFormatting>
  <conditionalFormatting sqref="J289">
    <cfRule type="cellIs" dxfId="3988" priority="4430" operator="equal">
      <formula>"Nem Heineken Költség"</formula>
    </cfRule>
  </conditionalFormatting>
  <conditionalFormatting sqref="J289">
    <cfRule type="cellIs" dxfId="3987" priority="4431" operator="equal">
      <formula>"Nincs Po"</formula>
    </cfRule>
  </conditionalFormatting>
  <conditionalFormatting sqref="K289">
    <cfRule type="cellIs" dxfId="3986" priority="4427" operator="equal">
      <formula>"Nem Heineken Költség"</formula>
    </cfRule>
    <cfRule type="cellIs" dxfId="3985" priority="4428" operator="equal">
      <formula>"Nincs Po"</formula>
    </cfRule>
  </conditionalFormatting>
  <conditionalFormatting sqref="I288">
    <cfRule type="cellIs" dxfId="3984" priority="4419" operator="equal">
      <formula>"H"</formula>
    </cfRule>
  </conditionalFormatting>
  <conditionalFormatting sqref="J288">
    <cfRule type="cellIs" dxfId="3983" priority="4415" operator="equal">
      <formula>"Nem Heineken Költség"</formula>
    </cfRule>
  </conditionalFormatting>
  <conditionalFormatting sqref="J288">
    <cfRule type="cellIs" dxfId="3982" priority="4416" operator="equal">
      <formula>"Nincs Po"</formula>
    </cfRule>
  </conditionalFormatting>
  <conditionalFormatting sqref="K288">
    <cfRule type="cellIs" dxfId="3981" priority="4412" operator="equal">
      <formula>"Nem Heineken Költség"</formula>
    </cfRule>
    <cfRule type="cellIs" dxfId="3980" priority="4413" operator="equal">
      <formula>"Nincs Po"</formula>
    </cfRule>
  </conditionalFormatting>
  <conditionalFormatting sqref="I287">
    <cfRule type="cellIs" dxfId="3979" priority="4404" operator="equal">
      <formula>"H"</formula>
    </cfRule>
  </conditionalFormatting>
  <conditionalFormatting sqref="J287">
    <cfRule type="cellIs" dxfId="3978" priority="4400" operator="equal">
      <formula>"Nem Heineken Költség"</formula>
    </cfRule>
  </conditionalFormatting>
  <conditionalFormatting sqref="J287">
    <cfRule type="cellIs" dxfId="3977" priority="4401" operator="equal">
      <formula>"Nincs Po"</formula>
    </cfRule>
  </conditionalFormatting>
  <conditionalFormatting sqref="K287">
    <cfRule type="cellIs" dxfId="3976" priority="4397" operator="equal">
      <formula>"Nem Heineken Költség"</formula>
    </cfRule>
    <cfRule type="cellIs" dxfId="3975" priority="4398" operator="equal">
      <formula>"Nincs Po"</formula>
    </cfRule>
  </conditionalFormatting>
  <conditionalFormatting sqref="I286">
    <cfRule type="cellIs" dxfId="3974" priority="4389" operator="equal">
      <formula>"H"</formula>
    </cfRule>
  </conditionalFormatting>
  <conditionalFormatting sqref="J286">
    <cfRule type="cellIs" dxfId="3973" priority="4385" operator="equal">
      <formula>"Nem Heineken Költség"</formula>
    </cfRule>
  </conditionalFormatting>
  <conditionalFormatting sqref="J286">
    <cfRule type="cellIs" dxfId="3972" priority="4386" operator="equal">
      <formula>"Nincs Po"</formula>
    </cfRule>
  </conditionalFormatting>
  <conditionalFormatting sqref="K286">
    <cfRule type="cellIs" dxfId="3971" priority="4382" operator="equal">
      <formula>"Nem Heineken Költség"</formula>
    </cfRule>
    <cfRule type="cellIs" dxfId="3970" priority="4383" operator="equal">
      <formula>"Nincs Po"</formula>
    </cfRule>
  </conditionalFormatting>
  <conditionalFormatting sqref="I285">
    <cfRule type="cellIs" dxfId="3969" priority="4374" operator="equal">
      <formula>"H"</formula>
    </cfRule>
  </conditionalFormatting>
  <conditionalFormatting sqref="J285">
    <cfRule type="cellIs" dxfId="3968" priority="4370" operator="equal">
      <formula>"Nem Heineken Költség"</formula>
    </cfRule>
  </conditionalFormatting>
  <conditionalFormatting sqref="J285">
    <cfRule type="cellIs" dxfId="3967" priority="4371" operator="equal">
      <formula>"Nincs Po"</formula>
    </cfRule>
  </conditionalFormatting>
  <conditionalFormatting sqref="K285">
    <cfRule type="cellIs" dxfId="3966" priority="4367" operator="equal">
      <formula>"Nem Heineken Költség"</formula>
    </cfRule>
    <cfRule type="cellIs" dxfId="3965" priority="4368" operator="equal">
      <formula>"Nincs Po"</formula>
    </cfRule>
  </conditionalFormatting>
  <conditionalFormatting sqref="I284">
    <cfRule type="cellIs" dxfId="3964" priority="4359" operator="equal">
      <formula>"H"</formula>
    </cfRule>
  </conditionalFormatting>
  <conditionalFormatting sqref="J284">
    <cfRule type="cellIs" dxfId="3963" priority="4355" operator="equal">
      <formula>"Nem Heineken Költség"</formula>
    </cfRule>
  </conditionalFormatting>
  <conditionalFormatting sqref="J284">
    <cfRule type="cellIs" dxfId="3962" priority="4356" operator="equal">
      <formula>"Nincs Po"</formula>
    </cfRule>
  </conditionalFormatting>
  <conditionalFormatting sqref="K284">
    <cfRule type="cellIs" dxfId="3961" priority="4352" operator="equal">
      <formula>"Nem Heineken Költség"</formula>
    </cfRule>
    <cfRule type="cellIs" dxfId="3960" priority="4353" operator="equal">
      <formula>"Nincs Po"</formula>
    </cfRule>
  </conditionalFormatting>
  <conditionalFormatting sqref="I283">
    <cfRule type="cellIs" dxfId="3959" priority="4344" operator="equal">
      <formula>"H"</formula>
    </cfRule>
  </conditionalFormatting>
  <conditionalFormatting sqref="J283">
    <cfRule type="cellIs" dxfId="3958" priority="4340" operator="equal">
      <formula>"Nem Heineken Költség"</formula>
    </cfRule>
  </conditionalFormatting>
  <conditionalFormatting sqref="J283">
    <cfRule type="cellIs" dxfId="3957" priority="4341" operator="equal">
      <formula>"Nincs Po"</formula>
    </cfRule>
  </conditionalFormatting>
  <conditionalFormatting sqref="K283">
    <cfRule type="cellIs" dxfId="3956" priority="4337" operator="equal">
      <formula>"Nem Heineken Költség"</formula>
    </cfRule>
    <cfRule type="cellIs" dxfId="3955" priority="4338" operator="equal">
      <formula>"Nincs Po"</formula>
    </cfRule>
  </conditionalFormatting>
  <conditionalFormatting sqref="I282">
    <cfRule type="cellIs" dxfId="3954" priority="4329" operator="equal">
      <formula>"H"</formula>
    </cfRule>
  </conditionalFormatting>
  <conditionalFormatting sqref="J282">
    <cfRule type="cellIs" dxfId="3953" priority="4325" operator="equal">
      <formula>"Nem Heineken Költség"</formula>
    </cfRule>
  </conditionalFormatting>
  <conditionalFormatting sqref="J282">
    <cfRule type="cellIs" dxfId="3952" priority="4326" operator="equal">
      <formula>"Nincs Po"</formula>
    </cfRule>
  </conditionalFormatting>
  <conditionalFormatting sqref="K282">
    <cfRule type="cellIs" dxfId="3951" priority="4322" operator="equal">
      <formula>"Nem Heineken Költség"</formula>
    </cfRule>
    <cfRule type="cellIs" dxfId="3950" priority="4323" operator="equal">
      <formula>"Nincs Po"</formula>
    </cfRule>
  </conditionalFormatting>
  <conditionalFormatting sqref="I281">
    <cfRule type="cellIs" dxfId="3949" priority="4314" operator="equal">
      <formula>"H"</formula>
    </cfRule>
  </conditionalFormatting>
  <conditionalFormatting sqref="J281">
    <cfRule type="cellIs" dxfId="3948" priority="4310" operator="equal">
      <formula>"Nem Heineken Költség"</formula>
    </cfRule>
  </conditionalFormatting>
  <conditionalFormatting sqref="J281">
    <cfRule type="cellIs" dxfId="3947" priority="4311" operator="equal">
      <formula>"Nincs Po"</formula>
    </cfRule>
  </conditionalFormatting>
  <conditionalFormatting sqref="K281">
    <cfRule type="cellIs" dxfId="3946" priority="4307" operator="equal">
      <formula>"Nem Heineken Költség"</formula>
    </cfRule>
    <cfRule type="cellIs" dxfId="3945" priority="4308" operator="equal">
      <formula>"Nincs Po"</formula>
    </cfRule>
  </conditionalFormatting>
  <conditionalFormatting sqref="I280">
    <cfRule type="cellIs" dxfId="3944" priority="4299" operator="equal">
      <formula>"H"</formula>
    </cfRule>
  </conditionalFormatting>
  <conditionalFormatting sqref="J280">
    <cfRule type="cellIs" dxfId="3943" priority="4295" operator="equal">
      <formula>"Nem Heineken Költség"</formula>
    </cfRule>
  </conditionalFormatting>
  <conditionalFormatting sqref="J280">
    <cfRule type="cellIs" dxfId="3942" priority="4296" operator="equal">
      <formula>"Nincs Po"</formula>
    </cfRule>
  </conditionalFormatting>
  <conditionalFormatting sqref="K280">
    <cfRule type="cellIs" dxfId="3941" priority="4292" operator="equal">
      <formula>"Nem Heineken Költség"</formula>
    </cfRule>
    <cfRule type="cellIs" dxfId="3940" priority="4293" operator="equal">
      <formula>"Nincs Po"</formula>
    </cfRule>
  </conditionalFormatting>
  <conditionalFormatting sqref="I279">
    <cfRule type="cellIs" dxfId="3939" priority="4284" operator="equal">
      <formula>"H"</formula>
    </cfRule>
  </conditionalFormatting>
  <conditionalFormatting sqref="J279">
    <cfRule type="cellIs" dxfId="3938" priority="4280" operator="equal">
      <formula>"Nem Heineken Költség"</formula>
    </cfRule>
  </conditionalFormatting>
  <conditionalFormatting sqref="J279">
    <cfRule type="cellIs" dxfId="3937" priority="4281" operator="equal">
      <formula>"Nincs Po"</formula>
    </cfRule>
  </conditionalFormatting>
  <conditionalFormatting sqref="K279">
    <cfRule type="cellIs" dxfId="3936" priority="4277" operator="equal">
      <formula>"Nem Heineken Költség"</formula>
    </cfRule>
    <cfRule type="cellIs" dxfId="3935" priority="4278" operator="equal">
      <formula>"Nincs Po"</formula>
    </cfRule>
  </conditionalFormatting>
  <conditionalFormatting sqref="I278">
    <cfRule type="cellIs" dxfId="3934" priority="4269" operator="equal">
      <formula>"H"</formula>
    </cfRule>
  </conditionalFormatting>
  <conditionalFormatting sqref="J278">
    <cfRule type="cellIs" dxfId="3933" priority="4265" operator="equal">
      <formula>"Nem Heineken Költség"</formula>
    </cfRule>
  </conditionalFormatting>
  <conditionalFormatting sqref="J278">
    <cfRule type="cellIs" dxfId="3932" priority="4266" operator="equal">
      <formula>"Nincs Po"</formula>
    </cfRule>
  </conditionalFormatting>
  <conditionalFormatting sqref="K278">
    <cfRule type="cellIs" dxfId="3931" priority="4262" operator="equal">
      <formula>"Nem Heineken Költség"</formula>
    </cfRule>
    <cfRule type="cellIs" dxfId="3930" priority="4263" operator="equal">
      <formula>"Nincs Po"</formula>
    </cfRule>
  </conditionalFormatting>
  <conditionalFormatting sqref="I277">
    <cfRule type="cellIs" dxfId="3929" priority="4254" operator="equal">
      <formula>"H"</formula>
    </cfRule>
  </conditionalFormatting>
  <conditionalFormatting sqref="J277">
    <cfRule type="cellIs" dxfId="3928" priority="4250" operator="equal">
      <formula>"Nem Heineken Költség"</formula>
    </cfRule>
  </conditionalFormatting>
  <conditionalFormatting sqref="J277">
    <cfRule type="cellIs" dxfId="3927" priority="4251" operator="equal">
      <formula>"Nincs Po"</formula>
    </cfRule>
  </conditionalFormatting>
  <conditionalFormatting sqref="K277">
    <cfRule type="cellIs" dxfId="3926" priority="4247" operator="equal">
      <formula>"Nem Heineken Költség"</formula>
    </cfRule>
    <cfRule type="cellIs" dxfId="3925" priority="4248" operator="equal">
      <formula>"Nincs Po"</formula>
    </cfRule>
  </conditionalFormatting>
  <conditionalFormatting sqref="I276">
    <cfRule type="cellIs" dxfId="3924" priority="4239" operator="equal">
      <formula>"H"</formula>
    </cfRule>
  </conditionalFormatting>
  <conditionalFormatting sqref="J276">
    <cfRule type="cellIs" dxfId="3923" priority="4235" operator="equal">
      <formula>"Nem Heineken Költség"</formula>
    </cfRule>
  </conditionalFormatting>
  <conditionalFormatting sqref="J276">
    <cfRule type="cellIs" dxfId="3922" priority="4236" operator="equal">
      <formula>"Nincs Po"</formula>
    </cfRule>
  </conditionalFormatting>
  <conditionalFormatting sqref="K276">
    <cfRule type="cellIs" dxfId="3921" priority="4232" operator="equal">
      <formula>"Nem Heineken Költség"</formula>
    </cfRule>
    <cfRule type="cellIs" dxfId="3920" priority="4233" operator="equal">
      <formula>"Nincs Po"</formula>
    </cfRule>
  </conditionalFormatting>
  <conditionalFormatting sqref="I275">
    <cfRule type="cellIs" dxfId="3919" priority="4224" operator="equal">
      <formula>"H"</formula>
    </cfRule>
  </conditionalFormatting>
  <conditionalFormatting sqref="J275">
    <cfRule type="cellIs" dxfId="3918" priority="4220" operator="equal">
      <formula>"Nem Heineken Költség"</formula>
    </cfRule>
  </conditionalFormatting>
  <conditionalFormatting sqref="J275">
    <cfRule type="cellIs" dxfId="3917" priority="4221" operator="equal">
      <formula>"Nincs Po"</formula>
    </cfRule>
  </conditionalFormatting>
  <conditionalFormatting sqref="K275">
    <cfRule type="cellIs" dxfId="3916" priority="4217" operator="equal">
      <formula>"Nem Heineken Költség"</formula>
    </cfRule>
    <cfRule type="cellIs" dxfId="3915" priority="4218" operator="equal">
      <formula>"Nincs Po"</formula>
    </cfRule>
  </conditionalFormatting>
  <conditionalFormatting sqref="I274">
    <cfRule type="cellIs" dxfId="3914" priority="4209" operator="equal">
      <formula>"H"</formula>
    </cfRule>
  </conditionalFormatting>
  <conditionalFormatting sqref="J274">
    <cfRule type="cellIs" dxfId="3913" priority="4205" operator="equal">
      <formula>"Nem Heineken Költség"</formula>
    </cfRule>
  </conditionalFormatting>
  <conditionalFormatting sqref="J274">
    <cfRule type="cellIs" dxfId="3912" priority="4206" operator="equal">
      <formula>"Nincs Po"</formula>
    </cfRule>
  </conditionalFormatting>
  <conditionalFormatting sqref="K274">
    <cfRule type="cellIs" dxfId="3911" priority="4202" operator="equal">
      <formula>"Nem Heineken Költség"</formula>
    </cfRule>
    <cfRule type="cellIs" dxfId="3910" priority="4203" operator="equal">
      <formula>"Nincs Po"</formula>
    </cfRule>
  </conditionalFormatting>
  <conditionalFormatting sqref="I273">
    <cfRule type="cellIs" dxfId="3909" priority="4179" operator="equal">
      <formula>"H"</formula>
    </cfRule>
  </conditionalFormatting>
  <conditionalFormatting sqref="J273">
    <cfRule type="cellIs" dxfId="3908" priority="4175" operator="equal">
      <formula>"Nem Heineken Költség"</formula>
    </cfRule>
  </conditionalFormatting>
  <conditionalFormatting sqref="J273">
    <cfRule type="cellIs" dxfId="3907" priority="4176" operator="equal">
      <formula>"Nincs Po"</formula>
    </cfRule>
  </conditionalFormatting>
  <conditionalFormatting sqref="K273">
    <cfRule type="cellIs" dxfId="3906" priority="4172" operator="equal">
      <formula>"Nem Heineken Költség"</formula>
    </cfRule>
    <cfRule type="cellIs" dxfId="3905" priority="4173" operator="equal">
      <formula>"Nincs Po"</formula>
    </cfRule>
  </conditionalFormatting>
  <conditionalFormatting sqref="I272">
    <cfRule type="cellIs" dxfId="3904" priority="4164" operator="equal">
      <formula>"H"</formula>
    </cfRule>
  </conditionalFormatting>
  <conditionalFormatting sqref="J272">
    <cfRule type="cellIs" dxfId="3903" priority="4160" operator="equal">
      <formula>"Nem Heineken Költség"</formula>
    </cfRule>
  </conditionalFormatting>
  <conditionalFormatting sqref="J272">
    <cfRule type="cellIs" dxfId="3902" priority="4161" operator="equal">
      <formula>"Nincs Po"</formula>
    </cfRule>
  </conditionalFormatting>
  <conditionalFormatting sqref="K272">
    <cfRule type="cellIs" dxfId="3901" priority="4157" operator="equal">
      <formula>"Nem Heineken Költség"</formula>
    </cfRule>
    <cfRule type="cellIs" dxfId="3900" priority="4158" operator="equal">
      <formula>"Nincs Po"</formula>
    </cfRule>
  </conditionalFormatting>
  <conditionalFormatting sqref="I271">
    <cfRule type="cellIs" dxfId="3899" priority="4149" operator="equal">
      <formula>"H"</formula>
    </cfRule>
  </conditionalFormatting>
  <conditionalFormatting sqref="J271">
    <cfRule type="cellIs" dxfId="3898" priority="4145" operator="equal">
      <formula>"Nem Heineken Költség"</formula>
    </cfRule>
  </conditionalFormatting>
  <conditionalFormatting sqref="J271">
    <cfRule type="cellIs" dxfId="3897" priority="4146" operator="equal">
      <formula>"Nincs Po"</formula>
    </cfRule>
  </conditionalFormatting>
  <conditionalFormatting sqref="K271">
    <cfRule type="cellIs" dxfId="3896" priority="4142" operator="equal">
      <formula>"Nem Heineken Költség"</formula>
    </cfRule>
    <cfRule type="cellIs" dxfId="3895" priority="4143" operator="equal">
      <formula>"Nincs Po"</formula>
    </cfRule>
  </conditionalFormatting>
  <conditionalFormatting sqref="I270">
    <cfRule type="cellIs" dxfId="3894" priority="4134" operator="equal">
      <formula>"H"</formula>
    </cfRule>
  </conditionalFormatting>
  <conditionalFormatting sqref="J270">
    <cfRule type="cellIs" dxfId="3893" priority="4130" operator="equal">
      <formula>"Nem Heineken Költség"</formula>
    </cfRule>
  </conditionalFormatting>
  <conditionalFormatting sqref="J270">
    <cfRule type="cellIs" dxfId="3892" priority="4131" operator="equal">
      <formula>"Nincs Po"</formula>
    </cfRule>
  </conditionalFormatting>
  <conditionalFormatting sqref="K270">
    <cfRule type="cellIs" dxfId="3891" priority="4127" operator="equal">
      <formula>"Nem Heineken Költség"</formula>
    </cfRule>
    <cfRule type="cellIs" dxfId="3890" priority="4128" operator="equal">
      <formula>"Nincs Po"</formula>
    </cfRule>
  </conditionalFormatting>
  <conditionalFormatting sqref="I269">
    <cfRule type="cellIs" dxfId="3889" priority="4119" operator="equal">
      <formula>"H"</formula>
    </cfRule>
  </conditionalFormatting>
  <conditionalFormatting sqref="J269">
    <cfRule type="cellIs" dxfId="3888" priority="4115" operator="equal">
      <formula>"Nem Heineken Költség"</formula>
    </cfRule>
  </conditionalFormatting>
  <conditionalFormatting sqref="J269">
    <cfRule type="cellIs" dxfId="3887" priority="4116" operator="equal">
      <formula>"Nincs Po"</formula>
    </cfRule>
  </conditionalFormatting>
  <conditionalFormatting sqref="K269">
    <cfRule type="cellIs" dxfId="3886" priority="4112" operator="equal">
      <formula>"Nem Heineken Költség"</formula>
    </cfRule>
    <cfRule type="cellIs" dxfId="3885" priority="4113" operator="equal">
      <formula>"Nincs Po"</formula>
    </cfRule>
  </conditionalFormatting>
  <conditionalFormatting sqref="I268">
    <cfRule type="cellIs" dxfId="3884" priority="4104" operator="equal">
      <formula>"H"</formula>
    </cfRule>
  </conditionalFormatting>
  <conditionalFormatting sqref="J268">
    <cfRule type="cellIs" dxfId="3883" priority="4100" operator="equal">
      <formula>"Nem Heineken Költség"</formula>
    </cfRule>
  </conditionalFormatting>
  <conditionalFormatting sqref="J268">
    <cfRule type="cellIs" dxfId="3882" priority="4101" operator="equal">
      <formula>"Nincs Po"</formula>
    </cfRule>
  </conditionalFormatting>
  <conditionalFormatting sqref="K268">
    <cfRule type="cellIs" dxfId="3881" priority="4097" operator="equal">
      <formula>"Nem Heineken Költség"</formula>
    </cfRule>
    <cfRule type="cellIs" dxfId="3880" priority="4098" operator="equal">
      <formula>"Nincs Po"</formula>
    </cfRule>
  </conditionalFormatting>
  <conditionalFormatting sqref="I267">
    <cfRule type="cellIs" dxfId="3879" priority="4089" operator="equal">
      <formula>"H"</formula>
    </cfRule>
  </conditionalFormatting>
  <conditionalFormatting sqref="J267">
    <cfRule type="cellIs" dxfId="3878" priority="4085" operator="equal">
      <formula>"Nem Heineken Költség"</formula>
    </cfRule>
  </conditionalFormatting>
  <conditionalFormatting sqref="J267">
    <cfRule type="cellIs" dxfId="3877" priority="4086" operator="equal">
      <formula>"Nincs Po"</formula>
    </cfRule>
  </conditionalFormatting>
  <conditionalFormatting sqref="K267">
    <cfRule type="cellIs" dxfId="3876" priority="4082" operator="equal">
      <formula>"Nem Heineken Költség"</formula>
    </cfRule>
    <cfRule type="cellIs" dxfId="3875" priority="4083" operator="equal">
      <formula>"Nincs Po"</formula>
    </cfRule>
  </conditionalFormatting>
  <conditionalFormatting sqref="I266">
    <cfRule type="cellIs" dxfId="3874" priority="4074" operator="equal">
      <formula>"H"</formula>
    </cfRule>
  </conditionalFormatting>
  <conditionalFormatting sqref="J266">
    <cfRule type="cellIs" dxfId="3873" priority="4070" operator="equal">
      <formula>"Nem Heineken Költség"</formula>
    </cfRule>
  </conditionalFormatting>
  <conditionalFormatting sqref="J266">
    <cfRule type="cellIs" dxfId="3872" priority="4071" operator="equal">
      <formula>"Nincs Po"</formula>
    </cfRule>
  </conditionalFormatting>
  <conditionalFormatting sqref="K266">
    <cfRule type="cellIs" dxfId="3871" priority="4067" operator="equal">
      <formula>"Nem Heineken Költség"</formula>
    </cfRule>
    <cfRule type="cellIs" dxfId="3870" priority="4068" operator="equal">
      <formula>"Nincs Po"</formula>
    </cfRule>
  </conditionalFormatting>
  <conditionalFormatting sqref="I265">
    <cfRule type="cellIs" dxfId="3869" priority="4059" operator="equal">
      <formula>"H"</formula>
    </cfRule>
  </conditionalFormatting>
  <conditionalFormatting sqref="J265">
    <cfRule type="cellIs" dxfId="3868" priority="4055" operator="equal">
      <formula>"Nem Heineken Költség"</formula>
    </cfRule>
  </conditionalFormatting>
  <conditionalFormatting sqref="J265">
    <cfRule type="cellIs" dxfId="3867" priority="4056" operator="equal">
      <formula>"Nincs Po"</formula>
    </cfRule>
  </conditionalFormatting>
  <conditionalFormatting sqref="K265">
    <cfRule type="cellIs" dxfId="3866" priority="4052" operator="equal">
      <formula>"Nem Heineken Költség"</formula>
    </cfRule>
    <cfRule type="cellIs" dxfId="3865" priority="4053" operator="equal">
      <formula>"Nincs Po"</formula>
    </cfRule>
  </conditionalFormatting>
  <conditionalFormatting sqref="I264">
    <cfRule type="cellIs" dxfId="3864" priority="4044" operator="equal">
      <formula>"H"</formula>
    </cfRule>
  </conditionalFormatting>
  <conditionalFormatting sqref="J264">
    <cfRule type="cellIs" dxfId="3863" priority="4040" operator="equal">
      <formula>"Nem Heineken Költség"</formula>
    </cfRule>
  </conditionalFormatting>
  <conditionalFormatting sqref="J264">
    <cfRule type="cellIs" dxfId="3862" priority="4041" operator="equal">
      <formula>"Nincs Po"</formula>
    </cfRule>
  </conditionalFormatting>
  <conditionalFormatting sqref="K264">
    <cfRule type="cellIs" dxfId="3861" priority="4037" operator="equal">
      <formula>"Nem Heineken Költség"</formula>
    </cfRule>
    <cfRule type="cellIs" dxfId="3860" priority="4038" operator="equal">
      <formula>"Nincs Po"</formula>
    </cfRule>
  </conditionalFormatting>
  <conditionalFormatting sqref="I263">
    <cfRule type="cellIs" dxfId="3859" priority="4029" operator="equal">
      <formula>"H"</formula>
    </cfRule>
  </conditionalFormatting>
  <conditionalFormatting sqref="J263">
    <cfRule type="cellIs" dxfId="3858" priority="4025" operator="equal">
      <formula>"Nem Heineken Költség"</formula>
    </cfRule>
  </conditionalFormatting>
  <conditionalFormatting sqref="J263">
    <cfRule type="cellIs" dxfId="3857" priority="4026" operator="equal">
      <formula>"Nincs Po"</formula>
    </cfRule>
  </conditionalFormatting>
  <conditionalFormatting sqref="K263">
    <cfRule type="cellIs" dxfId="3856" priority="4022" operator="equal">
      <formula>"Nem Heineken Költség"</formula>
    </cfRule>
    <cfRule type="cellIs" dxfId="3855" priority="4023" operator="equal">
      <formula>"Nincs Po"</formula>
    </cfRule>
  </conditionalFormatting>
  <conditionalFormatting sqref="I262">
    <cfRule type="cellIs" dxfId="3854" priority="4014" operator="equal">
      <formula>"H"</formula>
    </cfRule>
  </conditionalFormatting>
  <conditionalFormatting sqref="J262">
    <cfRule type="cellIs" dxfId="3853" priority="4010" operator="equal">
      <formula>"Nem Heineken Költség"</formula>
    </cfRule>
  </conditionalFormatting>
  <conditionalFormatting sqref="J262">
    <cfRule type="cellIs" dxfId="3852" priority="4011" operator="equal">
      <formula>"Nincs Po"</formula>
    </cfRule>
  </conditionalFormatting>
  <conditionalFormatting sqref="K262">
    <cfRule type="cellIs" dxfId="3851" priority="4007" operator="equal">
      <formula>"Nem Heineken Költség"</formula>
    </cfRule>
    <cfRule type="cellIs" dxfId="3850" priority="4008" operator="equal">
      <formula>"Nincs Po"</formula>
    </cfRule>
  </conditionalFormatting>
  <conditionalFormatting sqref="I261">
    <cfRule type="cellIs" dxfId="3849" priority="3999" operator="equal">
      <formula>"H"</formula>
    </cfRule>
  </conditionalFormatting>
  <conditionalFormatting sqref="J261">
    <cfRule type="cellIs" dxfId="3848" priority="3995" operator="equal">
      <formula>"Nem Heineken Költség"</formula>
    </cfRule>
  </conditionalFormatting>
  <conditionalFormatting sqref="J261">
    <cfRule type="cellIs" dxfId="3847" priority="3996" operator="equal">
      <formula>"Nincs Po"</formula>
    </cfRule>
  </conditionalFormatting>
  <conditionalFormatting sqref="K261">
    <cfRule type="cellIs" dxfId="3846" priority="3992" operator="equal">
      <formula>"Nem Heineken Költség"</formula>
    </cfRule>
    <cfRule type="cellIs" dxfId="3845" priority="3993" operator="equal">
      <formula>"Nincs Po"</formula>
    </cfRule>
  </conditionalFormatting>
  <conditionalFormatting sqref="I260">
    <cfRule type="cellIs" dxfId="3844" priority="3984" operator="equal">
      <formula>"H"</formula>
    </cfRule>
  </conditionalFormatting>
  <conditionalFormatting sqref="J260">
    <cfRule type="cellIs" dxfId="3843" priority="3980" operator="equal">
      <formula>"Nem Heineken Költség"</formula>
    </cfRule>
  </conditionalFormatting>
  <conditionalFormatting sqref="J260">
    <cfRule type="cellIs" dxfId="3842" priority="3981" operator="equal">
      <formula>"Nincs Po"</formula>
    </cfRule>
  </conditionalFormatting>
  <conditionalFormatting sqref="K260">
    <cfRule type="cellIs" dxfId="3841" priority="3977" operator="equal">
      <formula>"Nem Heineken Költség"</formula>
    </cfRule>
    <cfRule type="cellIs" dxfId="3840" priority="3978" operator="equal">
      <formula>"Nincs Po"</formula>
    </cfRule>
  </conditionalFormatting>
  <conditionalFormatting sqref="I259">
    <cfRule type="cellIs" dxfId="3839" priority="3969" operator="equal">
      <formula>"H"</formula>
    </cfRule>
  </conditionalFormatting>
  <conditionalFormatting sqref="J259">
    <cfRule type="cellIs" dxfId="3838" priority="3965" operator="equal">
      <formula>"Nem Heineken Költség"</formula>
    </cfRule>
  </conditionalFormatting>
  <conditionalFormatting sqref="J259">
    <cfRule type="cellIs" dxfId="3837" priority="3966" operator="equal">
      <formula>"Nincs Po"</formula>
    </cfRule>
  </conditionalFormatting>
  <conditionalFormatting sqref="K259">
    <cfRule type="cellIs" dxfId="3836" priority="3962" operator="equal">
      <formula>"Nem Heineken Költség"</formula>
    </cfRule>
    <cfRule type="cellIs" dxfId="3835" priority="3963" operator="equal">
      <formula>"Nincs Po"</formula>
    </cfRule>
  </conditionalFormatting>
  <conditionalFormatting sqref="I258">
    <cfRule type="cellIs" dxfId="3834" priority="3954" operator="equal">
      <formula>"H"</formula>
    </cfRule>
  </conditionalFormatting>
  <conditionalFormatting sqref="J258">
    <cfRule type="cellIs" dxfId="3833" priority="3950" operator="equal">
      <formula>"Nem Heineken Költség"</formula>
    </cfRule>
  </conditionalFormatting>
  <conditionalFormatting sqref="J258">
    <cfRule type="cellIs" dxfId="3832" priority="3951" operator="equal">
      <formula>"Nincs Po"</formula>
    </cfRule>
  </conditionalFormatting>
  <conditionalFormatting sqref="K258">
    <cfRule type="cellIs" dxfId="3831" priority="3947" operator="equal">
      <formula>"Nem Heineken Költség"</formula>
    </cfRule>
    <cfRule type="cellIs" dxfId="3830" priority="3948" operator="equal">
      <formula>"Nincs Po"</formula>
    </cfRule>
  </conditionalFormatting>
  <conditionalFormatting sqref="I256:I257">
    <cfRule type="cellIs" dxfId="3829" priority="3939" operator="equal">
      <formula>"H"</formula>
    </cfRule>
  </conditionalFormatting>
  <conditionalFormatting sqref="J257">
    <cfRule type="cellIs" dxfId="3828" priority="3935" operator="equal">
      <formula>"Nem Heineken Költség"</formula>
    </cfRule>
  </conditionalFormatting>
  <conditionalFormatting sqref="J257">
    <cfRule type="cellIs" dxfId="3827" priority="3936" operator="equal">
      <formula>"Nincs Po"</formula>
    </cfRule>
  </conditionalFormatting>
  <conditionalFormatting sqref="K257">
    <cfRule type="cellIs" dxfId="3826" priority="3932" operator="equal">
      <formula>"Nem Heineken Költség"</formula>
    </cfRule>
    <cfRule type="cellIs" dxfId="3825" priority="3933" operator="equal">
      <formula>"Nincs Po"</formula>
    </cfRule>
  </conditionalFormatting>
  <conditionalFormatting sqref="J256">
    <cfRule type="cellIs" dxfId="3824" priority="3920" operator="equal">
      <formula>"Nem Heineken Költség"</formula>
    </cfRule>
  </conditionalFormatting>
  <conditionalFormatting sqref="J256">
    <cfRule type="cellIs" dxfId="3823" priority="3921" operator="equal">
      <formula>"Nincs Po"</formula>
    </cfRule>
  </conditionalFormatting>
  <conditionalFormatting sqref="K256">
    <cfRule type="cellIs" dxfId="3822" priority="3917" operator="equal">
      <formula>"Nem Heineken Költség"</formula>
    </cfRule>
    <cfRule type="cellIs" dxfId="3821" priority="3918" operator="equal">
      <formula>"Nincs Po"</formula>
    </cfRule>
  </conditionalFormatting>
  <conditionalFormatting sqref="I254:I255">
    <cfRule type="cellIs" dxfId="3820" priority="3909" operator="equal">
      <formula>"H"</formula>
    </cfRule>
  </conditionalFormatting>
  <conditionalFormatting sqref="J255">
    <cfRule type="cellIs" dxfId="3819" priority="3905" operator="equal">
      <formula>"Nem Heineken Költség"</formula>
    </cfRule>
  </conditionalFormatting>
  <conditionalFormatting sqref="J255">
    <cfRule type="cellIs" dxfId="3818" priority="3906" operator="equal">
      <formula>"Nincs Po"</formula>
    </cfRule>
  </conditionalFormatting>
  <conditionalFormatting sqref="K255">
    <cfRule type="cellIs" dxfId="3817" priority="3902" operator="equal">
      <formula>"Nem Heineken Költség"</formula>
    </cfRule>
    <cfRule type="cellIs" dxfId="3816" priority="3903" operator="equal">
      <formula>"Nincs Po"</formula>
    </cfRule>
  </conditionalFormatting>
  <conditionalFormatting sqref="J254">
    <cfRule type="cellIs" dxfId="3815" priority="3890" operator="equal">
      <formula>"Nem Heineken Költség"</formula>
    </cfRule>
  </conditionalFormatting>
  <conditionalFormatting sqref="J254">
    <cfRule type="cellIs" dxfId="3814" priority="3891" operator="equal">
      <formula>"Nincs Po"</formula>
    </cfRule>
  </conditionalFormatting>
  <conditionalFormatting sqref="K254">
    <cfRule type="cellIs" dxfId="3813" priority="3887" operator="equal">
      <formula>"Nem Heineken Költség"</formula>
    </cfRule>
    <cfRule type="cellIs" dxfId="3812" priority="3888" operator="equal">
      <formula>"Nincs Po"</formula>
    </cfRule>
  </conditionalFormatting>
  <conditionalFormatting sqref="I253">
    <cfRule type="cellIs" dxfId="3811" priority="3879" operator="equal">
      <formula>"H"</formula>
    </cfRule>
  </conditionalFormatting>
  <conditionalFormatting sqref="J253">
    <cfRule type="cellIs" dxfId="3810" priority="3875" operator="equal">
      <formula>"Nem Heineken Költség"</formula>
    </cfRule>
  </conditionalFormatting>
  <conditionalFormatting sqref="J253">
    <cfRule type="cellIs" dxfId="3809" priority="3876" operator="equal">
      <formula>"Nincs Po"</formula>
    </cfRule>
  </conditionalFormatting>
  <conditionalFormatting sqref="K253">
    <cfRule type="cellIs" dxfId="3808" priority="3872" operator="equal">
      <formula>"Nem Heineken Költség"</formula>
    </cfRule>
    <cfRule type="cellIs" dxfId="3807" priority="3873" operator="equal">
      <formula>"Nincs Po"</formula>
    </cfRule>
  </conditionalFormatting>
  <conditionalFormatting sqref="I252">
    <cfRule type="cellIs" dxfId="3806" priority="3864" operator="equal">
      <formula>"H"</formula>
    </cfRule>
  </conditionalFormatting>
  <conditionalFormatting sqref="J252">
    <cfRule type="cellIs" dxfId="3805" priority="3860" operator="equal">
      <formula>"Nem Heineken Költség"</formula>
    </cfRule>
  </conditionalFormatting>
  <conditionalFormatting sqref="J252">
    <cfRule type="cellIs" dxfId="3804" priority="3861" operator="equal">
      <formula>"Nincs Po"</formula>
    </cfRule>
  </conditionalFormatting>
  <conditionalFormatting sqref="K252">
    <cfRule type="cellIs" dxfId="3803" priority="3857" operator="equal">
      <formula>"Nem Heineken Költség"</formula>
    </cfRule>
    <cfRule type="cellIs" dxfId="3802" priority="3858" operator="equal">
      <formula>"Nincs Po"</formula>
    </cfRule>
  </conditionalFormatting>
  <conditionalFormatting sqref="I251">
    <cfRule type="cellIs" dxfId="3801" priority="3849" operator="equal">
      <formula>"H"</formula>
    </cfRule>
  </conditionalFormatting>
  <conditionalFormatting sqref="J251">
    <cfRule type="cellIs" dxfId="3800" priority="3845" operator="equal">
      <formula>"Nem Heineken Költség"</formula>
    </cfRule>
  </conditionalFormatting>
  <conditionalFormatting sqref="J251">
    <cfRule type="cellIs" dxfId="3799" priority="3846" operator="equal">
      <formula>"Nincs Po"</formula>
    </cfRule>
  </conditionalFormatting>
  <conditionalFormatting sqref="K251">
    <cfRule type="cellIs" dxfId="3798" priority="3842" operator="equal">
      <formula>"Nem Heineken Költség"</formula>
    </cfRule>
    <cfRule type="cellIs" dxfId="3797" priority="3843" operator="equal">
      <formula>"Nincs Po"</formula>
    </cfRule>
  </conditionalFormatting>
  <conditionalFormatting sqref="I250">
    <cfRule type="cellIs" dxfId="3796" priority="3834" operator="equal">
      <formula>"H"</formula>
    </cfRule>
  </conditionalFormatting>
  <conditionalFormatting sqref="J250">
    <cfRule type="cellIs" dxfId="3795" priority="3830" operator="equal">
      <formula>"Nem Heineken Költség"</formula>
    </cfRule>
  </conditionalFormatting>
  <conditionalFormatting sqref="J250">
    <cfRule type="cellIs" dxfId="3794" priority="3831" operator="equal">
      <formula>"Nincs Po"</formula>
    </cfRule>
  </conditionalFormatting>
  <conditionalFormatting sqref="K250">
    <cfRule type="cellIs" dxfId="3793" priority="3827" operator="equal">
      <formula>"Nem Heineken Költség"</formula>
    </cfRule>
    <cfRule type="cellIs" dxfId="3792" priority="3828" operator="equal">
      <formula>"Nincs Po"</formula>
    </cfRule>
  </conditionalFormatting>
  <conditionalFormatting sqref="I249">
    <cfRule type="cellIs" dxfId="3791" priority="3819" operator="equal">
      <formula>"H"</formula>
    </cfRule>
  </conditionalFormatting>
  <conditionalFormatting sqref="J249">
    <cfRule type="cellIs" dxfId="3790" priority="3815" operator="equal">
      <formula>"Nem Heineken Költség"</formula>
    </cfRule>
  </conditionalFormatting>
  <conditionalFormatting sqref="J249">
    <cfRule type="cellIs" dxfId="3789" priority="3816" operator="equal">
      <formula>"Nincs Po"</formula>
    </cfRule>
  </conditionalFormatting>
  <conditionalFormatting sqref="K249">
    <cfRule type="cellIs" dxfId="3788" priority="3812" operator="equal">
      <formula>"Nem Heineken Költség"</formula>
    </cfRule>
    <cfRule type="cellIs" dxfId="3787" priority="3813" operator="equal">
      <formula>"Nincs Po"</formula>
    </cfRule>
  </conditionalFormatting>
  <conditionalFormatting sqref="I248">
    <cfRule type="cellIs" dxfId="3786" priority="3804" operator="equal">
      <formula>"H"</formula>
    </cfRule>
  </conditionalFormatting>
  <conditionalFormatting sqref="J248">
    <cfRule type="cellIs" dxfId="3785" priority="3800" operator="equal">
      <formula>"Nem Heineken Költség"</formula>
    </cfRule>
  </conditionalFormatting>
  <conditionalFormatting sqref="J248">
    <cfRule type="cellIs" dxfId="3784" priority="3801" operator="equal">
      <formula>"Nincs Po"</formula>
    </cfRule>
  </conditionalFormatting>
  <conditionalFormatting sqref="K248">
    <cfRule type="cellIs" dxfId="3783" priority="3797" operator="equal">
      <formula>"Nem Heineken Költség"</formula>
    </cfRule>
    <cfRule type="cellIs" dxfId="3782" priority="3798" operator="equal">
      <formula>"Nincs Po"</formula>
    </cfRule>
  </conditionalFormatting>
  <conditionalFormatting sqref="I247">
    <cfRule type="cellIs" dxfId="3781" priority="3789" operator="equal">
      <formula>"H"</formula>
    </cfRule>
  </conditionalFormatting>
  <conditionalFormatting sqref="J247">
    <cfRule type="cellIs" dxfId="3780" priority="3785" operator="equal">
      <formula>"Nem Heineken Költség"</formula>
    </cfRule>
  </conditionalFormatting>
  <conditionalFormatting sqref="J247">
    <cfRule type="cellIs" dxfId="3779" priority="3786" operator="equal">
      <formula>"Nincs Po"</formula>
    </cfRule>
  </conditionalFormatting>
  <conditionalFormatting sqref="K247">
    <cfRule type="cellIs" dxfId="3778" priority="3782" operator="equal">
      <formula>"Nem Heineken Költség"</formula>
    </cfRule>
    <cfRule type="cellIs" dxfId="3777" priority="3783" operator="equal">
      <formula>"Nincs Po"</formula>
    </cfRule>
  </conditionalFormatting>
  <conditionalFormatting sqref="I246">
    <cfRule type="cellIs" dxfId="3776" priority="3774" operator="equal">
      <formula>"H"</formula>
    </cfRule>
  </conditionalFormatting>
  <conditionalFormatting sqref="J246">
    <cfRule type="cellIs" dxfId="3775" priority="3770" operator="equal">
      <formula>"Nem Heineken Költség"</formula>
    </cfRule>
  </conditionalFormatting>
  <conditionalFormatting sqref="J246">
    <cfRule type="cellIs" dxfId="3774" priority="3771" operator="equal">
      <formula>"Nincs Po"</formula>
    </cfRule>
  </conditionalFormatting>
  <conditionalFormatting sqref="K246">
    <cfRule type="cellIs" dxfId="3773" priority="3767" operator="equal">
      <formula>"Nem Heineken Költség"</formula>
    </cfRule>
    <cfRule type="cellIs" dxfId="3772" priority="3768" operator="equal">
      <formula>"Nincs Po"</formula>
    </cfRule>
  </conditionalFormatting>
  <conditionalFormatting sqref="I245">
    <cfRule type="cellIs" dxfId="3771" priority="3759" operator="equal">
      <formula>"H"</formula>
    </cfRule>
  </conditionalFormatting>
  <conditionalFormatting sqref="J245">
    <cfRule type="cellIs" dxfId="3770" priority="3755" operator="equal">
      <formula>"Nem Heineken Költség"</formula>
    </cfRule>
  </conditionalFormatting>
  <conditionalFormatting sqref="J245">
    <cfRule type="cellIs" dxfId="3769" priority="3756" operator="equal">
      <formula>"Nincs Po"</formula>
    </cfRule>
  </conditionalFormatting>
  <conditionalFormatting sqref="K245">
    <cfRule type="cellIs" dxfId="3768" priority="3752" operator="equal">
      <formula>"Nem Heineken Költség"</formula>
    </cfRule>
    <cfRule type="cellIs" dxfId="3767" priority="3753" operator="equal">
      <formula>"Nincs Po"</formula>
    </cfRule>
  </conditionalFormatting>
  <conditionalFormatting sqref="I244">
    <cfRule type="cellIs" dxfId="3766" priority="3744" operator="equal">
      <formula>"H"</formula>
    </cfRule>
  </conditionalFormatting>
  <conditionalFormatting sqref="J244">
    <cfRule type="cellIs" dxfId="3765" priority="3740" operator="equal">
      <formula>"Nem Heineken Költség"</formula>
    </cfRule>
  </conditionalFormatting>
  <conditionalFormatting sqref="J244">
    <cfRule type="cellIs" dxfId="3764" priority="3741" operator="equal">
      <formula>"Nincs Po"</formula>
    </cfRule>
  </conditionalFormatting>
  <conditionalFormatting sqref="K244">
    <cfRule type="cellIs" dxfId="3763" priority="3737" operator="equal">
      <formula>"Nem Heineken Költség"</formula>
    </cfRule>
    <cfRule type="cellIs" dxfId="3762" priority="3738" operator="equal">
      <formula>"Nincs Po"</formula>
    </cfRule>
  </conditionalFormatting>
  <conditionalFormatting sqref="I243">
    <cfRule type="cellIs" dxfId="3761" priority="3729" operator="equal">
      <formula>"H"</formula>
    </cfRule>
  </conditionalFormatting>
  <conditionalFormatting sqref="J243">
    <cfRule type="cellIs" dxfId="3760" priority="3725" operator="equal">
      <formula>"Nem Heineken Költség"</formula>
    </cfRule>
  </conditionalFormatting>
  <conditionalFormatting sqref="J243">
    <cfRule type="cellIs" dxfId="3759" priority="3726" operator="equal">
      <formula>"Nincs Po"</formula>
    </cfRule>
  </conditionalFormatting>
  <conditionalFormatting sqref="K243">
    <cfRule type="cellIs" dxfId="3758" priority="3722" operator="equal">
      <formula>"Nem Heineken Költség"</formula>
    </cfRule>
    <cfRule type="cellIs" dxfId="3757" priority="3723" operator="equal">
      <formula>"Nincs Po"</formula>
    </cfRule>
  </conditionalFormatting>
  <conditionalFormatting sqref="I242">
    <cfRule type="cellIs" dxfId="3756" priority="3714" operator="equal">
      <formula>"H"</formula>
    </cfRule>
  </conditionalFormatting>
  <conditionalFormatting sqref="J242">
    <cfRule type="cellIs" dxfId="3755" priority="3710" operator="equal">
      <formula>"Nem Heineken Költség"</formula>
    </cfRule>
  </conditionalFormatting>
  <conditionalFormatting sqref="J242">
    <cfRule type="cellIs" dxfId="3754" priority="3711" operator="equal">
      <formula>"Nincs Po"</formula>
    </cfRule>
  </conditionalFormatting>
  <conditionalFormatting sqref="K242">
    <cfRule type="cellIs" dxfId="3753" priority="3707" operator="equal">
      <formula>"Nem Heineken Költség"</formula>
    </cfRule>
    <cfRule type="cellIs" dxfId="3752" priority="3708" operator="equal">
      <formula>"Nincs Po"</formula>
    </cfRule>
  </conditionalFormatting>
  <conditionalFormatting sqref="I241">
    <cfRule type="cellIs" dxfId="3751" priority="3699" operator="equal">
      <formula>"H"</formula>
    </cfRule>
  </conditionalFormatting>
  <conditionalFormatting sqref="J241">
    <cfRule type="cellIs" dxfId="3750" priority="3695" operator="equal">
      <formula>"Nem Heineken Költség"</formula>
    </cfRule>
  </conditionalFormatting>
  <conditionalFormatting sqref="J241">
    <cfRule type="cellIs" dxfId="3749" priority="3696" operator="equal">
      <formula>"Nincs Po"</formula>
    </cfRule>
  </conditionalFormatting>
  <conditionalFormatting sqref="K241">
    <cfRule type="cellIs" dxfId="3748" priority="3692" operator="equal">
      <formula>"Nem Heineken Költség"</formula>
    </cfRule>
    <cfRule type="cellIs" dxfId="3747" priority="3693" operator="equal">
      <formula>"Nincs Po"</formula>
    </cfRule>
  </conditionalFormatting>
  <conditionalFormatting sqref="I240">
    <cfRule type="cellIs" dxfId="3746" priority="3684" operator="equal">
      <formula>"H"</formula>
    </cfRule>
  </conditionalFormatting>
  <conditionalFormatting sqref="J240">
    <cfRule type="cellIs" dxfId="3745" priority="3680" operator="equal">
      <formula>"Nem Heineken Költség"</formula>
    </cfRule>
  </conditionalFormatting>
  <conditionalFormatting sqref="J240">
    <cfRule type="cellIs" dxfId="3744" priority="3681" operator="equal">
      <formula>"Nincs Po"</formula>
    </cfRule>
  </conditionalFormatting>
  <conditionalFormatting sqref="K240">
    <cfRule type="cellIs" dxfId="3743" priority="3677" operator="equal">
      <formula>"Nem Heineken Költség"</formula>
    </cfRule>
    <cfRule type="cellIs" dxfId="3742" priority="3678" operator="equal">
      <formula>"Nincs Po"</formula>
    </cfRule>
  </conditionalFormatting>
  <conditionalFormatting sqref="I239">
    <cfRule type="cellIs" dxfId="3741" priority="3669" operator="equal">
      <formula>"H"</formula>
    </cfRule>
  </conditionalFormatting>
  <conditionalFormatting sqref="J239">
    <cfRule type="cellIs" dxfId="3740" priority="3665" operator="equal">
      <formula>"Nem Heineken Költség"</formula>
    </cfRule>
  </conditionalFormatting>
  <conditionalFormatting sqref="J239">
    <cfRule type="cellIs" dxfId="3739" priority="3666" operator="equal">
      <formula>"Nincs Po"</formula>
    </cfRule>
  </conditionalFormatting>
  <conditionalFormatting sqref="K239">
    <cfRule type="cellIs" dxfId="3738" priority="3662" operator="equal">
      <formula>"Nem Heineken Költség"</formula>
    </cfRule>
    <cfRule type="cellIs" dxfId="3737" priority="3663" operator="equal">
      <formula>"Nincs Po"</formula>
    </cfRule>
  </conditionalFormatting>
  <conditionalFormatting sqref="I238">
    <cfRule type="cellIs" dxfId="3736" priority="3654" operator="equal">
      <formula>"H"</formula>
    </cfRule>
  </conditionalFormatting>
  <conditionalFormatting sqref="J238">
    <cfRule type="cellIs" dxfId="3735" priority="3650" operator="equal">
      <formula>"Nem Heineken Költség"</formula>
    </cfRule>
  </conditionalFormatting>
  <conditionalFormatting sqref="J238">
    <cfRule type="cellIs" dxfId="3734" priority="3651" operator="equal">
      <formula>"Nincs Po"</formula>
    </cfRule>
  </conditionalFormatting>
  <conditionalFormatting sqref="K238">
    <cfRule type="cellIs" dxfId="3733" priority="3647" operator="equal">
      <formula>"Nem Heineken Költség"</formula>
    </cfRule>
    <cfRule type="cellIs" dxfId="3732" priority="3648" operator="equal">
      <formula>"Nincs Po"</formula>
    </cfRule>
  </conditionalFormatting>
  <conditionalFormatting sqref="I237">
    <cfRule type="cellIs" dxfId="3731" priority="3639" operator="equal">
      <formula>"H"</formula>
    </cfRule>
  </conditionalFormatting>
  <conditionalFormatting sqref="J237">
    <cfRule type="cellIs" dxfId="3730" priority="3635" operator="equal">
      <formula>"Nem Heineken Költség"</formula>
    </cfRule>
  </conditionalFormatting>
  <conditionalFormatting sqref="J237">
    <cfRule type="cellIs" dxfId="3729" priority="3636" operator="equal">
      <formula>"Nincs Po"</formula>
    </cfRule>
  </conditionalFormatting>
  <conditionalFormatting sqref="K237">
    <cfRule type="cellIs" dxfId="3728" priority="3632" operator="equal">
      <formula>"Nem Heineken Költség"</formula>
    </cfRule>
    <cfRule type="cellIs" dxfId="3727" priority="3633" operator="equal">
      <formula>"Nincs Po"</formula>
    </cfRule>
  </conditionalFormatting>
  <conditionalFormatting sqref="I236">
    <cfRule type="cellIs" dxfId="3726" priority="3624" operator="equal">
      <formula>"H"</formula>
    </cfRule>
  </conditionalFormatting>
  <conditionalFormatting sqref="J236">
    <cfRule type="cellIs" dxfId="3725" priority="3620" operator="equal">
      <formula>"Nem Heineken Költség"</formula>
    </cfRule>
  </conditionalFormatting>
  <conditionalFormatting sqref="J236">
    <cfRule type="cellIs" dxfId="3724" priority="3621" operator="equal">
      <formula>"Nincs Po"</formula>
    </cfRule>
  </conditionalFormatting>
  <conditionalFormatting sqref="K236">
    <cfRule type="cellIs" dxfId="3723" priority="3617" operator="equal">
      <formula>"Nem Heineken Költség"</formula>
    </cfRule>
    <cfRule type="cellIs" dxfId="3722" priority="3618" operator="equal">
      <formula>"Nincs Po"</formula>
    </cfRule>
  </conditionalFormatting>
  <conditionalFormatting sqref="I235">
    <cfRule type="cellIs" dxfId="3721" priority="3609" operator="equal">
      <formula>"H"</formula>
    </cfRule>
  </conditionalFormatting>
  <conditionalFormatting sqref="J235">
    <cfRule type="cellIs" dxfId="3720" priority="3605" operator="equal">
      <formula>"Nem Heineken Költség"</formula>
    </cfRule>
  </conditionalFormatting>
  <conditionalFormatting sqref="J235">
    <cfRule type="cellIs" dxfId="3719" priority="3606" operator="equal">
      <formula>"Nincs Po"</formula>
    </cfRule>
  </conditionalFormatting>
  <conditionalFormatting sqref="K235">
    <cfRule type="cellIs" dxfId="3718" priority="3602" operator="equal">
      <formula>"Nem Heineken Költség"</formula>
    </cfRule>
    <cfRule type="cellIs" dxfId="3717" priority="3603" operator="equal">
      <formula>"Nincs Po"</formula>
    </cfRule>
  </conditionalFormatting>
  <conditionalFormatting sqref="I234">
    <cfRule type="cellIs" dxfId="3716" priority="3594" operator="equal">
      <formula>"H"</formula>
    </cfRule>
  </conditionalFormatting>
  <conditionalFormatting sqref="J234">
    <cfRule type="cellIs" dxfId="3715" priority="3590" operator="equal">
      <formula>"Nem Heineken Költség"</formula>
    </cfRule>
  </conditionalFormatting>
  <conditionalFormatting sqref="J234">
    <cfRule type="cellIs" dxfId="3714" priority="3591" operator="equal">
      <formula>"Nincs Po"</formula>
    </cfRule>
  </conditionalFormatting>
  <conditionalFormatting sqref="K234">
    <cfRule type="cellIs" dxfId="3713" priority="3587" operator="equal">
      <formula>"Nem Heineken Költség"</formula>
    </cfRule>
    <cfRule type="cellIs" dxfId="3712" priority="3588" operator="equal">
      <formula>"Nincs Po"</formula>
    </cfRule>
  </conditionalFormatting>
  <conditionalFormatting sqref="I233">
    <cfRule type="cellIs" dxfId="3711" priority="3579" operator="equal">
      <formula>"H"</formula>
    </cfRule>
  </conditionalFormatting>
  <conditionalFormatting sqref="J233">
    <cfRule type="cellIs" dxfId="3710" priority="3575" operator="equal">
      <formula>"Nem Heineken Költség"</formula>
    </cfRule>
  </conditionalFormatting>
  <conditionalFormatting sqref="J233">
    <cfRule type="cellIs" dxfId="3709" priority="3576" operator="equal">
      <formula>"Nincs Po"</formula>
    </cfRule>
  </conditionalFormatting>
  <conditionalFormatting sqref="K233">
    <cfRule type="cellIs" dxfId="3708" priority="3572" operator="equal">
      <formula>"Nem Heineken Költség"</formula>
    </cfRule>
    <cfRule type="cellIs" dxfId="3707" priority="3573" operator="equal">
      <formula>"Nincs Po"</formula>
    </cfRule>
  </conditionalFormatting>
  <conditionalFormatting sqref="I232">
    <cfRule type="cellIs" dxfId="3706" priority="3564" operator="equal">
      <formula>"H"</formula>
    </cfRule>
  </conditionalFormatting>
  <conditionalFormatting sqref="J232">
    <cfRule type="cellIs" dxfId="3705" priority="3560" operator="equal">
      <formula>"Nem Heineken Költség"</formula>
    </cfRule>
  </conditionalFormatting>
  <conditionalFormatting sqref="J232">
    <cfRule type="cellIs" dxfId="3704" priority="3561" operator="equal">
      <formula>"Nincs Po"</formula>
    </cfRule>
  </conditionalFormatting>
  <conditionalFormatting sqref="K232">
    <cfRule type="cellIs" dxfId="3703" priority="3557" operator="equal">
      <formula>"Nem Heineken Költség"</formula>
    </cfRule>
    <cfRule type="cellIs" dxfId="3702" priority="3558" operator="equal">
      <formula>"Nincs Po"</formula>
    </cfRule>
  </conditionalFormatting>
  <conditionalFormatting sqref="I231">
    <cfRule type="cellIs" dxfId="3701" priority="3549" operator="equal">
      <formula>"H"</formula>
    </cfRule>
  </conditionalFormatting>
  <conditionalFormatting sqref="J231">
    <cfRule type="cellIs" dxfId="3700" priority="3545" operator="equal">
      <formula>"Nem Heineken Költség"</formula>
    </cfRule>
  </conditionalFormatting>
  <conditionalFormatting sqref="J231">
    <cfRule type="cellIs" dxfId="3699" priority="3546" operator="equal">
      <formula>"Nincs Po"</formula>
    </cfRule>
  </conditionalFormatting>
  <conditionalFormatting sqref="K231">
    <cfRule type="cellIs" dxfId="3698" priority="3542" operator="equal">
      <formula>"Nem Heineken Költség"</formula>
    </cfRule>
    <cfRule type="cellIs" dxfId="3697" priority="3543" operator="equal">
      <formula>"Nincs Po"</formula>
    </cfRule>
  </conditionalFormatting>
  <conditionalFormatting sqref="I230">
    <cfRule type="cellIs" dxfId="3696" priority="3534" operator="equal">
      <formula>"H"</formula>
    </cfRule>
  </conditionalFormatting>
  <conditionalFormatting sqref="J230">
    <cfRule type="cellIs" dxfId="3695" priority="3530" operator="equal">
      <formula>"Nem Heineken Költség"</formula>
    </cfRule>
  </conditionalFormatting>
  <conditionalFormatting sqref="J230">
    <cfRule type="cellIs" dxfId="3694" priority="3531" operator="equal">
      <formula>"Nincs Po"</formula>
    </cfRule>
  </conditionalFormatting>
  <conditionalFormatting sqref="K230">
    <cfRule type="cellIs" dxfId="3693" priority="3527" operator="equal">
      <formula>"Nem Heineken Költség"</formula>
    </cfRule>
    <cfRule type="cellIs" dxfId="3692" priority="3528" operator="equal">
      <formula>"Nincs Po"</formula>
    </cfRule>
  </conditionalFormatting>
  <conditionalFormatting sqref="I229">
    <cfRule type="cellIs" dxfId="3691" priority="3519" operator="equal">
      <formula>"H"</formula>
    </cfRule>
  </conditionalFormatting>
  <conditionalFormatting sqref="J229">
    <cfRule type="cellIs" dxfId="3690" priority="3515" operator="equal">
      <formula>"Nem Heineken Költség"</formula>
    </cfRule>
  </conditionalFormatting>
  <conditionalFormatting sqref="J229">
    <cfRule type="cellIs" dxfId="3689" priority="3516" operator="equal">
      <formula>"Nincs Po"</formula>
    </cfRule>
  </conditionalFormatting>
  <conditionalFormatting sqref="K229">
    <cfRule type="cellIs" dxfId="3688" priority="3512" operator="equal">
      <formula>"Nem Heineken Költség"</formula>
    </cfRule>
    <cfRule type="cellIs" dxfId="3687" priority="3513" operator="equal">
      <formula>"Nincs Po"</formula>
    </cfRule>
  </conditionalFormatting>
  <conditionalFormatting sqref="I228">
    <cfRule type="cellIs" dxfId="3686" priority="3504" operator="equal">
      <formula>"H"</formula>
    </cfRule>
  </conditionalFormatting>
  <conditionalFormatting sqref="J228">
    <cfRule type="cellIs" dxfId="3685" priority="3500" operator="equal">
      <formula>"Nem Heineken Költség"</formula>
    </cfRule>
  </conditionalFormatting>
  <conditionalFormatting sqref="J228">
    <cfRule type="cellIs" dxfId="3684" priority="3501" operator="equal">
      <formula>"Nincs Po"</formula>
    </cfRule>
  </conditionalFormatting>
  <conditionalFormatting sqref="K228">
    <cfRule type="cellIs" dxfId="3683" priority="3497" operator="equal">
      <formula>"Nem Heineken Költség"</formula>
    </cfRule>
    <cfRule type="cellIs" dxfId="3682" priority="3498" operator="equal">
      <formula>"Nincs Po"</formula>
    </cfRule>
  </conditionalFormatting>
  <conditionalFormatting sqref="I227">
    <cfRule type="cellIs" dxfId="3681" priority="3489" operator="equal">
      <formula>"H"</formula>
    </cfRule>
  </conditionalFormatting>
  <conditionalFormatting sqref="J227">
    <cfRule type="cellIs" dxfId="3680" priority="3485" operator="equal">
      <formula>"Nem Heineken Költség"</formula>
    </cfRule>
  </conditionalFormatting>
  <conditionalFormatting sqref="J227">
    <cfRule type="cellIs" dxfId="3679" priority="3486" operator="equal">
      <formula>"Nincs Po"</formula>
    </cfRule>
  </conditionalFormatting>
  <conditionalFormatting sqref="K227">
    <cfRule type="cellIs" dxfId="3678" priority="3482" operator="equal">
      <formula>"Nem Heineken Költség"</formula>
    </cfRule>
    <cfRule type="cellIs" dxfId="3677" priority="3483" operator="equal">
      <formula>"Nincs Po"</formula>
    </cfRule>
  </conditionalFormatting>
  <conditionalFormatting sqref="I226">
    <cfRule type="cellIs" dxfId="3676" priority="3474" operator="equal">
      <formula>"H"</formula>
    </cfRule>
  </conditionalFormatting>
  <conditionalFormatting sqref="J226">
    <cfRule type="cellIs" dxfId="3675" priority="3470" operator="equal">
      <formula>"Nem Heineken Költség"</formula>
    </cfRule>
  </conditionalFormatting>
  <conditionalFormatting sqref="J226">
    <cfRule type="cellIs" dxfId="3674" priority="3471" operator="equal">
      <formula>"Nincs Po"</formula>
    </cfRule>
  </conditionalFormatting>
  <conditionalFormatting sqref="K226">
    <cfRule type="cellIs" dxfId="3673" priority="3467" operator="equal">
      <formula>"Nem Heineken Költség"</formula>
    </cfRule>
    <cfRule type="cellIs" dxfId="3672" priority="3468" operator="equal">
      <formula>"Nincs Po"</formula>
    </cfRule>
  </conditionalFormatting>
  <conditionalFormatting sqref="I225">
    <cfRule type="cellIs" dxfId="3671" priority="3459" operator="equal">
      <formula>"H"</formula>
    </cfRule>
  </conditionalFormatting>
  <conditionalFormatting sqref="J225">
    <cfRule type="cellIs" dxfId="3670" priority="3455" operator="equal">
      <formula>"Nem Heineken Költség"</formula>
    </cfRule>
  </conditionalFormatting>
  <conditionalFormatting sqref="J225">
    <cfRule type="cellIs" dxfId="3669" priority="3456" operator="equal">
      <formula>"Nincs Po"</formula>
    </cfRule>
  </conditionalFormatting>
  <conditionalFormatting sqref="K225">
    <cfRule type="cellIs" dxfId="3668" priority="3452" operator="equal">
      <formula>"Nem Heineken Költség"</formula>
    </cfRule>
    <cfRule type="cellIs" dxfId="3667" priority="3453" operator="equal">
      <formula>"Nincs Po"</formula>
    </cfRule>
  </conditionalFormatting>
  <conditionalFormatting sqref="I224">
    <cfRule type="cellIs" dxfId="3666" priority="3444" operator="equal">
      <formula>"H"</formula>
    </cfRule>
  </conditionalFormatting>
  <conditionalFormatting sqref="J224">
    <cfRule type="cellIs" dxfId="3665" priority="3440" operator="equal">
      <formula>"Nem Heineken Költség"</formula>
    </cfRule>
  </conditionalFormatting>
  <conditionalFormatting sqref="J224">
    <cfRule type="cellIs" dxfId="3664" priority="3441" operator="equal">
      <formula>"Nincs Po"</formula>
    </cfRule>
  </conditionalFormatting>
  <conditionalFormatting sqref="K224">
    <cfRule type="cellIs" dxfId="3663" priority="3437" operator="equal">
      <formula>"Nem Heineken Költség"</formula>
    </cfRule>
    <cfRule type="cellIs" dxfId="3662" priority="3438" operator="equal">
      <formula>"Nincs Po"</formula>
    </cfRule>
  </conditionalFormatting>
  <conditionalFormatting sqref="I223">
    <cfRule type="cellIs" dxfId="3661" priority="3429" operator="equal">
      <formula>"H"</formula>
    </cfRule>
  </conditionalFormatting>
  <conditionalFormatting sqref="J223">
    <cfRule type="cellIs" dxfId="3660" priority="3425" operator="equal">
      <formula>"Nem Heineken Költség"</formula>
    </cfRule>
  </conditionalFormatting>
  <conditionalFormatting sqref="J223">
    <cfRule type="cellIs" dxfId="3659" priority="3426" operator="equal">
      <formula>"Nincs Po"</formula>
    </cfRule>
  </conditionalFormatting>
  <conditionalFormatting sqref="K223">
    <cfRule type="cellIs" dxfId="3658" priority="3422" operator="equal">
      <formula>"Nem Heineken Költség"</formula>
    </cfRule>
    <cfRule type="cellIs" dxfId="3657" priority="3423" operator="equal">
      <formula>"Nincs Po"</formula>
    </cfRule>
  </conditionalFormatting>
  <conditionalFormatting sqref="I222">
    <cfRule type="cellIs" dxfId="3656" priority="3414" operator="equal">
      <formula>"H"</formula>
    </cfRule>
  </conditionalFormatting>
  <conditionalFormatting sqref="J222">
    <cfRule type="cellIs" dxfId="3655" priority="3410" operator="equal">
      <formula>"Nem Heineken Költség"</formula>
    </cfRule>
  </conditionalFormatting>
  <conditionalFormatting sqref="J222">
    <cfRule type="cellIs" dxfId="3654" priority="3411" operator="equal">
      <formula>"Nincs Po"</formula>
    </cfRule>
  </conditionalFormatting>
  <conditionalFormatting sqref="K222">
    <cfRule type="cellIs" dxfId="3653" priority="3407" operator="equal">
      <formula>"Nem Heineken Költség"</formula>
    </cfRule>
    <cfRule type="cellIs" dxfId="3652" priority="3408" operator="equal">
      <formula>"Nincs Po"</formula>
    </cfRule>
  </conditionalFormatting>
  <conditionalFormatting sqref="I221">
    <cfRule type="cellIs" dxfId="3651" priority="3399" operator="equal">
      <formula>"H"</formula>
    </cfRule>
  </conditionalFormatting>
  <conditionalFormatting sqref="J221">
    <cfRule type="cellIs" dxfId="3650" priority="3395" operator="equal">
      <formula>"Nem Heineken Költség"</formula>
    </cfRule>
  </conditionalFormatting>
  <conditionalFormatting sqref="J221">
    <cfRule type="cellIs" dxfId="3649" priority="3396" operator="equal">
      <formula>"Nincs Po"</formula>
    </cfRule>
  </conditionalFormatting>
  <conditionalFormatting sqref="K221">
    <cfRule type="cellIs" dxfId="3648" priority="3392" operator="equal">
      <formula>"Nem Heineken Költség"</formula>
    </cfRule>
    <cfRule type="cellIs" dxfId="3647" priority="3393" operator="equal">
      <formula>"Nincs Po"</formula>
    </cfRule>
  </conditionalFormatting>
  <conditionalFormatting sqref="I220">
    <cfRule type="cellIs" dxfId="3646" priority="3384" operator="equal">
      <formula>"H"</formula>
    </cfRule>
  </conditionalFormatting>
  <conditionalFormatting sqref="J220">
    <cfRule type="cellIs" dxfId="3645" priority="3380" operator="equal">
      <formula>"Nem Heineken Költség"</formula>
    </cfRule>
  </conditionalFormatting>
  <conditionalFormatting sqref="J220">
    <cfRule type="cellIs" dxfId="3644" priority="3381" operator="equal">
      <formula>"Nincs Po"</formula>
    </cfRule>
  </conditionalFormatting>
  <conditionalFormatting sqref="K220">
    <cfRule type="cellIs" dxfId="3643" priority="3377" operator="equal">
      <formula>"Nem Heineken Költség"</formula>
    </cfRule>
    <cfRule type="cellIs" dxfId="3642" priority="3378" operator="equal">
      <formula>"Nincs Po"</formula>
    </cfRule>
  </conditionalFormatting>
  <conditionalFormatting sqref="I219">
    <cfRule type="cellIs" dxfId="3641" priority="3369" operator="equal">
      <formula>"H"</formula>
    </cfRule>
  </conditionalFormatting>
  <conditionalFormatting sqref="J219">
    <cfRule type="cellIs" dxfId="3640" priority="3365" operator="equal">
      <formula>"Nem Heineken Költség"</formula>
    </cfRule>
  </conditionalFormatting>
  <conditionalFormatting sqref="J219">
    <cfRule type="cellIs" dxfId="3639" priority="3366" operator="equal">
      <formula>"Nincs Po"</formula>
    </cfRule>
  </conditionalFormatting>
  <conditionalFormatting sqref="K219">
    <cfRule type="cellIs" dxfId="3638" priority="3362" operator="equal">
      <formula>"Nem Heineken Költség"</formula>
    </cfRule>
    <cfRule type="cellIs" dxfId="3637" priority="3363" operator="equal">
      <formula>"Nincs Po"</formula>
    </cfRule>
  </conditionalFormatting>
  <conditionalFormatting sqref="I218">
    <cfRule type="cellIs" dxfId="3636" priority="3354" operator="equal">
      <formula>"H"</formula>
    </cfRule>
  </conditionalFormatting>
  <conditionalFormatting sqref="J218">
    <cfRule type="cellIs" dxfId="3635" priority="3350" operator="equal">
      <formula>"Nem Heineken Költség"</formula>
    </cfRule>
  </conditionalFormatting>
  <conditionalFormatting sqref="J218">
    <cfRule type="cellIs" dxfId="3634" priority="3351" operator="equal">
      <formula>"Nincs Po"</formula>
    </cfRule>
  </conditionalFormatting>
  <conditionalFormatting sqref="K218">
    <cfRule type="cellIs" dxfId="3633" priority="3347" operator="equal">
      <formula>"Nem Heineken Költség"</formula>
    </cfRule>
    <cfRule type="cellIs" dxfId="3632" priority="3348" operator="equal">
      <formula>"Nincs Po"</formula>
    </cfRule>
  </conditionalFormatting>
  <conditionalFormatting sqref="I217">
    <cfRule type="cellIs" dxfId="3631" priority="3339" operator="equal">
      <formula>"H"</formula>
    </cfRule>
  </conditionalFormatting>
  <conditionalFormatting sqref="J217">
    <cfRule type="cellIs" dxfId="3630" priority="3335" operator="equal">
      <formula>"Nem Heineken Költség"</formula>
    </cfRule>
  </conditionalFormatting>
  <conditionalFormatting sqref="J217">
    <cfRule type="cellIs" dxfId="3629" priority="3336" operator="equal">
      <formula>"Nincs Po"</formula>
    </cfRule>
  </conditionalFormatting>
  <conditionalFormatting sqref="K217">
    <cfRule type="cellIs" dxfId="3628" priority="3332" operator="equal">
      <formula>"Nem Heineken Költség"</formula>
    </cfRule>
    <cfRule type="cellIs" dxfId="3627" priority="3333" operator="equal">
      <formula>"Nincs Po"</formula>
    </cfRule>
  </conditionalFormatting>
  <conditionalFormatting sqref="I216">
    <cfRule type="cellIs" dxfId="3626" priority="3324" operator="equal">
      <formula>"H"</formula>
    </cfRule>
  </conditionalFormatting>
  <conditionalFormatting sqref="J216">
    <cfRule type="cellIs" dxfId="3625" priority="3320" operator="equal">
      <formula>"Nem Heineken Költség"</formula>
    </cfRule>
  </conditionalFormatting>
  <conditionalFormatting sqref="J216">
    <cfRule type="cellIs" dxfId="3624" priority="3321" operator="equal">
      <formula>"Nincs Po"</formula>
    </cfRule>
  </conditionalFormatting>
  <conditionalFormatting sqref="K216">
    <cfRule type="cellIs" dxfId="3623" priority="3317" operator="equal">
      <formula>"Nem Heineken Költség"</formula>
    </cfRule>
    <cfRule type="cellIs" dxfId="3622" priority="3318" operator="equal">
      <formula>"Nincs Po"</formula>
    </cfRule>
  </conditionalFormatting>
  <conditionalFormatting sqref="I215">
    <cfRule type="cellIs" dxfId="3621" priority="3309" operator="equal">
      <formula>"H"</formula>
    </cfRule>
  </conditionalFormatting>
  <conditionalFormatting sqref="J215">
    <cfRule type="cellIs" dxfId="3620" priority="3305" operator="equal">
      <formula>"Nem Heineken Költség"</formula>
    </cfRule>
  </conditionalFormatting>
  <conditionalFormatting sqref="J215">
    <cfRule type="cellIs" dxfId="3619" priority="3306" operator="equal">
      <formula>"Nincs Po"</formula>
    </cfRule>
  </conditionalFormatting>
  <conditionalFormatting sqref="K215">
    <cfRule type="cellIs" dxfId="3618" priority="3302" operator="equal">
      <formula>"Nem Heineken Költség"</formula>
    </cfRule>
    <cfRule type="cellIs" dxfId="3617" priority="3303" operator="equal">
      <formula>"Nincs Po"</formula>
    </cfRule>
  </conditionalFormatting>
  <conditionalFormatting sqref="I214">
    <cfRule type="cellIs" dxfId="3616" priority="3294" operator="equal">
      <formula>"H"</formula>
    </cfRule>
  </conditionalFormatting>
  <conditionalFormatting sqref="J214">
    <cfRule type="cellIs" dxfId="3615" priority="3290" operator="equal">
      <formula>"Nem Heineken Költség"</formula>
    </cfRule>
  </conditionalFormatting>
  <conditionalFormatting sqref="J214">
    <cfRule type="cellIs" dxfId="3614" priority="3291" operator="equal">
      <formula>"Nincs Po"</formula>
    </cfRule>
  </conditionalFormatting>
  <conditionalFormatting sqref="K214">
    <cfRule type="cellIs" dxfId="3613" priority="3287" operator="equal">
      <formula>"Nem Heineken Költség"</formula>
    </cfRule>
    <cfRule type="cellIs" dxfId="3612" priority="3288" operator="equal">
      <formula>"Nincs Po"</formula>
    </cfRule>
  </conditionalFormatting>
  <conditionalFormatting sqref="I213">
    <cfRule type="cellIs" dxfId="3611" priority="3264" operator="equal">
      <formula>"H"</formula>
    </cfRule>
  </conditionalFormatting>
  <conditionalFormatting sqref="J213">
    <cfRule type="cellIs" dxfId="3610" priority="3260" operator="equal">
      <formula>"Nem Heineken Költség"</formula>
    </cfRule>
  </conditionalFormatting>
  <conditionalFormatting sqref="J213">
    <cfRule type="cellIs" dxfId="3609" priority="3261" operator="equal">
      <formula>"Nincs Po"</formula>
    </cfRule>
  </conditionalFormatting>
  <conditionalFormatting sqref="K213">
    <cfRule type="cellIs" dxfId="3608" priority="3257" operator="equal">
      <formula>"Nem Heineken Költség"</formula>
    </cfRule>
    <cfRule type="cellIs" dxfId="3607" priority="3258" operator="equal">
      <formula>"Nincs Po"</formula>
    </cfRule>
  </conditionalFormatting>
  <conditionalFormatting sqref="I212">
    <cfRule type="cellIs" dxfId="3606" priority="3249" operator="equal">
      <formula>"H"</formula>
    </cfRule>
  </conditionalFormatting>
  <conditionalFormatting sqref="J212">
    <cfRule type="cellIs" dxfId="3605" priority="3245" operator="equal">
      <formula>"Nem Heineken Költség"</formula>
    </cfRule>
  </conditionalFormatting>
  <conditionalFormatting sqref="J212">
    <cfRule type="cellIs" dxfId="3604" priority="3246" operator="equal">
      <formula>"Nincs Po"</formula>
    </cfRule>
  </conditionalFormatting>
  <conditionalFormatting sqref="K212">
    <cfRule type="cellIs" dxfId="3603" priority="3242" operator="equal">
      <formula>"Nem Heineken Költség"</formula>
    </cfRule>
    <cfRule type="cellIs" dxfId="3602" priority="3243" operator="equal">
      <formula>"Nincs Po"</formula>
    </cfRule>
  </conditionalFormatting>
  <conditionalFormatting sqref="I211">
    <cfRule type="cellIs" dxfId="3601" priority="3234" operator="equal">
      <formula>"H"</formula>
    </cfRule>
  </conditionalFormatting>
  <conditionalFormatting sqref="J211">
    <cfRule type="cellIs" dxfId="3600" priority="3230" operator="equal">
      <formula>"Nem Heineken Költség"</formula>
    </cfRule>
  </conditionalFormatting>
  <conditionalFormatting sqref="J211">
    <cfRule type="cellIs" dxfId="3599" priority="3231" operator="equal">
      <formula>"Nincs Po"</formula>
    </cfRule>
  </conditionalFormatting>
  <conditionalFormatting sqref="K211">
    <cfRule type="cellIs" dxfId="3598" priority="3227" operator="equal">
      <formula>"Nem Heineken Költség"</formula>
    </cfRule>
    <cfRule type="cellIs" dxfId="3597" priority="3228" operator="equal">
      <formula>"Nincs Po"</formula>
    </cfRule>
  </conditionalFormatting>
  <conditionalFormatting sqref="I210">
    <cfRule type="cellIs" dxfId="3596" priority="3219" operator="equal">
      <formula>"H"</formula>
    </cfRule>
  </conditionalFormatting>
  <conditionalFormatting sqref="J210">
    <cfRule type="cellIs" dxfId="3595" priority="3215" operator="equal">
      <formula>"Nem Heineken Költség"</formula>
    </cfRule>
  </conditionalFormatting>
  <conditionalFormatting sqref="J210">
    <cfRule type="cellIs" dxfId="3594" priority="3216" operator="equal">
      <formula>"Nincs Po"</formula>
    </cfRule>
  </conditionalFormatting>
  <conditionalFormatting sqref="K210">
    <cfRule type="cellIs" dxfId="3593" priority="3212" operator="equal">
      <formula>"Nem Heineken Költség"</formula>
    </cfRule>
    <cfRule type="cellIs" dxfId="3592" priority="3213" operator="equal">
      <formula>"Nincs Po"</formula>
    </cfRule>
  </conditionalFormatting>
  <conditionalFormatting sqref="I209">
    <cfRule type="cellIs" dxfId="3591" priority="3204" operator="equal">
      <formula>"H"</formula>
    </cfRule>
  </conditionalFormatting>
  <conditionalFormatting sqref="J209">
    <cfRule type="cellIs" dxfId="3590" priority="3200" operator="equal">
      <formula>"Nem Heineken Költség"</formula>
    </cfRule>
  </conditionalFormatting>
  <conditionalFormatting sqref="J209">
    <cfRule type="cellIs" dxfId="3589" priority="3201" operator="equal">
      <formula>"Nincs Po"</formula>
    </cfRule>
  </conditionalFormatting>
  <conditionalFormatting sqref="K209">
    <cfRule type="cellIs" dxfId="3588" priority="3197" operator="equal">
      <formula>"Nem Heineken Költség"</formula>
    </cfRule>
    <cfRule type="cellIs" dxfId="3587" priority="3198" operator="equal">
      <formula>"Nincs Po"</formula>
    </cfRule>
  </conditionalFormatting>
  <conditionalFormatting sqref="I208">
    <cfRule type="cellIs" dxfId="3586" priority="3189" operator="equal">
      <formula>"H"</formula>
    </cfRule>
  </conditionalFormatting>
  <conditionalFormatting sqref="J208">
    <cfRule type="cellIs" dxfId="3585" priority="3185" operator="equal">
      <formula>"Nem Heineken Költség"</formula>
    </cfRule>
  </conditionalFormatting>
  <conditionalFormatting sqref="J208">
    <cfRule type="cellIs" dxfId="3584" priority="3186" operator="equal">
      <formula>"Nincs Po"</formula>
    </cfRule>
  </conditionalFormatting>
  <conditionalFormatting sqref="K208">
    <cfRule type="cellIs" dxfId="3583" priority="3182" operator="equal">
      <formula>"Nem Heineken Költség"</formula>
    </cfRule>
    <cfRule type="cellIs" dxfId="3582" priority="3183" operator="equal">
      <formula>"Nincs Po"</formula>
    </cfRule>
  </conditionalFormatting>
  <conditionalFormatting sqref="I207">
    <cfRule type="cellIs" dxfId="3581" priority="3174" operator="equal">
      <formula>"H"</formula>
    </cfRule>
  </conditionalFormatting>
  <conditionalFormatting sqref="J207">
    <cfRule type="cellIs" dxfId="3580" priority="3170" operator="equal">
      <formula>"Nem Heineken Költség"</formula>
    </cfRule>
  </conditionalFormatting>
  <conditionalFormatting sqref="J207">
    <cfRule type="cellIs" dxfId="3579" priority="3171" operator="equal">
      <formula>"Nincs Po"</formula>
    </cfRule>
  </conditionalFormatting>
  <conditionalFormatting sqref="K207">
    <cfRule type="cellIs" dxfId="3578" priority="3167" operator="equal">
      <formula>"Nem Heineken Költség"</formula>
    </cfRule>
    <cfRule type="cellIs" dxfId="3577" priority="3168" operator="equal">
      <formula>"Nincs Po"</formula>
    </cfRule>
  </conditionalFormatting>
  <conditionalFormatting sqref="I206">
    <cfRule type="cellIs" dxfId="3576" priority="3159" operator="equal">
      <formula>"H"</formula>
    </cfRule>
  </conditionalFormatting>
  <conditionalFormatting sqref="J206">
    <cfRule type="cellIs" dxfId="3575" priority="3155" operator="equal">
      <formula>"Nem Heineken Költség"</formula>
    </cfRule>
  </conditionalFormatting>
  <conditionalFormatting sqref="J206">
    <cfRule type="cellIs" dxfId="3574" priority="3156" operator="equal">
      <formula>"Nincs Po"</formula>
    </cfRule>
  </conditionalFormatting>
  <conditionalFormatting sqref="K206">
    <cfRule type="cellIs" dxfId="3573" priority="3152" operator="equal">
      <formula>"Nem Heineken Költség"</formula>
    </cfRule>
    <cfRule type="cellIs" dxfId="3572" priority="3153" operator="equal">
      <formula>"Nincs Po"</formula>
    </cfRule>
  </conditionalFormatting>
  <conditionalFormatting sqref="I205">
    <cfRule type="cellIs" dxfId="3571" priority="3129" operator="equal">
      <formula>"H"</formula>
    </cfRule>
  </conditionalFormatting>
  <conditionalFormatting sqref="J205">
    <cfRule type="cellIs" dxfId="3570" priority="3125" operator="equal">
      <formula>"Nem Heineken Költség"</formula>
    </cfRule>
  </conditionalFormatting>
  <conditionalFormatting sqref="J205">
    <cfRule type="cellIs" dxfId="3569" priority="3126" operator="equal">
      <formula>"Nincs Po"</formula>
    </cfRule>
  </conditionalFormatting>
  <conditionalFormatting sqref="K205">
    <cfRule type="cellIs" dxfId="3568" priority="3122" operator="equal">
      <formula>"Nem Heineken Költség"</formula>
    </cfRule>
    <cfRule type="cellIs" dxfId="3567" priority="3123" operator="equal">
      <formula>"Nincs Po"</formula>
    </cfRule>
  </conditionalFormatting>
  <conditionalFormatting sqref="I204">
    <cfRule type="cellIs" dxfId="3566" priority="3114" operator="equal">
      <formula>"H"</formula>
    </cfRule>
  </conditionalFormatting>
  <conditionalFormatting sqref="J204">
    <cfRule type="cellIs" dxfId="3565" priority="3110" operator="equal">
      <formula>"Nem Heineken Költség"</formula>
    </cfRule>
  </conditionalFormatting>
  <conditionalFormatting sqref="J204">
    <cfRule type="cellIs" dxfId="3564" priority="3111" operator="equal">
      <formula>"Nincs Po"</formula>
    </cfRule>
  </conditionalFormatting>
  <conditionalFormatting sqref="K204">
    <cfRule type="cellIs" dxfId="3563" priority="3107" operator="equal">
      <formula>"Nem Heineken Költség"</formula>
    </cfRule>
    <cfRule type="cellIs" dxfId="3562" priority="3108" operator="equal">
      <formula>"Nincs Po"</formula>
    </cfRule>
  </conditionalFormatting>
  <conditionalFormatting sqref="I203">
    <cfRule type="cellIs" dxfId="3561" priority="3099" operator="equal">
      <formula>"H"</formula>
    </cfRule>
  </conditionalFormatting>
  <conditionalFormatting sqref="J203">
    <cfRule type="cellIs" dxfId="3560" priority="3095" operator="equal">
      <formula>"Nem Heineken Költség"</formula>
    </cfRule>
  </conditionalFormatting>
  <conditionalFormatting sqref="J203">
    <cfRule type="cellIs" dxfId="3559" priority="3096" operator="equal">
      <formula>"Nincs Po"</formula>
    </cfRule>
  </conditionalFormatting>
  <conditionalFormatting sqref="K203">
    <cfRule type="cellIs" dxfId="3558" priority="3092" operator="equal">
      <formula>"Nem Heineken Költség"</formula>
    </cfRule>
    <cfRule type="cellIs" dxfId="3557" priority="3093" operator="equal">
      <formula>"Nincs Po"</formula>
    </cfRule>
  </conditionalFormatting>
  <conditionalFormatting sqref="I202">
    <cfRule type="cellIs" dxfId="3556" priority="3084" operator="equal">
      <formula>"H"</formula>
    </cfRule>
  </conditionalFormatting>
  <conditionalFormatting sqref="J202">
    <cfRule type="cellIs" dxfId="3555" priority="3080" operator="equal">
      <formula>"Nem Heineken Költség"</formula>
    </cfRule>
  </conditionalFormatting>
  <conditionalFormatting sqref="J202">
    <cfRule type="cellIs" dxfId="3554" priority="3081" operator="equal">
      <formula>"Nincs Po"</formula>
    </cfRule>
  </conditionalFormatting>
  <conditionalFormatting sqref="K202">
    <cfRule type="cellIs" dxfId="3553" priority="3077" operator="equal">
      <formula>"Nem Heineken Költség"</formula>
    </cfRule>
    <cfRule type="cellIs" dxfId="3552" priority="3078" operator="equal">
      <formula>"Nincs Po"</formula>
    </cfRule>
  </conditionalFormatting>
  <conditionalFormatting sqref="I201">
    <cfRule type="cellIs" dxfId="3551" priority="3069" operator="equal">
      <formula>"H"</formula>
    </cfRule>
  </conditionalFormatting>
  <conditionalFormatting sqref="J201">
    <cfRule type="cellIs" dxfId="3550" priority="3065" operator="equal">
      <formula>"Nem Heineken Költség"</formula>
    </cfRule>
  </conditionalFormatting>
  <conditionalFormatting sqref="J201">
    <cfRule type="cellIs" dxfId="3549" priority="3066" operator="equal">
      <formula>"Nincs Po"</formula>
    </cfRule>
  </conditionalFormatting>
  <conditionalFormatting sqref="K201">
    <cfRule type="cellIs" dxfId="3548" priority="3062" operator="equal">
      <formula>"Nem Heineken Költség"</formula>
    </cfRule>
    <cfRule type="cellIs" dxfId="3547" priority="3063" operator="equal">
      <formula>"Nincs Po"</formula>
    </cfRule>
  </conditionalFormatting>
  <conditionalFormatting sqref="I200">
    <cfRule type="cellIs" dxfId="3546" priority="3054" operator="equal">
      <formula>"H"</formula>
    </cfRule>
  </conditionalFormatting>
  <conditionalFormatting sqref="J200">
    <cfRule type="cellIs" dxfId="3545" priority="3050" operator="equal">
      <formula>"Nem Heineken Költség"</formula>
    </cfRule>
  </conditionalFormatting>
  <conditionalFormatting sqref="J200">
    <cfRule type="cellIs" dxfId="3544" priority="3051" operator="equal">
      <formula>"Nincs Po"</formula>
    </cfRule>
  </conditionalFormatting>
  <conditionalFormatting sqref="K200">
    <cfRule type="cellIs" dxfId="3543" priority="3047" operator="equal">
      <formula>"Nem Heineken Költség"</formula>
    </cfRule>
    <cfRule type="cellIs" dxfId="3542" priority="3048" operator="equal">
      <formula>"Nincs Po"</formula>
    </cfRule>
  </conditionalFormatting>
  <conditionalFormatting sqref="I199">
    <cfRule type="cellIs" dxfId="3541" priority="3039" operator="equal">
      <formula>"H"</formula>
    </cfRule>
  </conditionalFormatting>
  <conditionalFormatting sqref="J199">
    <cfRule type="cellIs" dxfId="3540" priority="3035" operator="equal">
      <formula>"Nem Heineken Költség"</formula>
    </cfRule>
  </conditionalFormatting>
  <conditionalFormatting sqref="J199">
    <cfRule type="cellIs" dxfId="3539" priority="3036" operator="equal">
      <formula>"Nincs Po"</formula>
    </cfRule>
  </conditionalFormatting>
  <conditionalFormatting sqref="K199">
    <cfRule type="cellIs" dxfId="3538" priority="3032" operator="equal">
      <formula>"Nem Heineken Költség"</formula>
    </cfRule>
    <cfRule type="cellIs" dxfId="3537" priority="3033" operator="equal">
      <formula>"Nincs Po"</formula>
    </cfRule>
  </conditionalFormatting>
  <conditionalFormatting sqref="I198">
    <cfRule type="cellIs" dxfId="3536" priority="3024" operator="equal">
      <formula>"H"</formula>
    </cfRule>
  </conditionalFormatting>
  <conditionalFormatting sqref="J198">
    <cfRule type="cellIs" dxfId="3535" priority="3020" operator="equal">
      <formula>"Nem Heineken Költség"</formula>
    </cfRule>
  </conditionalFormatting>
  <conditionalFormatting sqref="J198">
    <cfRule type="cellIs" dxfId="3534" priority="3021" operator="equal">
      <formula>"Nincs Po"</formula>
    </cfRule>
  </conditionalFormatting>
  <conditionalFormatting sqref="K198">
    <cfRule type="cellIs" dxfId="3533" priority="3017" operator="equal">
      <formula>"Nem Heineken Költség"</formula>
    </cfRule>
    <cfRule type="cellIs" dxfId="3532" priority="3018" operator="equal">
      <formula>"Nincs Po"</formula>
    </cfRule>
  </conditionalFormatting>
  <conditionalFormatting sqref="I197">
    <cfRule type="cellIs" dxfId="3531" priority="3009" operator="equal">
      <formula>"H"</formula>
    </cfRule>
  </conditionalFormatting>
  <conditionalFormatting sqref="J197">
    <cfRule type="cellIs" dxfId="3530" priority="3005" operator="equal">
      <formula>"Nem Heineken Költség"</formula>
    </cfRule>
  </conditionalFormatting>
  <conditionalFormatting sqref="J197">
    <cfRule type="cellIs" dxfId="3529" priority="3006" operator="equal">
      <formula>"Nincs Po"</formula>
    </cfRule>
  </conditionalFormatting>
  <conditionalFormatting sqref="K197">
    <cfRule type="cellIs" dxfId="3528" priority="3002" operator="equal">
      <formula>"Nem Heineken Költség"</formula>
    </cfRule>
    <cfRule type="cellIs" dxfId="3527" priority="3003" operator="equal">
      <formula>"Nincs Po"</formula>
    </cfRule>
  </conditionalFormatting>
  <conditionalFormatting sqref="I196">
    <cfRule type="cellIs" dxfId="3526" priority="2994" operator="equal">
      <formula>"H"</formula>
    </cfRule>
  </conditionalFormatting>
  <conditionalFormatting sqref="J196">
    <cfRule type="cellIs" dxfId="3525" priority="2990" operator="equal">
      <formula>"Nem Heineken Költség"</formula>
    </cfRule>
  </conditionalFormatting>
  <conditionalFormatting sqref="J196">
    <cfRule type="cellIs" dxfId="3524" priority="2991" operator="equal">
      <formula>"Nincs Po"</formula>
    </cfRule>
  </conditionalFormatting>
  <conditionalFormatting sqref="K196">
    <cfRule type="cellIs" dxfId="3523" priority="2987" operator="equal">
      <formula>"Nem Heineken Költség"</formula>
    </cfRule>
    <cfRule type="cellIs" dxfId="3522" priority="2988" operator="equal">
      <formula>"Nincs Po"</formula>
    </cfRule>
  </conditionalFormatting>
  <conditionalFormatting sqref="I195">
    <cfRule type="cellIs" dxfId="3521" priority="2979" operator="equal">
      <formula>"H"</formula>
    </cfRule>
  </conditionalFormatting>
  <conditionalFormatting sqref="J195">
    <cfRule type="cellIs" dxfId="3520" priority="2975" operator="equal">
      <formula>"Nem Heineken Költség"</formula>
    </cfRule>
  </conditionalFormatting>
  <conditionalFormatting sqref="J195">
    <cfRule type="cellIs" dxfId="3519" priority="2976" operator="equal">
      <formula>"Nincs Po"</formula>
    </cfRule>
  </conditionalFormatting>
  <conditionalFormatting sqref="K195">
    <cfRule type="cellIs" dxfId="3518" priority="2972" operator="equal">
      <formula>"Nem Heineken Költség"</formula>
    </cfRule>
    <cfRule type="cellIs" dxfId="3517" priority="2973" operator="equal">
      <formula>"Nincs Po"</formula>
    </cfRule>
  </conditionalFormatting>
  <conditionalFormatting sqref="I194">
    <cfRule type="cellIs" dxfId="3516" priority="2964" operator="equal">
      <formula>"H"</formula>
    </cfRule>
  </conditionalFormatting>
  <conditionalFormatting sqref="J194">
    <cfRule type="cellIs" dxfId="3515" priority="2960" operator="equal">
      <formula>"Nem Heineken Költség"</formula>
    </cfRule>
  </conditionalFormatting>
  <conditionalFormatting sqref="J194">
    <cfRule type="cellIs" dxfId="3514" priority="2961" operator="equal">
      <formula>"Nincs Po"</formula>
    </cfRule>
  </conditionalFormatting>
  <conditionalFormatting sqref="K194">
    <cfRule type="cellIs" dxfId="3513" priority="2957" operator="equal">
      <formula>"Nem Heineken Költség"</formula>
    </cfRule>
    <cfRule type="cellIs" dxfId="3512" priority="2958" operator="equal">
      <formula>"Nincs Po"</formula>
    </cfRule>
  </conditionalFormatting>
  <conditionalFormatting sqref="I193">
    <cfRule type="cellIs" dxfId="3511" priority="2949" operator="equal">
      <formula>"H"</formula>
    </cfRule>
  </conditionalFormatting>
  <conditionalFormatting sqref="J193">
    <cfRule type="cellIs" dxfId="3510" priority="2945" operator="equal">
      <formula>"Nem Heineken Költség"</formula>
    </cfRule>
  </conditionalFormatting>
  <conditionalFormatting sqref="J193">
    <cfRule type="cellIs" dxfId="3509" priority="2946" operator="equal">
      <formula>"Nincs Po"</formula>
    </cfRule>
  </conditionalFormatting>
  <conditionalFormatting sqref="K193">
    <cfRule type="cellIs" dxfId="3508" priority="2942" operator="equal">
      <formula>"Nem Heineken Költség"</formula>
    </cfRule>
    <cfRule type="cellIs" dxfId="3507" priority="2943" operator="equal">
      <formula>"Nincs Po"</formula>
    </cfRule>
  </conditionalFormatting>
  <conditionalFormatting sqref="I192">
    <cfRule type="cellIs" dxfId="3506" priority="2934" operator="equal">
      <formula>"H"</formula>
    </cfRule>
  </conditionalFormatting>
  <conditionalFormatting sqref="J192">
    <cfRule type="cellIs" dxfId="3505" priority="2930" operator="equal">
      <formula>"Nem Heineken Költség"</formula>
    </cfRule>
  </conditionalFormatting>
  <conditionalFormatting sqref="J192">
    <cfRule type="cellIs" dxfId="3504" priority="2931" operator="equal">
      <formula>"Nincs Po"</formula>
    </cfRule>
  </conditionalFormatting>
  <conditionalFormatting sqref="K192">
    <cfRule type="cellIs" dxfId="3503" priority="2927" operator="equal">
      <formula>"Nem Heineken Költség"</formula>
    </cfRule>
    <cfRule type="cellIs" dxfId="3502" priority="2928" operator="equal">
      <formula>"Nincs Po"</formula>
    </cfRule>
  </conditionalFormatting>
  <conditionalFormatting sqref="I191">
    <cfRule type="cellIs" dxfId="3501" priority="2919" operator="equal">
      <formula>"H"</formula>
    </cfRule>
  </conditionalFormatting>
  <conditionalFormatting sqref="J191">
    <cfRule type="cellIs" dxfId="3500" priority="2915" operator="equal">
      <formula>"Nem Heineken Költség"</formula>
    </cfRule>
  </conditionalFormatting>
  <conditionalFormatting sqref="J191">
    <cfRule type="cellIs" dxfId="3499" priority="2916" operator="equal">
      <formula>"Nincs Po"</formula>
    </cfRule>
  </conditionalFormatting>
  <conditionalFormatting sqref="K191">
    <cfRule type="cellIs" dxfId="3498" priority="2912" operator="equal">
      <formula>"Nem Heineken Költség"</formula>
    </cfRule>
    <cfRule type="cellIs" dxfId="3497" priority="2913" operator="equal">
      <formula>"Nincs Po"</formula>
    </cfRule>
  </conditionalFormatting>
  <conditionalFormatting sqref="I190">
    <cfRule type="cellIs" dxfId="3496" priority="2904" operator="equal">
      <formula>"H"</formula>
    </cfRule>
  </conditionalFormatting>
  <conditionalFormatting sqref="J190">
    <cfRule type="cellIs" dxfId="3495" priority="2900" operator="equal">
      <formula>"Nem Heineken Költség"</formula>
    </cfRule>
  </conditionalFormatting>
  <conditionalFormatting sqref="J190">
    <cfRule type="cellIs" dxfId="3494" priority="2901" operator="equal">
      <formula>"Nincs Po"</formula>
    </cfRule>
  </conditionalFormatting>
  <conditionalFormatting sqref="K190">
    <cfRule type="cellIs" dxfId="3493" priority="2897" operator="equal">
      <formula>"Nem Heineken Költség"</formula>
    </cfRule>
    <cfRule type="cellIs" dxfId="3492" priority="2898" operator="equal">
      <formula>"Nincs Po"</formula>
    </cfRule>
  </conditionalFormatting>
  <conditionalFormatting sqref="I189">
    <cfRule type="cellIs" dxfId="3491" priority="2889" operator="equal">
      <formula>"H"</formula>
    </cfRule>
  </conditionalFormatting>
  <conditionalFormatting sqref="J189">
    <cfRule type="cellIs" dxfId="3490" priority="2885" operator="equal">
      <formula>"Nem Heineken Költség"</formula>
    </cfRule>
  </conditionalFormatting>
  <conditionalFormatting sqref="J189">
    <cfRule type="cellIs" dxfId="3489" priority="2886" operator="equal">
      <formula>"Nincs Po"</formula>
    </cfRule>
  </conditionalFormatting>
  <conditionalFormatting sqref="K189">
    <cfRule type="cellIs" dxfId="3488" priority="2882" operator="equal">
      <formula>"Nem Heineken Költség"</formula>
    </cfRule>
    <cfRule type="cellIs" dxfId="3487" priority="2883" operator="equal">
      <formula>"Nincs Po"</formula>
    </cfRule>
  </conditionalFormatting>
  <conditionalFormatting sqref="I188">
    <cfRule type="cellIs" dxfId="3486" priority="2874" operator="equal">
      <formula>"H"</formula>
    </cfRule>
  </conditionalFormatting>
  <conditionalFormatting sqref="J188">
    <cfRule type="cellIs" dxfId="3485" priority="2870" operator="equal">
      <formula>"Nem Heineken Költség"</formula>
    </cfRule>
  </conditionalFormatting>
  <conditionalFormatting sqref="J188">
    <cfRule type="cellIs" dxfId="3484" priority="2871" operator="equal">
      <formula>"Nincs Po"</formula>
    </cfRule>
  </conditionalFormatting>
  <conditionalFormatting sqref="K188">
    <cfRule type="cellIs" dxfId="3483" priority="2867" operator="equal">
      <formula>"Nem Heineken Költség"</formula>
    </cfRule>
    <cfRule type="cellIs" dxfId="3482" priority="2868" operator="equal">
      <formula>"Nincs Po"</formula>
    </cfRule>
  </conditionalFormatting>
  <conditionalFormatting sqref="I187">
    <cfRule type="cellIs" dxfId="3481" priority="2859" operator="equal">
      <formula>"H"</formula>
    </cfRule>
  </conditionalFormatting>
  <conditionalFormatting sqref="J187">
    <cfRule type="cellIs" dxfId="3480" priority="2855" operator="equal">
      <formula>"Nem Heineken Költség"</formula>
    </cfRule>
  </conditionalFormatting>
  <conditionalFormatting sqref="J187">
    <cfRule type="cellIs" dxfId="3479" priority="2856" operator="equal">
      <formula>"Nincs Po"</formula>
    </cfRule>
  </conditionalFormatting>
  <conditionalFormatting sqref="K187">
    <cfRule type="cellIs" dxfId="3478" priority="2852" operator="equal">
      <formula>"Nem Heineken Költség"</formula>
    </cfRule>
    <cfRule type="cellIs" dxfId="3477" priority="2853" operator="equal">
      <formula>"Nincs Po"</formula>
    </cfRule>
  </conditionalFormatting>
  <conditionalFormatting sqref="I186">
    <cfRule type="cellIs" dxfId="3476" priority="2844" operator="equal">
      <formula>"H"</formula>
    </cfRule>
  </conditionalFormatting>
  <conditionalFormatting sqref="J186">
    <cfRule type="cellIs" dxfId="3475" priority="2840" operator="equal">
      <formula>"Nem Heineken Költség"</formula>
    </cfRule>
  </conditionalFormatting>
  <conditionalFormatting sqref="J186">
    <cfRule type="cellIs" dxfId="3474" priority="2841" operator="equal">
      <formula>"Nincs Po"</formula>
    </cfRule>
  </conditionalFormatting>
  <conditionalFormatting sqref="K186">
    <cfRule type="cellIs" dxfId="3473" priority="2837" operator="equal">
      <formula>"Nem Heineken Költség"</formula>
    </cfRule>
    <cfRule type="cellIs" dxfId="3472" priority="2838" operator="equal">
      <formula>"Nincs Po"</formula>
    </cfRule>
  </conditionalFormatting>
  <conditionalFormatting sqref="D49:D191">
    <cfRule type="cellIs" dxfId="3471" priority="2832" operator="equal">
      <formula>"Folyamatban"</formula>
    </cfRule>
    <cfRule type="cellIs" dxfId="3470" priority="2833" operator="equal">
      <formula>"Kész"</formula>
    </cfRule>
  </conditionalFormatting>
  <conditionalFormatting sqref="I185">
    <cfRule type="cellIs" dxfId="3469" priority="2825" operator="equal">
      <formula>"H"</formula>
    </cfRule>
  </conditionalFormatting>
  <conditionalFormatting sqref="J185">
    <cfRule type="cellIs" dxfId="3468" priority="2821" operator="equal">
      <formula>"Nem Heineken Költség"</formula>
    </cfRule>
  </conditionalFormatting>
  <conditionalFormatting sqref="J185">
    <cfRule type="cellIs" dxfId="3467" priority="2822" operator="equal">
      <formula>"Nincs Po"</formula>
    </cfRule>
  </conditionalFormatting>
  <conditionalFormatting sqref="K185">
    <cfRule type="cellIs" dxfId="3466" priority="2818" operator="equal">
      <formula>"Nem Heineken Költség"</formula>
    </cfRule>
    <cfRule type="cellIs" dxfId="3465" priority="2819" operator="equal">
      <formula>"Nincs Po"</formula>
    </cfRule>
  </conditionalFormatting>
  <conditionalFormatting sqref="I184">
    <cfRule type="cellIs" dxfId="3464" priority="2810" operator="equal">
      <formula>"H"</formula>
    </cfRule>
  </conditionalFormatting>
  <conditionalFormatting sqref="J184">
    <cfRule type="cellIs" dxfId="3463" priority="2806" operator="equal">
      <formula>"Nem Heineken Költség"</formula>
    </cfRule>
  </conditionalFormatting>
  <conditionalFormatting sqref="J184">
    <cfRule type="cellIs" dxfId="3462" priority="2807" operator="equal">
      <formula>"Nincs Po"</formula>
    </cfRule>
  </conditionalFormatting>
  <conditionalFormatting sqref="K184">
    <cfRule type="cellIs" dxfId="3461" priority="2803" operator="equal">
      <formula>"Nem Heineken Költség"</formula>
    </cfRule>
    <cfRule type="cellIs" dxfId="3460" priority="2804" operator="equal">
      <formula>"Nincs Po"</formula>
    </cfRule>
  </conditionalFormatting>
  <conditionalFormatting sqref="I183">
    <cfRule type="cellIs" dxfId="3459" priority="2795" operator="equal">
      <formula>"H"</formula>
    </cfRule>
  </conditionalFormatting>
  <conditionalFormatting sqref="J183">
    <cfRule type="cellIs" dxfId="3458" priority="2791" operator="equal">
      <formula>"Nem Heineken Költség"</formula>
    </cfRule>
  </conditionalFormatting>
  <conditionalFormatting sqref="J183">
    <cfRule type="cellIs" dxfId="3457" priority="2792" operator="equal">
      <formula>"Nincs Po"</formula>
    </cfRule>
  </conditionalFormatting>
  <conditionalFormatting sqref="K183">
    <cfRule type="cellIs" dxfId="3456" priority="2788" operator="equal">
      <formula>"Nem Heineken Költség"</formula>
    </cfRule>
    <cfRule type="cellIs" dxfId="3455" priority="2789" operator="equal">
      <formula>"Nincs Po"</formula>
    </cfRule>
  </conditionalFormatting>
  <conditionalFormatting sqref="I182">
    <cfRule type="cellIs" dxfId="3454" priority="2780" operator="equal">
      <formula>"H"</formula>
    </cfRule>
  </conditionalFormatting>
  <conditionalFormatting sqref="J182">
    <cfRule type="cellIs" dxfId="3453" priority="2776" operator="equal">
      <formula>"Nem Heineken Költség"</formula>
    </cfRule>
  </conditionalFormatting>
  <conditionalFormatting sqref="J182">
    <cfRule type="cellIs" dxfId="3452" priority="2777" operator="equal">
      <formula>"Nincs Po"</formula>
    </cfRule>
  </conditionalFormatting>
  <conditionalFormatting sqref="K182">
    <cfRule type="cellIs" dxfId="3451" priority="2773" operator="equal">
      <formula>"Nem Heineken Költség"</formula>
    </cfRule>
    <cfRule type="cellIs" dxfId="3450" priority="2774" operator="equal">
      <formula>"Nincs Po"</formula>
    </cfRule>
  </conditionalFormatting>
  <conditionalFormatting sqref="I181">
    <cfRule type="cellIs" dxfId="3449" priority="2765" operator="equal">
      <formula>"H"</formula>
    </cfRule>
  </conditionalFormatting>
  <conditionalFormatting sqref="J181">
    <cfRule type="cellIs" dxfId="3448" priority="2761" operator="equal">
      <formula>"Nem Heineken Költség"</formula>
    </cfRule>
  </conditionalFormatting>
  <conditionalFormatting sqref="J181">
    <cfRule type="cellIs" dxfId="3447" priority="2762" operator="equal">
      <formula>"Nincs Po"</formula>
    </cfRule>
  </conditionalFormatting>
  <conditionalFormatting sqref="K181">
    <cfRule type="cellIs" dxfId="3446" priority="2758" operator="equal">
      <formula>"Nem Heineken Költség"</formula>
    </cfRule>
    <cfRule type="cellIs" dxfId="3445" priority="2759" operator="equal">
      <formula>"Nincs Po"</formula>
    </cfRule>
  </conditionalFormatting>
  <conditionalFormatting sqref="I180">
    <cfRule type="cellIs" dxfId="3444" priority="2750" operator="equal">
      <formula>"H"</formula>
    </cfRule>
  </conditionalFormatting>
  <conditionalFormatting sqref="J180">
    <cfRule type="cellIs" dxfId="3443" priority="2746" operator="equal">
      <formula>"Nem Heineken Költség"</formula>
    </cfRule>
  </conditionalFormatting>
  <conditionalFormatting sqref="J180">
    <cfRule type="cellIs" dxfId="3442" priority="2747" operator="equal">
      <formula>"Nincs Po"</formula>
    </cfRule>
  </conditionalFormatting>
  <conditionalFormatting sqref="K180">
    <cfRule type="cellIs" dxfId="3441" priority="2743" operator="equal">
      <formula>"Nem Heineken Költség"</formula>
    </cfRule>
    <cfRule type="cellIs" dxfId="3440" priority="2744" operator="equal">
      <formula>"Nincs Po"</formula>
    </cfRule>
  </conditionalFormatting>
  <conditionalFormatting sqref="I179">
    <cfRule type="cellIs" dxfId="3439" priority="2720" operator="equal">
      <formula>"H"</formula>
    </cfRule>
  </conditionalFormatting>
  <conditionalFormatting sqref="J179">
    <cfRule type="cellIs" dxfId="3438" priority="2716" operator="equal">
      <formula>"Nem Heineken Költség"</formula>
    </cfRule>
  </conditionalFormatting>
  <conditionalFormatting sqref="J179">
    <cfRule type="cellIs" dxfId="3437" priority="2717" operator="equal">
      <formula>"Nincs Po"</formula>
    </cfRule>
  </conditionalFormatting>
  <conditionalFormatting sqref="K179">
    <cfRule type="cellIs" dxfId="3436" priority="2713" operator="equal">
      <formula>"Nem Heineken Költség"</formula>
    </cfRule>
    <cfRule type="cellIs" dxfId="3435" priority="2714" operator="equal">
      <formula>"Nincs Po"</formula>
    </cfRule>
  </conditionalFormatting>
  <conditionalFormatting sqref="I178">
    <cfRule type="cellIs" dxfId="3434" priority="2705" operator="equal">
      <formula>"H"</formula>
    </cfRule>
  </conditionalFormatting>
  <conditionalFormatting sqref="J178">
    <cfRule type="cellIs" dxfId="3433" priority="2701" operator="equal">
      <formula>"Nem Heineken Költség"</formula>
    </cfRule>
  </conditionalFormatting>
  <conditionalFormatting sqref="J178">
    <cfRule type="cellIs" dxfId="3432" priority="2702" operator="equal">
      <formula>"Nincs Po"</formula>
    </cfRule>
  </conditionalFormatting>
  <conditionalFormatting sqref="K178">
    <cfRule type="cellIs" dxfId="3431" priority="2698" operator="equal">
      <formula>"Nem Heineken Költség"</formula>
    </cfRule>
    <cfRule type="cellIs" dxfId="3430" priority="2699" operator="equal">
      <formula>"Nincs Po"</formula>
    </cfRule>
  </conditionalFormatting>
  <conditionalFormatting sqref="I177">
    <cfRule type="cellIs" dxfId="3429" priority="2675" operator="equal">
      <formula>"H"</formula>
    </cfRule>
  </conditionalFormatting>
  <conditionalFormatting sqref="J177">
    <cfRule type="cellIs" dxfId="3428" priority="2671" operator="equal">
      <formula>"Nem Heineken Költség"</formula>
    </cfRule>
  </conditionalFormatting>
  <conditionalFormatting sqref="J177">
    <cfRule type="cellIs" dxfId="3427" priority="2672" operator="equal">
      <formula>"Nincs Po"</formula>
    </cfRule>
  </conditionalFormatting>
  <conditionalFormatting sqref="K177">
    <cfRule type="cellIs" dxfId="3426" priority="2668" operator="equal">
      <formula>"Nem Heineken Költség"</formula>
    </cfRule>
    <cfRule type="cellIs" dxfId="3425" priority="2669" operator="equal">
      <formula>"Nincs Po"</formula>
    </cfRule>
  </conditionalFormatting>
  <conditionalFormatting sqref="I176">
    <cfRule type="cellIs" dxfId="3424" priority="2660" operator="equal">
      <formula>"H"</formula>
    </cfRule>
  </conditionalFormatting>
  <conditionalFormatting sqref="J176">
    <cfRule type="cellIs" dxfId="3423" priority="2656" operator="equal">
      <formula>"Nem Heineken Költség"</formula>
    </cfRule>
  </conditionalFormatting>
  <conditionalFormatting sqref="J176">
    <cfRule type="cellIs" dxfId="3422" priority="2657" operator="equal">
      <formula>"Nincs Po"</formula>
    </cfRule>
  </conditionalFormatting>
  <conditionalFormatting sqref="K176">
    <cfRule type="cellIs" dxfId="3421" priority="2653" operator="equal">
      <formula>"Nem Heineken Költség"</formula>
    </cfRule>
    <cfRule type="cellIs" dxfId="3420" priority="2654" operator="equal">
      <formula>"Nincs Po"</formula>
    </cfRule>
  </conditionalFormatting>
  <conditionalFormatting sqref="I175">
    <cfRule type="cellIs" dxfId="3419" priority="2645" operator="equal">
      <formula>"H"</formula>
    </cfRule>
  </conditionalFormatting>
  <conditionalFormatting sqref="J175">
    <cfRule type="cellIs" dxfId="3418" priority="2641" operator="equal">
      <formula>"Nem Heineken Költség"</formula>
    </cfRule>
  </conditionalFormatting>
  <conditionalFormatting sqref="J175">
    <cfRule type="cellIs" dxfId="3417" priority="2642" operator="equal">
      <formula>"Nincs Po"</formula>
    </cfRule>
  </conditionalFormatting>
  <conditionalFormatting sqref="K175">
    <cfRule type="cellIs" dxfId="3416" priority="2638" operator="equal">
      <formula>"Nem Heineken Költség"</formula>
    </cfRule>
    <cfRule type="cellIs" dxfId="3415" priority="2639" operator="equal">
      <formula>"Nincs Po"</formula>
    </cfRule>
  </conditionalFormatting>
  <conditionalFormatting sqref="I174">
    <cfRule type="cellIs" dxfId="3414" priority="2630" operator="equal">
      <formula>"H"</formula>
    </cfRule>
  </conditionalFormatting>
  <conditionalFormatting sqref="J174">
    <cfRule type="cellIs" dxfId="3413" priority="2626" operator="equal">
      <formula>"Nem Heineken Költség"</formula>
    </cfRule>
  </conditionalFormatting>
  <conditionalFormatting sqref="J174">
    <cfRule type="cellIs" dxfId="3412" priority="2627" operator="equal">
      <formula>"Nincs Po"</formula>
    </cfRule>
  </conditionalFormatting>
  <conditionalFormatting sqref="K174">
    <cfRule type="cellIs" dxfId="3411" priority="2623" operator="equal">
      <formula>"Nem Heineken Költség"</formula>
    </cfRule>
    <cfRule type="cellIs" dxfId="3410" priority="2624" operator="equal">
      <formula>"Nincs Po"</formula>
    </cfRule>
  </conditionalFormatting>
  <conditionalFormatting sqref="I173">
    <cfRule type="cellIs" dxfId="3409" priority="2615" operator="equal">
      <formula>"H"</formula>
    </cfRule>
  </conditionalFormatting>
  <conditionalFormatting sqref="J173">
    <cfRule type="cellIs" dxfId="3408" priority="2611" operator="equal">
      <formula>"Nem Heineken Költség"</formula>
    </cfRule>
  </conditionalFormatting>
  <conditionalFormatting sqref="J173">
    <cfRule type="cellIs" dxfId="3407" priority="2612" operator="equal">
      <formula>"Nincs Po"</formula>
    </cfRule>
  </conditionalFormatting>
  <conditionalFormatting sqref="K173">
    <cfRule type="cellIs" dxfId="3406" priority="2608" operator="equal">
      <formula>"Nem Heineken Költség"</formula>
    </cfRule>
    <cfRule type="cellIs" dxfId="3405" priority="2609" operator="equal">
      <formula>"Nincs Po"</formula>
    </cfRule>
  </conditionalFormatting>
  <conditionalFormatting sqref="I172">
    <cfRule type="cellIs" dxfId="3404" priority="2600" operator="equal">
      <formula>"H"</formula>
    </cfRule>
  </conditionalFormatting>
  <conditionalFormatting sqref="J172">
    <cfRule type="cellIs" dxfId="3403" priority="2596" operator="equal">
      <formula>"Nem Heineken Költség"</formula>
    </cfRule>
  </conditionalFormatting>
  <conditionalFormatting sqref="J172">
    <cfRule type="cellIs" dxfId="3402" priority="2597" operator="equal">
      <formula>"Nincs Po"</formula>
    </cfRule>
  </conditionalFormatting>
  <conditionalFormatting sqref="K172">
    <cfRule type="cellIs" dxfId="3401" priority="2593" operator="equal">
      <formula>"Nem Heineken Költség"</formula>
    </cfRule>
    <cfRule type="cellIs" dxfId="3400" priority="2594" operator="equal">
      <formula>"Nincs Po"</formula>
    </cfRule>
  </conditionalFormatting>
  <conditionalFormatting sqref="I171">
    <cfRule type="cellIs" dxfId="3399" priority="2585" operator="equal">
      <formula>"H"</formula>
    </cfRule>
  </conditionalFormatting>
  <conditionalFormatting sqref="J171">
    <cfRule type="cellIs" dxfId="3398" priority="2581" operator="equal">
      <formula>"Nem Heineken Költség"</formula>
    </cfRule>
  </conditionalFormatting>
  <conditionalFormatting sqref="J171">
    <cfRule type="cellIs" dxfId="3397" priority="2582" operator="equal">
      <formula>"Nincs Po"</formula>
    </cfRule>
  </conditionalFormatting>
  <conditionalFormatting sqref="K171">
    <cfRule type="cellIs" dxfId="3396" priority="2578" operator="equal">
      <formula>"Nem Heineken Költség"</formula>
    </cfRule>
    <cfRule type="cellIs" dxfId="3395" priority="2579" operator="equal">
      <formula>"Nincs Po"</formula>
    </cfRule>
  </conditionalFormatting>
  <conditionalFormatting sqref="I170">
    <cfRule type="cellIs" dxfId="3394" priority="2570" operator="equal">
      <formula>"H"</formula>
    </cfRule>
  </conditionalFormatting>
  <conditionalFormatting sqref="J170">
    <cfRule type="cellIs" dxfId="3393" priority="2566" operator="equal">
      <formula>"Nem Heineken Költség"</formula>
    </cfRule>
  </conditionalFormatting>
  <conditionalFormatting sqref="J170">
    <cfRule type="cellIs" dxfId="3392" priority="2567" operator="equal">
      <formula>"Nincs Po"</formula>
    </cfRule>
  </conditionalFormatting>
  <conditionalFormatting sqref="K170">
    <cfRule type="cellIs" dxfId="3391" priority="2563" operator="equal">
      <formula>"Nem Heineken Költség"</formula>
    </cfRule>
    <cfRule type="cellIs" dxfId="3390" priority="2564" operator="equal">
      <formula>"Nincs Po"</formula>
    </cfRule>
  </conditionalFormatting>
  <conditionalFormatting sqref="I169">
    <cfRule type="cellIs" dxfId="3389" priority="2555" operator="equal">
      <formula>"H"</formula>
    </cfRule>
  </conditionalFormatting>
  <conditionalFormatting sqref="J169">
    <cfRule type="cellIs" dxfId="3388" priority="2551" operator="equal">
      <formula>"Nem Heineken Költség"</formula>
    </cfRule>
  </conditionalFormatting>
  <conditionalFormatting sqref="J169">
    <cfRule type="cellIs" dxfId="3387" priority="2552" operator="equal">
      <formula>"Nincs Po"</formula>
    </cfRule>
  </conditionalFormatting>
  <conditionalFormatting sqref="K169">
    <cfRule type="cellIs" dxfId="3386" priority="2548" operator="equal">
      <formula>"Nem Heineken Költség"</formula>
    </cfRule>
    <cfRule type="cellIs" dxfId="3385" priority="2549" operator="equal">
      <formula>"Nincs Po"</formula>
    </cfRule>
  </conditionalFormatting>
  <conditionalFormatting sqref="I168">
    <cfRule type="cellIs" dxfId="3384" priority="2540" operator="equal">
      <formula>"H"</formula>
    </cfRule>
  </conditionalFormatting>
  <conditionalFormatting sqref="J168">
    <cfRule type="cellIs" dxfId="3383" priority="2536" operator="equal">
      <formula>"Nem Heineken Költség"</formula>
    </cfRule>
  </conditionalFormatting>
  <conditionalFormatting sqref="J168">
    <cfRule type="cellIs" dxfId="3382" priority="2537" operator="equal">
      <formula>"Nincs Po"</formula>
    </cfRule>
  </conditionalFormatting>
  <conditionalFormatting sqref="K168">
    <cfRule type="cellIs" dxfId="3381" priority="2533" operator="equal">
      <formula>"Nem Heineken Költség"</formula>
    </cfRule>
    <cfRule type="cellIs" dxfId="3380" priority="2534" operator="equal">
      <formula>"Nincs Po"</formula>
    </cfRule>
  </conditionalFormatting>
  <conditionalFormatting sqref="I167">
    <cfRule type="cellIs" dxfId="3379" priority="2525" operator="equal">
      <formula>"H"</formula>
    </cfRule>
  </conditionalFormatting>
  <conditionalFormatting sqref="J167">
    <cfRule type="cellIs" dxfId="3378" priority="2521" operator="equal">
      <formula>"Nem Heineken Költség"</formula>
    </cfRule>
  </conditionalFormatting>
  <conditionalFormatting sqref="J167">
    <cfRule type="cellIs" dxfId="3377" priority="2522" operator="equal">
      <formula>"Nincs Po"</formula>
    </cfRule>
  </conditionalFormatting>
  <conditionalFormatting sqref="K167">
    <cfRule type="cellIs" dxfId="3376" priority="2518" operator="equal">
      <formula>"Nem Heineken Költség"</formula>
    </cfRule>
    <cfRule type="cellIs" dxfId="3375" priority="2519" operator="equal">
      <formula>"Nincs Po"</formula>
    </cfRule>
  </conditionalFormatting>
  <conditionalFormatting sqref="I166">
    <cfRule type="cellIs" dxfId="3374" priority="2510" operator="equal">
      <formula>"H"</formula>
    </cfRule>
  </conditionalFormatting>
  <conditionalFormatting sqref="J166">
    <cfRule type="cellIs" dxfId="3373" priority="2506" operator="equal">
      <formula>"Nem Heineken Költség"</formula>
    </cfRule>
  </conditionalFormatting>
  <conditionalFormatting sqref="J166">
    <cfRule type="cellIs" dxfId="3372" priority="2507" operator="equal">
      <formula>"Nincs Po"</formula>
    </cfRule>
  </conditionalFormatting>
  <conditionalFormatting sqref="K166">
    <cfRule type="cellIs" dxfId="3371" priority="2503" operator="equal">
      <formula>"Nem Heineken Költség"</formula>
    </cfRule>
    <cfRule type="cellIs" dxfId="3370" priority="2504" operator="equal">
      <formula>"Nincs Po"</formula>
    </cfRule>
  </conditionalFormatting>
  <conditionalFormatting sqref="I165">
    <cfRule type="cellIs" dxfId="3369" priority="2495" operator="equal">
      <formula>"H"</formula>
    </cfRule>
  </conditionalFormatting>
  <conditionalFormatting sqref="J165">
    <cfRule type="cellIs" dxfId="3368" priority="2491" operator="equal">
      <formula>"Nem Heineken Költség"</formula>
    </cfRule>
  </conditionalFormatting>
  <conditionalFormatting sqref="J165">
    <cfRule type="cellIs" dxfId="3367" priority="2492" operator="equal">
      <formula>"Nincs Po"</formula>
    </cfRule>
  </conditionalFormatting>
  <conditionalFormatting sqref="K165">
    <cfRule type="cellIs" dxfId="3366" priority="2488" operator="equal">
      <formula>"Nem Heineken Költség"</formula>
    </cfRule>
    <cfRule type="cellIs" dxfId="3365" priority="2489" operator="equal">
      <formula>"Nincs Po"</formula>
    </cfRule>
  </conditionalFormatting>
  <conditionalFormatting sqref="I164">
    <cfRule type="cellIs" dxfId="3364" priority="2480" operator="equal">
      <formula>"H"</formula>
    </cfRule>
  </conditionalFormatting>
  <conditionalFormatting sqref="J164">
    <cfRule type="cellIs" dxfId="3363" priority="2476" operator="equal">
      <formula>"Nem Heineken Költség"</formula>
    </cfRule>
  </conditionalFormatting>
  <conditionalFormatting sqref="J164">
    <cfRule type="cellIs" dxfId="3362" priority="2477" operator="equal">
      <formula>"Nincs Po"</formula>
    </cfRule>
  </conditionalFormatting>
  <conditionalFormatting sqref="K164">
    <cfRule type="cellIs" dxfId="3361" priority="2473" operator="equal">
      <formula>"Nem Heineken Költség"</formula>
    </cfRule>
    <cfRule type="cellIs" dxfId="3360" priority="2474" operator="equal">
      <formula>"Nincs Po"</formula>
    </cfRule>
  </conditionalFormatting>
  <conditionalFormatting sqref="I163">
    <cfRule type="cellIs" dxfId="3359" priority="2465" operator="equal">
      <formula>"H"</formula>
    </cfRule>
  </conditionalFormatting>
  <conditionalFormatting sqref="J163">
    <cfRule type="cellIs" dxfId="3358" priority="2461" operator="equal">
      <formula>"Nem Heineken Költség"</formula>
    </cfRule>
  </conditionalFormatting>
  <conditionalFormatting sqref="J163">
    <cfRule type="cellIs" dxfId="3357" priority="2462" operator="equal">
      <formula>"Nincs Po"</formula>
    </cfRule>
  </conditionalFormatting>
  <conditionalFormatting sqref="K163">
    <cfRule type="cellIs" dxfId="3356" priority="2458" operator="equal">
      <formula>"Nem Heineken Költség"</formula>
    </cfRule>
    <cfRule type="cellIs" dxfId="3355" priority="2459" operator="equal">
      <formula>"Nincs Po"</formula>
    </cfRule>
  </conditionalFormatting>
  <conditionalFormatting sqref="I162">
    <cfRule type="cellIs" dxfId="3354" priority="2450" operator="equal">
      <formula>"H"</formula>
    </cfRule>
  </conditionalFormatting>
  <conditionalFormatting sqref="J162">
    <cfRule type="cellIs" dxfId="3353" priority="2446" operator="equal">
      <formula>"Nem Heineken Költség"</formula>
    </cfRule>
  </conditionalFormatting>
  <conditionalFormatting sqref="J162">
    <cfRule type="cellIs" dxfId="3352" priority="2447" operator="equal">
      <formula>"Nincs Po"</formula>
    </cfRule>
  </conditionalFormatting>
  <conditionalFormatting sqref="K162">
    <cfRule type="cellIs" dxfId="3351" priority="2443" operator="equal">
      <formula>"Nem Heineken Költség"</formula>
    </cfRule>
    <cfRule type="cellIs" dxfId="3350" priority="2444" operator="equal">
      <formula>"Nincs Po"</formula>
    </cfRule>
  </conditionalFormatting>
  <conditionalFormatting sqref="I161">
    <cfRule type="cellIs" dxfId="3349" priority="2435" operator="equal">
      <formula>"H"</formula>
    </cfRule>
  </conditionalFormatting>
  <conditionalFormatting sqref="J161">
    <cfRule type="cellIs" dxfId="3348" priority="2431" operator="equal">
      <formula>"Nem Heineken Költség"</formula>
    </cfRule>
  </conditionalFormatting>
  <conditionalFormatting sqref="J161">
    <cfRule type="cellIs" dxfId="3347" priority="2432" operator="equal">
      <formula>"Nincs Po"</formula>
    </cfRule>
  </conditionalFormatting>
  <conditionalFormatting sqref="K161">
    <cfRule type="cellIs" dxfId="3346" priority="2428" operator="equal">
      <formula>"Nem Heineken Költség"</formula>
    </cfRule>
    <cfRule type="cellIs" dxfId="3345" priority="2429" operator="equal">
      <formula>"Nincs Po"</formula>
    </cfRule>
  </conditionalFormatting>
  <conditionalFormatting sqref="I160">
    <cfRule type="cellIs" dxfId="3344" priority="2420" operator="equal">
      <formula>"H"</formula>
    </cfRule>
  </conditionalFormatting>
  <conditionalFormatting sqref="J160">
    <cfRule type="cellIs" dxfId="3343" priority="2416" operator="equal">
      <formula>"Nem Heineken Költség"</formula>
    </cfRule>
  </conditionalFormatting>
  <conditionalFormatting sqref="J160">
    <cfRule type="cellIs" dxfId="3342" priority="2417" operator="equal">
      <formula>"Nincs Po"</formula>
    </cfRule>
  </conditionalFormatting>
  <conditionalFormatting sqref="K160">
    <cfRule type="cellIs" dxfId="3341" priority="2413" operator="equal">
      <formula>"Nem Heineken Költség"</formula>
    </cfRule>
    <cfRule type="cellIs" dxfId="3340" priority="2414" operator="equal">
      <formula>"Nincs Po"</formula>
    </cfRule>
  </conditionalFormatting>
  <conditionalFormatting sqref="I159">
    <cfRule type="cellIs" dxfId="3339" priority="2405" operator="equal">
      <formula>"H"</formula>
    </cfRule>
  </conditionalFormatting>
  <conditionalFormatting sqref="J159">
    <cfRule type="cellIs" dxfId="3338" priority="2401" operator="equal">
      <formula>"Nem Heineken Költség"</formula>
    </cfRule>
  </conditionalFormatting>
  <conditionalFormatting sqref="J159">
    <cfRule type="cellIs" dxfId="3337" priority="2402" operator="equal">
      <formula>"Nincs Po"</formula>
    </cfRule>
  </conditionalFormatting>
  <conditionalFormatting sqref="K159">
    <cfRule type="cellIs" dxfId="3336" priority="2398" operator="equal">
      <formula>"Nem Heineken Költség"</formula>
    </cfRule>
    <cfRule type="cellIs" dxfId="3335" priority="2399" operator="equal">
      <formula>"Nincs Po"</formula>
    </cfRule>
  </conditionalFormatting>
  <conditionalFormatting sqref="I158">
    <cfRule type="cellIs" dxfId="3334" priority="2390" operator="equal">
      <formula>"H"</formula>
    </cfRule>
  </conditionalFormatting>
  <conditionalFormatting sqref="J158">
    <cfRule type="cellIs" dxfId="3333" priority="2386" operator="equal">
      <formula>"Nem Heineken Költség"</formula>
    </cfRule>
  </conditionalFormatting>
  <conditionalFormatting sqref="J158">
    <cfRule type="cellIs" dxfId="3332" priority="2387" operator="equal">
      <formula>"Nincs Po"</formula>
    </cfRule>
  </conditionalFormatting>
  <conditionalFormatting sqref="K158">
    <cfRule type="cellIs" dxfId="3331" priority="2383" operator="equal">
      <formula>"Nem Heineken Költség"</formula>
    </cfRule>
    <cfRule type="cellIs" dxfId="3330" priority="2384" operator="equal">
      <formula>"Nincs Po"</formula>
    </cfRule>
  </conditionalFormatting>
  <conditionalFormatting sqref="I157">
    <cfRule type="cellIs" dxfId="3329" priority="2375" operator="equal">
      <formula>"H"</formula>
    </cfRule>
  </conditionalFormatting>
  <conditionalFormatting sqref="J157">
    <cfRule type="cellIs" dxfId="3328" priority="2371" operator="equal">
      <formula>"Nem Heineken Költség"</formula>
    </cfRule>
  </conditionalFormatting>
  <conditionalFormatting sqref="J157">
    <cfRule type="cellIs" dxfId="3327" priority="2372" operator="equal">
      <formula>"Nincs Po"</formula>
    </cfRule>
  </conditionalFormatting>
  <conditionalFormatting sqref="K157">
    <cfRule type="cellIs" dxfId="3326" priority="2368" operator="equal">
      <formula>"Nem Heineken Költség"</formula>
    </cfRule>
    <cfRule type="cellIs" dxfId="3325" priority="2369" operator="equal">
      <formula>"Nincs Po"</formula>
    </cfRule>
  </conditionalFormatting>
  <conditionalFormatting sqref="I156">
    <cfRule type="cellIs" dxfId="3324" priority="2360" operator="equal">
      <formula>"H"</formula>
    </cfRule>
  </conditionalFormatting>
  <conditionalFormatting sqref="J156">
    <cfRule type="cellIs" dxfId="3323" priority="2356" operator="equal">
      <formula>"Nem Heineken Költség"</formula>
    </cfRule>
  </conditionalFormatting>
  <conditionalFormatting sqref="J156">
    <cfRule type="cellIs" dxfId="3322" priority="2357" operator="equal">
      <formula>"Nincs Po"</formula>
    </cfRule>
  </conditionalFormatting>
  <conditionalFormatting sqref="K156">
    <cfRule type="cellIs" dxfId="3321" priority="2353" operator="equal">
      <formula>"Nem Heineken Költség"</formula>
    </cfRule>
    <cfRule type="cellIs" dxfId="3320" priority="2354" operator="equal">
      <formula>"Nincs Po"</formula>
    </cfRule>
  </conditionalFormatting>
  <conditionalFormatting sqref="I155">
    <cfRule type="cellIs" dxfId="3319" priority="2345" operator="equal">
      <formula>"H"</formula>
    </cfRule>
  </conditionalFormatting>
  <conditionalFormatting sqref="J155">
    <cfRule type="cellIs" dxfId="3318" priority="2341" operator="equal">
      <formula>"Nem Heineken Költség"</formula>
    </cfRule>
  </conditionalFormatting>
  <conditionalFormatting sqref="J155">
    <cfRule type="cellIs" dxfId="3317" priority="2342" operator="equal">
      <formula>"Nincs Po"</formula>
    </cfRule>
  </conditionalFormatting>
  <conditionalFormatting sqref="K155">
    <cfRule type="cellIs" dxfId="3316" priority="2338" operator="equal">
      <formula>"Nem Heineken Költség"</formula>
    </cfRule>
    <cfRule type="cellIs" dxfId="3315" priority="2339" operator="equal">
      <formula>"Nincs Po"</formula>
    </cfRule>
  </conditionalFormatting>
  <conditionalFormatting sqref="I154">
    <cfRule type="cellIs" dxfId="3314" priority="2330" operator="equal">
      <formula>"H"</formula>
    </cfRule>
  </conditionalFormatting>
  <conditionalFormatting sqref="J154">
    <cfRule type="cellIs" dxfId="3313" priority="2326" operator="equal">
      <formula>"Nem Heineken Költség"</formula>
    </cfRule>
  </conditionalFormatting>
  <conditionalFormatting sqref="J154">
    <cfRule type="cellIs" dxfId="3312" priority="2327" operator="equal">
      <formula>"Nincs Po"</formula>
    </cfRule>
  </conditionalFormatting>
  <conditionalFormatting sqref="K154">
    <cfRule type="cellIs" dxfId="3311" priority="2323" operator="equal">
      <formula>"Nem Heineken Költség"</formula>
    </cfRule>
    <cfRule type="cellIs" dxfId="3310" priority="2324" operator="equal">
      <formula>"Nincs Po"</formula>
    </cfRule>
  </conditionalFormatting>
  <conditionalFormatting sqref="I153">
    <cfRule type="cellIs" dxfId="3309" priority="2315" operator="equal">
      <formula>"H"</formula>
    </cfRule>
  </conditionalFormatting>
  <conditionalFormatting sqref="J153">
    <cfRule type="cellIs" dxfId="3308" priority="2311" operator="equal">
      <formula>"Nem Heineken Költség"</formula>
    </cfRule>
  </conditionalFormatting>
  <conditionalFormatting sqref="J153">
    <cfRule type="cellIs" dxfId="3307" priority="2312" operator="equal">
      <formula>"Nincs Po"</formula>
    </cfRule>
  </conditionalFormatting>
  <conditionalFormatting sqref="K153">
    <cfRule type="cellIs" dxfId="3306" priority="2308" operator="equal">
      <formula>"Nem Heineken Költség"</formula>
    </cfRule>
    <cfRule type="cellIs" dxfId="3305" priority="2309" operator="equal">
      <formula>"Nincs Po"</formula>
    </cfRule>
  </conditionalFormatting>
  <conditionalFormatting sqref="I152">
    <cfRule type="cellIs" dxfId="3304" priority="2300" operator="equal">
      <formula>"H"</formula>
    </cfRule>
  </conditionalFormatting>
  <conditionalFormatting sqref="J152">
    <cfRule type="cellIs" dxfId="3303" priority="2296" operator="equal">
      <formula>"Nem Heineken Költség"</formula>
    </cfRule>
  </conditionalFormatting>
  <conditionalFormatting sqref="J152">
    <cfRule type="cellIs" dxfId="3302" priority="2297" operator="equal">
      <formula>"Nincs Po"</formula>
    </cfRule>
  </conditionalFormatting>
  <conditionalFormatting sqref="K152">
    <cfRule type="cellIs" dxfId="3301" priority="2293" operator="equal">
      <formula>"Nem Heineken Költség"</formula>
    </cfRule>
    <cfRule type="cellIs" dxfId="3300" priority="2294" operator="equal">
      <formula>"Nincs Po"</formula>
    </cfRule>
  </conditionalFormatting>
  <conditionalFormatting sqref="I151">
    <cfRule type="cellIs" dxfId="3299" priority="2285" operator="equal">
      <formula>"H"</formula>
    </cfRule>
  </conditionalFormatting>
  <conditionalFormatting sqref="J151">
    <cfRule type="cellIs" dxfId="3298" priority="2281" operator="equal">
      <formula>"Nem Heineken Költség"</formula>
    </cfRule>
  </conditionalFormatting>
  <conditionalFormatting sqref="J151">
    <cfRule type="cellIs" dxfId="3297" priority="2282" operator="equal">
      <formula>"Nincs Po"</formula>
    </cfRule>
  </conditionalFormatting>
  <conditionalFormatting sqref="K151">
    <cfRule type="cellIs" dxfId="3296" priority="2278" operator="equal">
      <formula>"Nem Heineken Költség"</formula>
    </cfRule>
    <cfRule type="cellIs" dxfId="3295" priority="2279" operator="equal">
      <formula>"Nincs Po"</formula>
    </cfRule>
  </conditionalFormatting>
  <conditionalFormatting sqref="I150">
    <cfRule type="cellIs" dxfId="3294" priority="2270" operator="equal">
      <formula>"H"</formula>
    </cfRule>
  </conditionalFormatting>
  <conditionalFormatting sqref="J150">
    <cfRule type="cellIs" dxfId="3293" priority="2266" operator="equal">
      <formula>"Nem Heineken Költség"</formula>
    </cfRule>
  </conditionalFormatting>
  <conditionalFormatting sqref="J150">
    <cfRule type="cellIs" dxfId="3292" priority="2267" operator="equal">
      <formula>"Nincs Po"</formula>
    </cfRule>
  </conditionalFormatting>
  <conditionalFormatting sqref="K150">
    <cfRule type="cellIs" dxfId="3291" priority="2263" operator="equal">
      <formula>"Nem Heineken Költség"</formula>
    </cfRule>
    <cfRule type="cellIs" dxfId="3290" priority="2264" operator="equal">
      <formula>"Nincs Po"</formula>
    </cfRule>
  </conditionalFormatting>
  <conditionalFormatting sqref="I149">
    <cfRule type="cellIs" dxfId="3289" priority="2255" operator="equal">
      <formula>"H"</formula>
    </cfRule>
  </conditionalFormatting>
  <conditionalFormatting sqref="J149">
    <cfRule type="cellIs" dxfId="3288" priority="2251" operator="equal">
      <formula>"Nem Heineken Költség"</formula>
    </cfRule>
  </conditionalFormatting>
  <conditionalFormatting sqref="J149">
    <cfRule type="cellIs" dxfId="3287" priority="2252" operator="equal">
      <formula>"Nincs Po"</formula>
    </cfRule>
  </conditionalFormatting>
  <conditionalFormatting sqref="K149">
    <cfRule type="cellIs" dxfId="3286" priority="2248" operator="equal">
      <formula>"Nem Heineken Költség"</formula>
    </cfRule>
    <cfRule type="cellIs" dxfId="3285" priority="2249" operator="equal">
      <formula>"Nincs Po"</formula>
    </cfRule>
  </conditionalFormatting>
  <conditionalFormatting sqref="I148">
    <cfRule type="cellIs" dxfId="3284" priority="2240" operator="equal">
      <formula>"H"</formula>
    </cfRule>
  </conditionalFormatting>
  <conditionalFormatting sqref="J148">
    <cfRule type="cellIs" dxfId="3283" priority="2236" operator="equal">
      <formula>"Nem Heineken Költség"</formula>
    </cfRule>
  </conditionalFormatting>
  <conditionalFormatting sqref="J148">
    <cfRule type="cellIs" dxfId="3282" priority="2237" operator="equal">
      <formula>"Nincs Po"</formula>
    </cfRule>
  </conditionalFormatting>
  <conditionalFormatting sqref="K148">
    <cfRule type="cellIs" dxfId="3281" priority="2233" operator="equal">
      <formula>"Nem Heineken Költség"</formula>
    </cfRule>
    <cfRule type="cellIs" dxfId="3280" priority="2234" operator="equal">
      <formula>"Nincs Po"</formula>
    </cfRule>
  </conditionalFormatting>
  <conditionalFormatting sqref="I147">
    <cfRule type="cellIs" dxfId="3279" priority="2225" operator="equal">
      <formula>"H"</formula>
    </cfRule>
  </conditionalFormatting>
  <conditionalFormatting sqref="J147">
    <cfRule type="cellIs" dxfId="3278" priority="2221" operator="equal">
      <formula>"Nem Heineken Költség"</formula>
    </cfRule>
  </conditionalFormatting>
  <conditionalFormatting sqref="J147">
    <cfRule type="cellIs" dxfId="3277" priority="2222" operator="equal">
      <formula>"Nincs Po"</formula>
    </cfRule>
  </conditionalFormatting>
  <conditionalFormatting sqref="K147">
    <cfRule type="cellIs" dxfId="3276" priority="2218" operator="equal">
      <formula>"Nem Heineken Költség"</formula>
    </cfRule>
    <cfRule type="cellIs" dxfId="3275" priority="2219" operator="equal">
      <formula>"Nincs Po"</formula>
    </cfRule>
  </conditionalFormatting>
  <conditionalFormatting sqref="I146">
    <cfRule type="cellIs" dxfId="3274" priority="2210" operator="equal">
      <formula>"H"</formula>
    </cfRule>
  </conditionalFormatting>
  <conditionalFormatting sqref="J146">
    <cfRule type="cellIs" dxfId="3273" priority="2206" operator="equal">
      <formula>"Nem Heineken Költség"</formula>
    </cfRule>
  </conditionalFormatting>
  <conditionalFormatting sqref="J146">
    <cfRule type="cellIs" dxfId="3272" priority="2207" operator="equal">
      <formula>"Nincs Po"</formula>
    </cfRule>
  </conditionalFormatting>
  <conditionalFormatting sqref="K146">
    <cfRule type="cellIs" dxfId="3271" priority="2203" operator="equal">
      <formula>"Nem Heineken Költség"</formula>
    </cfRule>
    <cfRule type="cellIs" dxfId="3270" priority="2204" operator="equal">
      <formula>"Nincs Po"</formula>
    </cfRule>
  </conditionalFormatting>
  <conditionalFormatting sqref="I145">
    <cfRule type="cellIs" dxfId="3269" priority="2195" operator="equal">
      <formula>"H"</formula>
    </cfRule>
  </conditionalFormatting>
  <conditionalFormatting sqref="J145">
    <cfRule type="cellIs" dxfId="3268" priority="2191" operator="equal">
      <formula>"Nem Heineken Költség"</formula>
    </cfRule>
  </conditionalFormatting>
  <conditionalFormatting sqref="J145">
    <cfRule type="cellIs" dxfId="3267" priority="2192" operator="equal">
      <formula>"Nincs Po"</formula>
    </cfRule>
  </conditionalFormatting>
  <conditionalFormatting sqref="K145">
    <cfRule type="cellIs" dxfId="3266" priority="2188" operator="equal">
      <formula>"Nem Heineken Költség"</formula>
    </cfRule>
    <cfRule type="cellIs" dxfId="3265" priority="2189" operator="equal">
      <formula>"Nincs Po"</formula>
    </cfRule>
  </conditionalFormatting>
  <conditionalFormatting sqref="I144">
    <cfRule type="cellIs" dxfId="3264" priority="2180" operator="equal">
      <formula>"H"</formula>
    </cfRule>
  </conditionalFormatting>
  <conditionalFormatting sqref="J144">
    <cfRule type="cellIs" dxfId="3263" priority="2176" operator="equal">
      <formula>"Nem Heineken Költség"</formula>
    </cfRule>
  </conditionalFormatting>
  <conditionalFormatting sqref="J144">
    <cfRule type="cellIs" dxfId="3262" priority="2177" operator="equal">
      <formula>"Nincs Po"</formula>
    </cfRule>
  </conditionalFormatting>
  <conditionalFormatting sqref="K144">
    <cfRule type="cellIs" dxfId="3261" priority="2173" operator="equal">
      <formula>"Nem Heineken Költség"</formula>
    </cfRule>
    <cfRule type="cellIs" dxfId="3260" priority="2174" operator="equal">
      <formula>"Nincs Po"</formula>
    </cfRule>
  </conditionalFormatting>
  <conditionalFormatting sqref="I143">
    <cfRule type="cellIs" dxfId="3259" priority="2165" operator="equal">
      <formula>"H"</formula>
    </cfRule>
  </conditionalFormatting>
  <conditionalFormatting sqref="J143">
    <cfRule type="cellIs" dxfId="3258" priority="2161" operator="equal">
      <formula>"Nem Heineken Költség"</formula>
    </cfRule>
  </conditionalFormatting>
  <conditionalFormatting sqref="J143">
    <cfRule type="cellIs" dxfId="3257" priority="2162" operator="equal">
      <formula>"Nincs Po"</formula>
    </cfRule>
  </conditionalFormatting>
  <conditionalFormatting sqref="K143">
    <cfRule type="cellIs" dxfId="3256" priority="2158" operator="equal">
      <formula>"Nem Heineken Költség"</formula>
    </cfRule>
    <cfRule type="cellIs" dxfId="3255" priority="2159" operator="equal">
      <formula>"Nincs Po"</formula>
    </cfRule>
  </conditionalFormatting>
  <conditionalFormatting sqref="I142">
    <cfRule type="cellIs" dxfId="3254" priority="2150" operator="equal">
      <formula>"H"</formula>
    </cfRule>
  </conditionalFormatting>
  <conditionalFormatting sqref="J142">
    <cfRule type="cellIs" dxfId="3253" priority="2146" operator="equal">
      <formula>"Nem Heineken Költség"</formula>
    </cfRule>
  </conditionalFormatting>
  <conditionalFormatting sqref="J142">
    <cfRule type="cellIs" dxfId="3252" priority="2147" operator="equal">
      <formula>"Nincs Po"</formula>
    </cfRule>
  </conditionalFormatting>
  <conditionalFormatting sqref="K142">
    <cfRule type="cellIs" dxfId="3251" priority="2143" operator="equal">
      <formula>"Nem Heineken Költség"</formula>
    </cfRule>
    <cfRule type="cellIs" dxfId="3250" priority="2144" operator="equal">
      <formula>"Nincs Po"</formula>
    </cfRule>
  </conditionalFormatting>
  <conditionalFormatting sqref="I141">
    <cfRule type="cellIs" dxfId="3249" priority="2135" operator="equal">
      <formula>"H"</formula>
    </cfRule>
  </conditionalFormatting>
  <conditionalFormatting sqref="J141">
    <cfRule type="cellIs" dxfId="3248" priority="2131" operator="equal">
      <formula>"Nem Heineken Költség"</formula>
    </cfRule>
  </conditionalFormatting>
  <conditionalFormatting sqref="J141">
    <cfRule type="cellIs" dxfId="3247" priority="2132" operator="equal">
      <formula>"Nincs Po"</formula>
    </cfRule>
  </conditionalFormatting>
  <conditionalFormatting sqref="K141">
    <cfRule type="cellIs" dxfId="3246" priority="2128" operator="equal">
      <formula>"Nem Heineken Költség"</formula>
    </cfRule>
    <cfRule type="cellIs" dxfId="3245" priority="2129" operator="equal">
      <formula>"Nincs Po"</formula>
    </cfRule>
  </conditionalFormatting>
  <conditionalFormatting sqref="I140">
    <cfRule type="cellIs" dxfId="3244" priority="2105" operator="equal">
      <formula>"H"</formula>
    </cfRule>
  </conditionalFormatting>
  <conditionalFormatting sqref="J140">
    <cfRule type="cellIs" dxfId="3243" priority="2101" operator="equal">
      <formula>"Nem Heineken Költség"</formula>
    </cfRule>
  </conditionalFormatting>
  <conditionalFormatting sqref="J140">
    <cfRule type="cellIs" dxfId="3242" priority="2102" operator="equal">
      <formula>"Nincs Po"</formula>
    </cfRule>
  </conditionalFormatting>
  <conditionalFormatting sqref="K140">
    <cfRule type="cellIs" dxfId="3241" priority="2098" operator="equal">
      <formula>"Nem Heineken Költség"</formula>
    </cfRule>
    <cfRule type="cellIs" dxfId="3240" priority="2099" operator="equal">
      <formula>"Nincs Po"</formula>
    </cfRule>
  </conditionalFormatting>
  <conditionalFormatting sqref="I139">
    <cfRule type="cellIs" dxfId="3239" priority="2090" operator="equal">
      <formula>"H"</formula>
    </cfRule>
  </conditionalFormatting>
  <conditionalFormatting sqref="J139">
    <cfRule type="cellIs" dxfId="3238" priority="2086" operator="equal">
      <formula>"Nem Heineken Költség"</formula>
    </cfRule>
  </conditionalFormatting>
  <conditionalFormatting sqref="J139">
    <cfRule type="cellIs" dxfId="3237" priority="2087" operator="equal">
      <formula>"Nincs Po"</formula>
    </cfRule>
  </conditionalFormatting>
  <conditionalFormatting sqref="K139">
    <cfRule type="cellIs" dxfId="3236" priority="2083" operator="equal">
      <formula>"Nem Heineken Költség"</formula>
    </cfRule>
    <cfRule type="cellIs" dxfId="3235" priority="2084" operator="equal">
      <formula>"Nincs Po"</formula>
    </cfRule>
  </conditionalFormatting>
  <conditionalFormatting sqref="I138">
    <cfRule type="cellIs" dxfId="3234" priority="2075" operator="equal">
      <formula>"H"</formula>
    </cfRule>
  </conditionalFormatting>
  <conditionalFormatting sqref="J138">
    <cfRule type="cellIs" dxfId="3233" priority="2071" operator="equal">
      <formula>"Nem Heineken Költség"</formula>
    </cfRule>
  </conditionalFormatting>
  <conditionalFormatting sqref="J138">
    <cfRule type="cellIs" dxfId="3232" priority="2072" operator="equal">
      <formula>"Nincs Po"</formula>
    </cfRule>
  </conditionalFormatting>
  <conditionalFormatting sqref="K138">
    <cfRule type="cellIs" dxfId="3231" priority="2068" operator="equal">
      <formula>"Nem Heineken Költség"</formula>
    </cfRule>
    <cfRule type="cellIs" dxfId="3230" priority="2069" operator="equal">
      <formula>"Nincs Po"</formula>
    </cfRule>
  </conditionalFormatting>
  <conditionalFormatting sqref="I137">
    <cfRule type="cellIs" dxfId="3229" priority="2060" operator="equal">
      <formula>"H"</formula>
    </cfRule>
  </conditionalFormatting>
  <conditionalFormatting sqref="J137">
    <cfRule type="cellIs" dxfId="3228" priority="2056" operator="equal">
      <formula>"Nem Heineken Költség"</formula>
    </cfRule>
  </conditionalFormatting>
  <conditionalFormatting sqref="J137">
    <cfRule type="cellIs" dxfId="3227" priority="2057" operator="equal">
      <formula>"Nincs Po"</formula>
    </cfRule>
  </conditionalFormatting>
  <conditionalFormatting sqref="K137">
    <cfRule type="cellIs" dxfId="3226" priority="2053" operator="equal">
      <formula>"Nem Heineken Költség"</formula>
    </cfRule>
    <cfRule type="cellIs" dxfId="3225" priority="2054" operator="equal">
      <formula>"Nincs Po"</formula>
    </cfRule>
  </conditionalFormatting>
  <conditionalFormatting sqref="I136">
    <cfRule type="cellIs" dxfId="3224" priority="2045" operator="equal">
      <formula>"H"</formula>
    </cfRule>
  </conditionalFormatting>
  <conditionalFormatting sqref="J136">
    <cfRule type="cellIs" dxfId="3223" priority="2041" operator="equal">
      <formula>"Nem Heineken Költség"</formula>
    </cfRule>
  </conditionalFormatting>
  <conditionalFormatting sqref="J136">
    <cfRule type="cellIs" dxfId="3222" priority="2042" operator="equal">
      <formula>"Nincs Po"</formula>
    </cfRule>
  </conditionalFormatting>
  <conditionalFormatting sqref="K136">
    <cfRule type="cellIs" dxfId="3221" priority="2038" operator="equal">
      <formula>"Nem Heineken Költség"</formula>
    </cfRule>
    <cfRule type="cellIs" dxfId="3220" priority="2039" operator="equal">
      <formula>"Nincs Po"</formula>
    </cfRule>
  </conditionalFormatting>
  <conditionalFormatting sqref="I135">
    <cfRule type="cellIs" dxfId="3219" priority="2030" operator="equal">
      <formula>"H"</formula>
    </cfRule>
  </conditionalFormatting>
  <conditionalFormatting sqref="J135">
    <cfRule type="cellIs" dxfId="3218" priority="2026" operator="equal">
      <formula>"Nem Heineken Költség"</formula>
    </cfRule>
  </conditionalFormatting>
  <conditionalFormatting sqref="J135">
    <cfRule type="cellIs" dxfId="3217" priority="2027" operator="equal">
      <formula>"Nincs Po"</formula>
    </cfRule>
  </conditionalFormatting>
  <conditionalFormatting sqref="K135">
    <cfRule type="cellIs" dxfId="3216" priority="2023" operator="equal">
      <formula>"Nem Heineken Költség"</formula>
    </cfRule>
    <cfRule type="cellIs" dxfId="3215" priority="2024" operator="equal">
      <formula>"Nincs Po"</formula>
    </cfRule>
  </conditionalFormatting>
  <conditionalFormatting sqref="I134">
    <cfRule type="cellIs" dxfId="3214" priority="2015" operator="equal">
      <formula>"H"</formula>
    </cfRule>
  </conditionalFormatting>
  <conditionalFormatting sqref="J134">
    <cfRule type="cellIs" dxfId="3213" priority="2011" operator="equal">
      <formula>"Nem Heineken Költség"</formula>
    </cfRule>
  </conditionalFormatting>
  <conditionalFormatting sqref="J134">
    <cfRule type="cellIs" dxfId="3212" priority="2012" operator="equal">
      <formula>"Nincs Po"</formula>
    </cfRule>
  </conditionalFormatting>
  <conditionalFormatting sqref="K134">
    <cfRule type="cellIs" dxfId="3211" priority="2008" operator="equal">
      <formula>"Nem Heineken Költség"</formula>
    </cfRule>
    <cfRule type="cellIs" dxfId="3210" priority="2009" operator="equal">
      <formula>"Nincs Po"</formula>
    </cfRule>
  </conditionalFormatting>
  <conditionalFormatting sqref="I133">
    <cfRule type="cellIs" dxfId="3209" priority="2000" operator="equal">
      <formula>"H"</formula>
    </cfRule>
  </conditionalFormatting>
  <conditionalFormatting sqref="J133">
    <cfRule type="cellIs" dxfId="3208" priority="1996" operator="equal">
      <formula>"Nem Heineken Költség"</formula>
    </cfRule>
  </conditionalFormatting>
  <conditionalFormatting sqref="J133">
    <cfRule type="cellIs" dxfId="3207" priority="1997" operator="equal">
      <formula>"Nincs Po"</formula>
    </cfRule>
  </conditionalFormatting>
  <conditionalFormatting sqref="K133">
    <cfRule type="cellIs" dxfId="3206" priority="1993" operator="equal">
      <formula>"Nem Heineken Költség"</formula>
    </cfRule>
    <cfRule type="cellIs" dxfId="3205" priority="1994" operator="equal">
      <formula>"Nincs Po"</formula>
    </cfRule>
  </conditionalFormatting>
  <conditionalFormatting sqref="I132">
    <cfRule type="cellIs" dxfId="3204" priority="1985" operator="equal">
      <formula>"H"</formula>
    </cfRule>
  </conditionalFormatting>
  <conditionalFormatting sqref="J132">
    <cfRule type="cellIs" dxfId="3203" priority="1981" operator="equal">
      <formula>"Nem Heineken Költség"</formula>
    </cfRule>
  </conditionalFormatting>
  <conditionalFormatting sqref="J132">
    <cfRule type="cellIs" dxfId="3202" priority="1982" operator="equal">
      <formula>"Nincs Po"</formula>
    </cfRule>
  </conditionalFormatting>
  <conditionalFormatting sqref="K132">
    <cfRule type="cellIs" dxfId="3201" priority="1978" operator="equal">
      <formula>"Nem Heineken Költség"</formula>
    </cfRule>
    <cfRule type="cellIs" dxfId="3200" priority="1979" operator="equal">
      <formula>"Nincs Po"</formula>
    </cfRule>
  </conditionalFormatting>
  <conditionalFormatting sqref="I131">
    <cfRule type="cellIs" dxfId="3199" priority="1970" operator="equal">
      <formula>"H"</formula>
    </cfRule>
  </conditionalFormatting>
  <conditionalFormatting sqref="J131">
    <cfRule type="cellIs" dxfId="3198" priority="1966" operator="equal">
      <formula>"Nem Heineken Költség"</formula>
    </cfRule>
  </conditionalFormatting>
  <conditionalFormatting sqref="J131">
    <cfRule type="cellIs" dxfId="3197" priority="1967" operator="equal">
      <formula>"Nincs Po"</formula>
    </cfRule>
  </conditionalFormatting>
  <conditionalFormatting sqref="K131">
    <cfRule type="cellIs" dxfId="3196" priority="1963" operator="equal">
      <formula>"Nem Heineken Költség"</formula>
    </cfRule>
    <cfRule type="cellIs" dxfId="3195" priority="1964" operator="equal">
      <formula>"Nincs Po"</formula>
    </cfRule>
  </conditionalFormatting>
  <conditionalFormatting sqref="I130">
    <cfRule type="cellIs" dxfId="3194" priority="1955" operator="equal">
      <formula>"H"</formula>
    </cfRule>
  </conditionalFormatting>
  <conditionalFormatting sqref="J130">
    <cfRule type="cellIs" dxfId="3193" priority="1951" operator="equal">
      <formula>"Nem Heineken Költség"</formula>
    </cfRule>
  </conditionalFormatting>
  <conditionalFormatting sqref="J130">
    <cfRule type="cellIs" dxfId="3192" priority="1952" operator="equal">
      <formula>"Nincs Po"</formula>
    </cfRule>
  </conditionalFormatting>
  <conditionalFormatting sqref="K130">
    <cfRule type="cellIs" dxfId="3191" priority="1948" operator="equal">
      <formula>"Nem Heineken Költség"</formula>
    </cfRule>
    <cfRule type="cellIs" dxfId="3190" priority="1949" operator="equal">
      <formula>"Nincs Po"</formula>
    </cfRule>
  </conditionalFormatting>
  <conditionalFormatting sqref="I129">
    <cfRule type="cellIs" dxfId="3189" priority="1940" operator="equal">
      <formula>"H"</formula>
    </cfRule>
  </conditionalFormatting>
  <conditionalFormatting sqref="J129">
    <cfRule type="cellIs" dxfId="3188" priority="1936" operator="equal">
      <formula>"Nem Heineken Költség"</formula>
    </cfRule>
  </conditionalFormatting>
  <conditionalFormatting sqref="J129">
    <cfRule type="cellIs" dxfId="3187" priority="1937" operator="equal">
      <formula>"Nincs Po"</formula>
    </cfRule>
  </conditionalFormatting>
  <conditionalFormatting sqref="K129">
    <cfRule type="cellIs" dxfId="3186" priority="1933" operator="equal">
      <formula>"Nem Heineken Költség"</formula>
    </cfRule>
    <cfRule type="cellIs" dxfId="3185" priority="1934" operator="equal">
      <formula>"Nincs Po"</formula>
    </cfRule>
  </conditionalFormatting>
  <conditionalFormatting sqref="I128">
    <cfRule type="cellIs" dxfId="3184" priority="1925" operator="equal">
      <formula>"H"</formula>
    </cfRule>
  </conditionalFormatting>
  <conditionalFormatting sqref="J128">
    <cfRule type="cellIs" dxfId="3183" priority="1921" operator="equal">
      <formula>"Nem Heineken Költség"</formula>
    </cfRule>
  </conditionalFormatting>
  <conditionalFormatting sqref="J128">
    <cfRule type="cellIs" dxfId="3182" priority="1922" operator="equal">
      <formula>"Nincs Po"</formula>
    </cfRule>
  </conditionalFormatting>
  <conditionalFormatting sqref="K128">
    <cfRule type="cellIs" dxfId="3181" priority="1918" operator="equal">
      <formula>"Nem Heineken Költség"</formula>
    </cfRule>
    <cfRule type="cellIs" dxfId="3180" priority="1919" operator="equal">
      <formula>"Nincs Po"</formula>
    </cfRule>
  </conditionalFormatting>
  <conditionalFormatting sqref="I127">
    <cfRule type="cellIs" dxfId="3179" priority="1910" operator="equal">
      <formula>"H"</formula>
    </cfRule>
  </conditionalFormatting>
  <conditionalFormatting sqref="J127">
    <cfRule type="cellIs" dxfId="3178" priority="1906" operator="equal">
      <formula>"Nem Heineken Költség"</formula>
    </cfRule>
  </conditionalFormatting>
  <conditionalFormatting sqref="J127">
    <cfRule type="cellIs" dxfId="3177" priority="1907" operator="equal">
      <formula>"Nincs Po"</formula>
    </cfRule>
  </conditionalFormatting>
  <conditionalFormatting sqref="K127">
    <cfRule type="cellIs" dxfId="3176" priority="1903" operator="equal">
      <formula>"Nem Heineken Költség"</formula>
    </cfRule>
    <cfRule type="cellIs" dxfId="3175" priority="1904" operator="equal">
      <formula>"Nincs Po"</formula>
    </cfRule>
  </conditionalFormatting>
  <conditionalFormatting sqref="I126">
    <cfRule type="cellIs" dxfId="3174" priority="1895" operator="equal">
      <formula>"H"</formula>
    </cfRule>
  </conditionalFormatting>
  <conditionalFormatting sqref="J126">
    <cfRule type="cellIs" dxfId="3173" priority="1891" operator="equal">
      <formula>"Nem Heineken Költség"</formula>
    </cfRule>
  </conditionalFormatting>
  <conditionalFormatting sqref="J126">
    <cfRule type="cellIs" dxfId="3172" priority="1892" operator="equal">
      <formula>"Nincs Po"</formula>
    </cfRule>
  </conditionalFormatting>
  <conditionalFormatting sqref="K126">
    <cfRule type="cellIs" dxfId="3171" priority="1888" operator="equal">
      <formula>"Nem Heineken Költség"</formula>
    </cfRule>
    <cfRule type="cellIs" dxfId="3170" priority="1889" operator="equal">
      <formula>"Nincs Po"</formula>
    </cfRule>
  </conditionalFormatting>
  <conditionalFormatting sqref="I125">
    <cfRule type="cellIs" dxfId="3169" priority="1880" operator="equal">
      <formula>"H"</formula>
    </cfRule>
  </conditionalFormatting>
  <conditionalFormatting sqref="J125">
    <cfRule type="cellIs" dxfId="3168" priority="1876" operator="equal">
      <formula>"Nem Heineken Költség"</formula>
    </cfRule>
  </conditionalFormatting>
  <conditionalFormatting sqref="J125">
    <cfRule type="cellIs" dxfId="3167" priority="1877" operator="equal">
      <formula>"Nincs Po"</formula>
    </cfRule>
  </conditionalFormatting>
  <conditionalFormatting sqref="K125">
    <cfRule type="cellIs" dxfId="3166" priority="1873" operator="equal">
      <formula>"Nem Heineken Költség"</formula>
    </cfRule>
    <cfRule type="cellIs" dxfId="3165" priority="1874" operator="equal">
      <formula>"Nincs Po"</formula>
    </cfRule>
  </conditionalFormatting>
  <conditionalFormatting sqref="I124">
    <cfRule type="cellIs" dxfId="3164" priority="1865" operator="equal">
      <formula>"H"</formula>
    </cfRule>
  </conditionalFormatting>
  <conditionalFormatting sqref="J124">
    <cfRule type="cellIs" dxfId="3163" priority="1861" operator="equal">
      <formula>"Nem Heineken Költség"</formula>
    </cfRule>
  </conditionalFormatting>
  <conditionalFormatting sqref="J124">
    <cfRule type="cellIs" dxfId="3162" priority="1862" operator="equal">
      <formula>"Nincs Po"</formula>
    </cfRule>
  </conditionalFormatting>
  <conditionalFormatting sqref="K124">
    <cfRule type="cellIs" dxfId="3161" priority="1858" operator="equal">
      <formula>"Nem Heineken Költség"</formula>
    </cfRule>
    <cfRule type="cellIs" dxfId="3160" priority="1859" operator="equal">
      <formula>"Nincs Po"</formula>
    </cfRule>
  </conditionalFormatting>
  <conditionalFormatting sqref="I123">
    <cfRule type="cellIs" dxfId="3159" priority="1850" operator="equal">
      <formula>"H"</formula>
    </cfRule>
  </conditionalFormatting>
  <conditionalFormatting sqref="J123">
    <cfRule type="cellIs" dxfId="3158" priority="1846" operator="equal">
      <formula>"Nem Heineken Költség"</formula>
    </cfRule>
  </conditionalFormatting>
  <conditionalFormatting sqref="J123">
    <cfRule type="cellIs" dxfId="3157" priority="1847" operator="equal">
      <formula>"Nincs Po"</formula>
    </cfRule>
  </conditionalFormatting>
  <conditionalFormatting sqref="K123">
    <cfRule type="cellIs" dxfId="3156" priority="1843" operator="equal">
      <formula>"Nem Heineken Költség"</formula>
    </cfRule>
    <cfRule type="cellIs" dxfId="3155" priority="1844" operator="equal">
      <formula>"Nincs Po"</formula>
    </cfRule>
  </conditionalFormatting>
  <conditionalFormatting sqref="I122">
    <cfRule type="cellIs" dxfId="3154" priority="1835" operator="equal">
      <formula>"H"</formula>
    </cfRule>
  </conditionalFormatting>
  <conditionalFormatting sqref="J122">
    <cfRule type="cellIs" dxfId="3153" priority="1831" operator="equal">
      <formula>"Nem Heineken Költség"</formula>
    </cfRule>
  </conditionalFormatting>
  <conditionalFormatting sqref="J122">
    <cfRule type="cellIs" dxfId="3152" priority="1832" operator="equal">
      <formula>"Nincs Po"</formula>
    </cfRule>
  </conditionalFormatting>
  <conditionalFormatting sqref="K122">
    <cfRule type="cellIs" dxfId="3151" priority="1828" operator="equal">
      <formula>"Nem Heineken Költség"</formula>
    </cfRule>
    <cfRule type="cellIs" dxfId="3150" priority="1829" operator="equal">
      <formula>"Nincs Po"</formula>
    </cfRule>
  </conditionalFormatting>
  <conditionalFormatting sqref="I121">
    <cfRule type="cellIs" dxfId="3149" priority="1820" operator="equal">
      <formula>"H"</formula>
    </cfRule>
  </conditionalFormatting>
  <conditionalFormatting sqref="J121">
    <cfRule type="cellIs" dxfId="3148" priority="1816" operator="equal">
      <formula>"Nem Heineken Költség"</formula>
    </cfRule>
  </conditionalFormatting>
  <conditionalFormatting sqref="J121">
    <cfRule type="cellIs" dxfId="3147" priority="1817" operator="equal">
      <formula>"Nincs Po"</formula>
    </cfRule>
  </conditionalFormatting>
  <conditionalFormatting sqref="K121">
    <cfRule type="cellIs" dxfId="3146" priority="1813" operator="equal">
      <formula>"Nem Heineken Költség"</formula>
    </cfRule>
    <cfRule type="cellIs" dxfId="3145" priority="1814" operator="equal">
      <formula>"Nincs Po"</formula>
    </cfRule>
  </conditionalFormatting>
  <conditionalFormatting sqref="I120">
    <cfRule type="cellIs" dxfId="3144" priority="1805" operator="equal">
      <formula>"H"</formula>
    </cfRule>
  </conditionalFormatting>
  <conditionalFormatting sqref="J120">
    <cfRule type="cellIs" dxfId="3143" priority="1801" operator="equal">
      <formula>"Nem Heineken Költség"</formula>
    </cfRule>
  </conditionalFormatting>
  <conditionalFormatting sqref="J120">
    <cfRule type="cellIs" dxfId="3142" priority="1802" operator="equal">
      <formula>"Nincs Po"</formula>
    </cfRule>
  </conditionalFormatting>
  <conditionalFormatting sqref="K120">
    <cfRule type="cellIs" dxfId="3141" priority="1798" operator="equal">
      <formula>"Nem Heineken Költség"</formula>
    </cfRule>
    <cfRule type="cellIs" dxfId="3140" priority="1799" operator="equal">
      <formula>"Nincs Po"</formula>
    </cfRule>
  </conditionalFormatting>
  <conditionalFormatting sqref="I119">
    <cfRule type="cellIs" dxfId="3139" priority="1790" operator="equal">
      <formula>"H"</formula>
    </cfRule>
  </conditionalFormatting>
  <conditionalFormatting sqref="J119">
    <cfRule type="cellIs" dxfId="3138" priority="1786" operator="equal">
      <formula>"Nem Heineken Költség"</formula>
    </cfRule>
  </conditionalFormatting>
  <conditionalFormatting sqref="J119">
    <cfRule type="cellIs" dxfId="3137" priority="1787" operator="equal">
      <formula>"Nincs Po"</formula>
    </cfRule>
  </conditionalFormatting>
  <conditionalFormatting sqref="K119">
    <cfRule type="cellIs" dxfId="3136" priority="1783" operator="equal">
      <formula>"Nem Heineken Költség"</formula>
    </cfRule>
    <cfRule type="cellIs" dxfId="3135" priority="1784" operator="equal">
      <formula>"Nincs Po"</formula>
    </cfRule>
  </conditionalFormatting>
  <conditionalFormatting sqref="I118">
    <cfRule type="cellIs" dxfId="3134" priority="1775" operator="equal">
      <formula>"H"</formula>
    </cfRule>
  </conditionalFormatting>
  <conditionalFormatting sqref="J118">
    <cfRule type="cellIs" dxfId="3133" priority="1771" operator="equal">
      <formula>"Nem Heineken Költség"</formula>
    </cfRule>
  </conditionalFormatting>
  <conditionalFormatting sqref="J118">
    <cfRule type="cellIs" dxfId="3132" priority="1772" operator="equal">
      <formula>"Nincs Po"</formula>
    </cfRule>
  </conditionalFormatting>
  <conditionalFormatting sqref="K118">
    <cfRule type="cellIs" dxfId="3131" priority="1768" operator="equal">
      <formula>"Nem Heineken Költség"</formula>
    </cfRule>
    <cfRule type="cellIs" dxfId="3130" priority="1769" operator="equal">
      <formula>"Nincs Po"</formula>
    </cfRule>
  </conditionalFormatting>
  <conditionalFormatting sqref="I117">
    <cfRule type="cellIs" dxfId="3129" priority="1760" operator="equal">
      <formula>"H"</formula>
    </cfRule>
  </conditionalFormatting>
  <conditionalFormatting sqref="J117">
    <cfRule type="cellIs" dxfId="3128" priority="1756" operator="equal">
      <formula>"Nem Heineken Költség"</formula>
    </cfRule>
  </conditionalFormatting>
  <conditionalFormatting sqref="J117">
    <cfRule type="cellIs" dxfId="3127" priority="1757" operator="equal">
      <formula>"Nincs Po"</formula>
    </cfRule>
  </conditionalFormatting>
  <conditionalFormatting sqref="K117">
    <cfRule type="cellIs" dxfId="3126" priority="1753" operator="equal">
      <formula>"Nem Heineken Költség"</formula>
    </cfRule>
    <cfRule type="cellIs" dxfId="3125" priority="1754" operator="equal">
      <formula>"Nincs Po"</formula>
    </cfRule>
  </conditionalFormatting>
  <conditionalFormatting sqref="I116">
    <cfRule type="cellIs" dxfId="3124" priority="1745" operator="equal">
      <formula>"H"</formula>
    </cfRule>
  </conditionalFormatting>
  <conditionalFormatting sqref="J116">
    <cfRule type="cellIs" dxfId="3123" priority="1741" operator="equal">
      <formula>"Nem Heineken Költség"</formula>
    </cfRule>
  </conditionalFormatting>
  <conditionalFormatting sqref="J116">
    <cfRule type="cellIs" dxfId="3122" priority="1742" operator="equal">
      <formula>"Nincs Po"</formula>
    </cfRule>
  </conditionalFormatting>
  <conditionalFormatting sqref="K116">
    <cfRule type="cellIs" dxfId="3121" priority="1738" operator="equal">
      <formula>"Nem Heineken Költség"</formula>
    </cfRule>
    <cfRule type="cellIs" dxfId="3120" priority="1739" operator="equal">
      <formula>"Nincs Po"</formula>
    </cfRule>
  </conditionalFormatting>
  <conditionalFormatting sqref="I115">
    <cfRule type="cellIs" dxfId="3119" priority="1730" operator="equal">
      <formula>"H"</formula>
    </cfRule>
  </conditionalFormatting>
  <conditionalFormatting sqref="J115">
    <cfRule type="cellIs" dxfId="3118" priority="1726" operator="equal">
      <formula>"Nem Heineken Költség"</formula>
    </cfRule>
  </conditionalFormatting>
  <conditionalFormatting sqref="J115">
    <cfRule type="cellIs" dxfId="3117" priority="1727" operator="equal">
      <formula>"Nincs Po"</formula>
    </cfRule>
  </conditionalFormatting>
  <conditionalFormatting sqref="K115">
    <cfRule type="cellIs" dxfId="3116" priority="1723" operator="equal">
      <formula>"Nem Heineken Költség"</formula>
    </cfRule>
    <cfRule type="cellIs" dxfId="3115" priority="1724" operator="equal">
      <formula>"Nincs Po"</formula>
    </cfRule>
  </conditionalFormatting>
  <conditionalFormatting sqref="I114">
    <cfRule type="cellIs" dxfId="3114" priority="1715" operator="equal">
      <formula>"H"</formula>
    </cfRule>
  </conditionalFormatting>
  <conditionalFormatting sqref="J114">
    <cfRule type="cellIs" dxfId="3113" priority="1711" operator="equal">
      <formula>"Nem Heineken Költség"</formula>
    </cfRule>
  </conditionalFormatting>
  <conditionalFormatting sqref="J114">
    <cfRule type="cellIs" dxfId="3112" priority="1712" operator="equal">
      <formula>"Nincs Po"</formula>
    </cfRule>
  </conditionalFormatting>
  <conditionalFormatting sqref="K114">
    <cfRule type="cellIs" dxfId="3111" priority="1708" operator="equal">
      <formula>"Nem Heineken Költség"</formula>
    </cfRule>
    <cfRule type="cellIs" dxfId="3110" priority="1709" operator="equal">
      <formula>"Nincs Po"</formula>
    </cfRule>
  </conditionalFormatting>
  <conditionalFormatting sqref="I113">
    <cfRule type="cellIs" dxfId="3109" priority="1700" operator="equal">
      <formula>"H"</formula>
    </cfRule>
  </conditionalFormatting>
  <conditionalFormatting sqref="J113">
    <cfRule type="cellIs" dxfId="3108" priority="1696" operator="equal">
      <formula>"Nem Heineken Költség"</formula>
    </cfRule>
  </conditionalFormatting>
  <conditionalFormatting sqref="J113">
    <cfRule type="cellIs" dxfId="3107" priority="1697" operator="equal">
      <formula>"Nincs Po"</formula>
    </cfRule>
  </conditionalFormatting>
  <conditionalFormatting sqref="K113">
    <cfRule type="cellIs" dxfId="3106" priority="1693" operator="equal">
      <formula>"Nem Heineken Költség"</formula>
    </cfRule>
    <cfRule type="cellIs" dxfId="3105" priority="1694" operator="equal">
      <formula>"Nincs Po"</formula>
    </cfRule>
  </conditionalFormatting>
  <conditionalFormatting sqref="I112">
    <cfRule type="cellIs" dxfId="3104" priority="1685" operator="equal">
      <formula>"H"</formula>
    </cfRule>
  </conditionalFormatting>
  <conditionalFormatting sqref="J112">
    <cfRule type="cellIs" dxfId="3103" priority="1681" operator="equal">
      <formula>"Nem Heineken Költség"</formula>
    </cfRule>
  </conditionalFormatting>
  <conditionalFormatting sqref="J112">
    <cfRule type="cellIs" dxfId="3102" priority="1682" operator="equal">
      <formula>"Nincs Po"</formula>
    </cfRule>
  </conditionalFormatting>
  <conditionalFormatting sqref="K112">
    <cfRule type="cellIs" dxfId="3101" priority="1678" operator="equal">
      <formula>"Nem Heineken Költség"</formula>
    </cfRule>
    <cfRule type="cellIs" dxfId="3100" priority="1679" operator="equal">
      <formula>"Nincs Po"</formula>
    </cfRule>
  </conditionalFormatting>
  <conditionalFormatting sqref="I111">
    <cfRule type="cellIs" dxfId="3099" priority="1670" operator="equal">
      <formula>"H"</formula>
    </cfRule>
  </conditionalFormatting>
  <conditionalFormatting sqref="J111">
    <cfRule type="cellIs" dxfId="3098" priority="1666" operator="equal">
      <formula>"Nem Heineken Költség"</formula>
    </cfRule>
  </conditionalFormatting>
  <conditionalFormatting sqref="J111">
    <cfRule type="cellIs" dxfId="3097" priority="1667" operator="equal">
      <formula>"Nincs Po"</formula>
    </cfRule>
  </conditionalFormatting>
  <conditionalFormatting sqref="K111">
    <cfRule type="cellIs" dxfId="3096" priority="1663" operator="equal">
      <formula>"Nem Heineken Költség"</formula>
    </cfRule>
    <cfRule type="cellIs" dxfId="3095" priority="1664" operator="equal">
      <formula>"Nincs Po"</formula>
    </cfRule>
  </conditionalFormatting>
  <conditionalFormatting sqref="I110">
    <cfRule type="cellIs" dxfId="3094" priority="1655" operator="equal">
      <formula>"H"</formula>
    </cfRule>
  </conditionalFormatting>
  <conditionalFormatting sqref="J110">
    <cfRule type="cellIs" dxfId="3093" priority="1651" operator="equal">
      <formula>"Nem Heineken Költség"</formula>
    </cfRule>
  </conditionalFormatting>
  <conditionalFormatting sqref="J110">
    <cfRule type="cellIs" dxfId="3092" priority="1652" operator="equal">
      <formula>"Nincs Po"</formula>
    </cfRule>
  </conditionalFormatting>
  <conditionalFormatting sqref="K110">
    <cfRule type="cellIs" dxfId="3091" priority="1648" operator="equal">
      <formula>"Nem Heineken Költség"</formula>
    </cfRule>
    <cfRule type="cellIs" dxfId="3090" priority="1649" operator="equal">
      <formula>"Nincs Po"</formula>
    </cfRule>
  </conditionalFormatting>
  <conditionalFormatting sqref="I109">
    <cfRule type="cellIs" dxfId="3089" priority="1640" operator="equal">
      <formula>"H"</formula>
    </cfRule>
  </conditionalFormatting>
  <conditionalFormatting sqref="J109">
    <cfRule type="cellIs" dxfId="3088" priority="1636" operator="equal">
      <formula>"Nem Heineken Költség"</formula>
    </cfRule>
  </conditionalFormatting>
  <conditionalFormatting sqref="J109">
    <cfRule type="cellIs" dxfId="3087" priority="1637" operator="equal">
      <formula>"Nincs Po"</formula>
    </cfRule>
  </conditionalFormatting>
  <conditionalFormatting sqref="K109">
    <cfRule type="cellIs" dxfId="3086" priority="1633" operator="equal">
      <formula>"Nem Heineken Költség"</formula>
    </cfRule>
    <cfRule type="cellIs" dxfId="3085" priority="1634" operator="equal">
      <formula>"Nincs Po"</formula>
    </cfRule>
  </conditionalFormatting>
  <conditionalFormatting sqref="I108">
    <cfRule type="cellIs" dxfId="3084" priority="1625" operator="equal">
      <formula>"H"</formula>
    </cfRule>
  </conditionalFormatting>
  <conditionalFormatting sqref="J108">
    <cfRule type="cellIs" dxfId="3083" priority="1621" operator="equal">
      <formula>"Nem Heineken Költség"</formula>
    </cfRule>
  </conditionalFormatting>
  <conditionalFormatting sqref="J108">
    <cfRule type="cellIs" dxfId="3082" priority="1622" operator="equal">
      <formula>"Nincs Po"</formula>
    </cfRule>
  </conditionalFormatting>
  <conditionalFormatting sqref="K108">
    <cfRule type="cellIs" dxfId="3081" priority="1618" operator="equal">
      <formula>"Nem Heineken Költség"</formula>
    </cfRule>
    <cfRule type="cellIs" dxfId="3080" priority="1619" operator="equal">
      <formula>"Nincs Po"</formula>
    </cfRule>
  </conditionalFormatting>
  <conditionalFormatting sqref="I107">
    <cfRule type="cellIs" dxfId="3079" priority="1610" operator="equal">
      <formula>"H"</formula>
    </cfRule>
  </conditionalFormatting>
  <conditionalFormatting sqref="J107">
    <cfRule type="cellIs" dxfId="3078" priority="1606" operator="equal">
      <formula>"Nem Heineken Költség"</formula>
    </cfRule>
  </conditionalFormatting>
  <conditionalFormatting sqref="J107">
    <cfRule type="cellIs" dxfId="3077" priority="1607" operator="equal">
      <formula>"Nincs Po"</formula>
    </cfRule>
  </conditionalFormatting>
  <conditionalFormatting sqref="K107">
    <cfRule type="cellIs" dxfId="3076" priority="1603" operator="equal">
      <formula>"Nem Heineken Költség"</formula>
    </cfRule>
    <cfRule type="cellIs" dxfId="3075" priority="1604" operator="equal">
      <formula>"Nincs Po"</formula>
    </cfRule>
  </conditionalFormatting>
  <conditionalFormatting sqref="I106">
    <cfRule type="cellIs" dxfId="3074" priority="1595" operator="equal">
      <formula>"H"</formula>
    </cfRule>
  </conditionalFormatting>
  <conditionalFormatting sqref="J106">
    <cfRule type="cellIs" dxfId="3073" priority="1591" operator="equal">
      <formula>"Nem Heineken Költség"</formula>
    </cfRule>
  </conditionalFormatting>
  <conditionalFormatting sqref="J106">
    <cfRule type="cellIs" dxfId="3072" priority="1592" operator="equal">
      <formula>"Nincs Po"</formula>
    </cfRule>
  </conditionalFormatting>
  <conditionalFormatting sqref="K106">
    <cfRule type="cellIs" dxfId="3071" priority="1588" operator="equal">
      <formula>"Nem Heineken Költség"</formula>
    </cfRule>
    <cfRule type="cellIs" dxfId="3070" priority="1589" operator="equal">
      <formula>"Nincs Po"</formula>
    </cfRule>
  </conditionalFormatting>
  <conditionalFormatting sqref="I105">
    <cfRule type="cellIs" dxfId="3069" priority="1580" operator="equal">
      <formula>"H"</formula>
    </cfRule>
  </conditionalFormatting>
  <conditionalFormatting sqref="J105">
    <cfRule type="cellIs" dxfId="3068" priority="1576" operator="equal">
      <formula>"Nem Heineken Költség"</formula>
    </cfRule>
  </conditionalFormatting>
  <conditionalFormatting sqref="J105">
    <cfRule type="cellIs" dxfId="3067" priority="1577" operator="equal">
      <formula>"Nincs Po"</formula>
    </cfRule>
  </conditionalFormatting>
  <conditionalFormatting sqref="K105">
    <cfRule type="cellIs" dxfId="3066" priority="1573" operator="equal">
      <formula>"Nem Heineken Költség"</formula>
    </cfRule>
    <cfRule type="cellIs" dxfId="3065" priority="1574" operator="equal">
      <formula>"Nincs Po"</formula>
    </cfRule>
  </conditionalFormatting>
  <conditionalFormatting sqref="I104">
    <cfRule type="cellIs" dxfId="3064" priority="1565" operator="equal">
      <formula>"H"</formula>
    </cfRule>
  </conditionalFormatting>
  <conditionalFormatting sqref="J104">
    <cfRule type="cellIs" dxfId="3063" priority="1561" operator="equal">
      <formula>"Nem Heineken Költség"</formula>
    </cfRule>
  </conditionalFormatting>
  <conditionalFormatting sqref="J104">
    <cfRule type="cellIs" dxfId="3062" priority="1562" operator="equal">
      <formula>"Nincs Po"</formula>
    </cfRule>
  </conditionalFormatting>
  <conditionalFormatting sqref="K104">
    <cfRule type="cellIs" dxfId="3061" priority="1558" operator="equal">
      <formula>"Nem Heineken Költség"</formula>
    </cfRule>
    <cfRule type="cellIs" dxfId="3060" priority="1559" operator="equal">
      <formula>"Nincs Po"</formula>
    </cfRule>
  </conditionalFormatting>
  <conditionalFormatting sqref="I103">
    <cfRule type="cellIs" dxfId="3059" priority="1550" operator="equal">
      <formula>"H"</formula>
    </cfRule>
  </conditionalFormatting>
  <conditionalFormatting sqref="J103">
    <cfRule type="cellIs" dxfId="3058" priority="1546" operator="equal">
      <formula>"Nem Heineken Költség"</formula>
    </cfRule>
  </conditionalFormatting>
  <conditionalFormatting sqref="J103">
    <cfRule type="cellIs" dxfId="3057" priority="1547" operator="equal">
      <formula>"Nincs Po"</formula>
    </cfRule>
  </conditionalFormatting>
  <conditionalFormatting sqref="K103">
    <cfRule type="cellIs" dxfId="3056" priority="1543" operator="equal">
      <formula>"Nem Heineken Költség"</formula>
    </cfRule>
    <cfRule type="cellIs" dxfId="3055" priority="1544" operator="equal">
      <formula>"Nincs Po"</formula>
    </cfRule>
  </conditionalFormatting>
  <conditionalFormatting sqref="I102">
    <cfRule type="cellIs" dxfId="3054" priority="1535" operator="equal">
      <formula>"H"</formula>
    </cfRule>
  </conditionalFormatting>
  <conditionalFormatting sqref="J102">
    <cfRule type="cellIs" dxfId="3053" priority="1531" operator="equal">
      <formula>"Nem Heineken Költség"</formula>
    </cfRule>
  </conditionalFormatting>
  <conditionalFormatting sqref="J102">
    <cfRule type="cellIs" dxfId="3052" priority="1532" operator="equal">
      <formula>"Nincs Po"</formula>
    </cfRule>
  </conditionalFormatting>
  <conditionalFormatting sqref="K102">
    <cfRule type="cellIs" dxfId="3051" priority="1528" operator="equal">
      <formula>"Nem Heineken Költség"</formula>
    </cfRule>
    <cfRule type="cellIs" dxfId="3050" priority="1529" operator="equal">
      <formula>"Nincs Po"</formula>
    </cfRule>
  </conditionalFormatting>
  <conditionalFormatting sqref="I101">
    <cfRule type="cellIs" dxfId="3049" priority="1520" operator="equal">
      <formula>"H"</formula>
    </cfRule>
  </conditionalFormatting>
  <conditionalFormatting sqref="J101">
    <cfRule type="cellIs" dxfId="3048" priority="1516" operator="equal">
      <formula>"Nem Heineken Költség"</formula>
    </cfRule>
  </conditionalFormatting>
  <conditionalFormatting sqref="J101">
    <cfRule type="cellIs" dxfId="3047" priority="1517" operator="equal">
      <formula>"Nincs Po"</formula>
    </cfRule>
  </conditionalFormatting>
  <conditionalFormatting sqref="K101">
    <cfRule type="cellIs" dxfId="3046" priority="1513" operator="equal">
      <formula>"Nem Heineken Költség"</formula>
    </cfRule>
    <cfRule type="cellIs" dxfId="3045" priority="1514" operator="equal">
      <formula>"Nincs Po"</formula>
    </cfRule>
  </conditionalFormatting>
  <conditionalFormatting sqref="I100">
    <cfRule type="cellIs" dxfId="3044" priority="1505" operator="equal">
      <formula>"H"</formula>
    </cfRule>
  </conditionalFormatting>
  <conditionalFormatting sqref="J100">
    <cfRule type="cellIs" dxfId="3043" priority="1501" operator="equal">
      <formula>"Nem Heineken Költség"</formula>
    </cfRule>
  </conditionalFormatting>
  <conditionalFormatting sqref="J100">
    <cfRule type="cellIs" dxfId="3042" priority="1502" operator="equal">
      <formula>"Nincs Po"</formula>
    </cfRule>
  </conditionalFormatting>
  <conditionalFormatting sqref="K100">
    <cfRule type="cellIs" dxfId="3041" priority="1498" operator="equal">
      <formula>"Nem Heineken Költség"</formula>
    </cfRule>
    <cfRule type="cellIs" dxfId="3040" priority="1499" operator="equal">
      <formula>"Nincs Po"</formula>
    </cfRule>
  </conditionalFormatting>
  <conditionalFormatting sqref="I99">
    <cfRule type="cellIs" dxfId="3039" priority="1490" operator="equal">
      <formula>"H"</formula>
    </cfRule>
  </conditionalFormatting>
  <conditionalFormatting sqref="J99">
    <cfRule type="cellIs" dxfId="3038" priority="1486" operator="equal">
      <formula>"Nem Heineken Költség"</formula>
    </cfRule>
  </conditionalFormatting>
  <conditionalFormatting sqref="J99">
    <cfRule type="cellIs" dxfId="3037" priority="1487" operator="equal">
      <formula>"Nincs Po"</formula>
    </cfRule>
  </conditionalFormatting>
  <conditionalFormatting sqref="K99">
    <cfRule type="cellIs" dxfId="3036" priority="1483" operator="equal">
      <formula>"Nem Heineken Költség"</formula>
    </cfRule>
    <cfRule type="cellIs" dxfId="3035" priority="1484" operator="equal">
      <formula>"Nincs Po"</formula>
    </cfRule>
  </conditionalFormatting>
  <conditionalFormatting sqref="I98">
    <cfRule type="cellIs" dxfId="3034" priority="1475" operator="equal">
      <formula>"H"</formula>
    </cfRule>
  </conditionalFormatting>
  <conditionalFormatting sqref="J98">
    <cfRule type="cellIs" dxfId="3033" priority="1471" operator="equal">
      <formula>"Nem Heineken Költség"</formula>
    </cfRule>
  </conditionalFormatting>
  <conditionalFormatting sqref="J98">
    <cfRule type="cellIs" dxfId="3032" priority="1472" operator="equal">
      <formula>"Nincs Po"</formula>
    </cfRule>
  </conditionalFormatting>
  <conditionalFormatting sqref="K98">
    <cfRule type="cellIs" dxfId="3031" priority="1468" operator="equal">
      <formula>"Nem Heineken Költség"</formula>
    </cfRule>
    <cfRule type="cellIs" dxfId="3030" priority="1469" operator="equal">
      <formula>"Nincs Po"</formula>
    </cfRule>
  </conditionalFormatting>
  <conditionalFormatting sqref="I97">
    <cfRule type="cellIs" dxfId="3029" priority="1460" operator="equal">
      <formula>"H"</formula>
    </cfRule>
  </conditionalFormatting>
  <conditionalFormatting sqref="J97">
    <cfRule type="cellIs" dxfId="3028" priority="1456" operator="equal">
      <formula>"Nem Heineken Költség"</formula>
    </cfRule>
  </conditionalFormatting>
  <conditionalFormatting sqref="J97">
    <cfRule type="cellIs" dxfId="3027" priority="1457" operator="equal">
      <formula>"Nincs Po"</formula>
    </cfRule>
  </conditionalFormatting>
  <conditionalFormatting sqref="K97">
    <cfRule type="cellIs" dxfId="3026" priority="1453" operator="equal">
      <formula>"Nem Heineken Költség"</formula>
    </cfRule>
    <cfRule type="cellIs" dxfId="3025" priority="1454" operator="equal">
      <formula>"Nincs Po"</formula>
    </cfRule>
  </conditionalFormatting>
  <conditionalFormatting sqref="I96">
    <cfRule type="cellIs" dxfId="3024" priority="1445" operator="equal">
      <formula>"H"</formula>
    </cfRule>
  </conditionalFormatting>
  <conditionalFormatting sqref="J96">
    <cfRule type="cellIs" dxfId="3023" priority="1441" operator="equal">
      <formula>"Nem Heineken Költség"</formula>
    </cfRule>
  </conditionalFormatting>
  <conditionalFormatting sqref="J96">
    <cfRule type="cellIs" dxfId="3022" priority="1442" operator="equal">
      <formula>"Nincs Po"</formula>
    </cfRule>
  </conditionalFormatting>
  <conditionalFormatting sqref="K96">
    <cfRule type="cellIs" dxfId="3021" priority="1438" operator="equal">
      <formula>"Nem Heineken Költség"</formula>
    </cfRule>
    <cfRule type="cellIs" dxfId="3020" priority="1439" operator="equal">
      <formula>"Nincs Po"</formula>
    </cfRule>
  </conditionalFormatting>
  <conditionalFormatting sqref="I95">
    <cfRule type="cellIs" dxfId="3019" priority="1430" operator="equal">
      <formula>"H"</formula>
    </cfRule>
  </conditionalFormatting>
  <conditionalFormatting sqref="J95">
    <cfRule type="cellIs" dxfId="3018" priority="1426" operator="equal">
      <formula>"Nem Heineken Költség"</formula>
    </cfRule>
  </conditionalFormatting>
  <conditionalFormatting sqref="J95">
    <cfRule type="cellIs" dxfId="3017" priority="1427" operator="equal">
      <formula>"Nincs Po"</formula>
    </cfRule>
  </conditionalFormatting>
  <conditionalFormatting sqref="K95">
    <cfRule type="cellIs" dxfId="3016" priority="1423" operator="equal">
      <formula>"Nem Heineken Költség"</formula>
    </cfRule>
    <cfRule type="cellIs" dxfId="3015" priority="1424" operator="equal">
      <formula>"Nincs Po"</formula>
    </cfRule>
  </conditionalFormatting>
  <conditionalFormatting sqref="I94">
    <cfRule type="cellIs" dxfId="3014" priority="1415" operator="equal">
      <formula>"H"</formula>
    </cfRule>
  </conditionalFormatting>
  <conditionalFormatting sqref="J94">
    <cfRule type="cellIs" dxfId="3013" priority="1411" operator="equal">
      <formula>"Nem Heineken Költség"</formula>
    </cfRule>
  </conditionalFormatting>
  <conditionalFormatting sqref="J94">
    <cfRule type="cellIs" dxfId="3012" priority="1412" operator="equal">
      <formula>"Nincs Po"</formula>
    </cfRule>
  </conditionalFormatting>
  <conditionalFormatting sqref="K94">
    <cfRule type="cellIs" dxfId="3011" priority="1408" operator="equal">
      <formula>"Nem Heineken Költség"</formula>
    </cfRule>
    <cfRule type="cellIs" dxfId="3010" priority="1409" operator="equal">
      <formula>"Nincs Po"</formula>
    </cfRule>
  </conditionalFormatting>
  <conditionalFormatting sqref="I93">
    <cfRule type="cellIs" dxfId="3009" priority="1400" operator="equal">
      <formula>"H"</formula>
    </cfRule>
  </conditionalFormatting>
  <conditionalFormatting sqref="J93">
    <cfRule type="cellIs" dxfId="3008" priority="1396" operator="equal">
      <formula>"Nem Heineken Költség"</formula>
    </cfRule>
  </conditionalFormatting>
  <conditionalFormatting sqref="J93">
    <cfRule type="cellIs" dxfId="3007" priority="1397" operator="equal">
      <formula>"Nincs Po"</formula>
    </cfRule>
  </conditionalFormatting>
  <conditionalFormatting sqref="K93">
    <cfRule type="cellIs" dxfId="3006" priority="1393" operator="equal">
      <formula>"Nem Heineken Költség"</formula>
    </cfRule>
    <cfRule type="cellIs" dxfId="3005" priority="1394" operator="equal">
      <formula>"Nincs Po"</formula>
    </cfRule>
  </conditionalFormatting>
  <conditionalFormatting sqref="I92">
    <cfRule type="cellIs" dxfId="3004" priority="1385" operator="equal">
      <formula>"H"</formula>
    </cfRule>
  </conditionalFormatting>
  <conditionalFormatting sqref="J92">
    <cfRule type="cellIs" dxfId="3003" priority="1381" operator="equal">
      <formula>"Nem Heineken Költség"</formula>
    </cfRule>
  </conditionalFormatting>
  <conditionalFormatting sqref="J92">
    <cfRule type="cellIs" dxfId="3002" priority="1382" operator="equal">
      <formula>"Nincs Po"</formula>
    </cfRule>
  </conditionalFormatting>
  <conditionalFormatting sqref="K92">
    <cfRule type="cellIs" dxfId="3001" priority="1378" operator="equal">
      <formula>"Nem Heineken Költség"</formula>
    </cfRule>
    <cfRule type="cellIs" dxfId="3000" priority="1379" operator="equal">
      <formula>"Nincs Po"</formula>
    </cfRule>
  </conditionalFormatting>
  <conditionalFormatting sqref="I91">
    <cfRule type="cellIs" dxfId="2999" priority="1370" operator="equal">
      <formula>"H"</formula>
    </cfRule>
  </conditionalFormatting>
  <conditionalFormatting sqref="J91">
    <cfRule type="cellIs" dxfId="2998" priority="1366" operator="equal">
      <formula>"Nem Heineken Költség"</formula>
    </cfRule>
  </conditionalFormatting>
  <conditionalFormatting sqref="J91">
    <cfRule type="cellIs" dxfId="2997" priority="1367" operator="equal">
      <formula>"Nincs Po"</formula>
    </cfRule>
  </conditionalFormatting>
  <conditionalFormatting sqref="K91">
    <cfRule type="cellIs" dxfId="2996" priority="1363" operator="equal">
      <formula>"Nem Heineken Költség"</formula>
    </cfRule>
    <cfRule type="cellIs" dxfId="2995" priority="1364" operator="equal">
      <formula>"Nincs Po"</formula>
    </cfRule>
  </conditionalFormatting>
  <conditionalFormatting sqref="I90">
    <cfRule type="cellIs" dxfId="2994" priority="1355" operator="equal">
      <formula>"H"</formula>
    </cfRule>
  </conditionalFormatting>
  <conditionalFormatting sqref="J90">
    <cfRule type="cellIs" dxfId="2993" priority="1351" operator="equal">
      <formula>"Nem Heineken Költség"</formula>
    </cfRule>
  </conditionalFormatting>
  <conditionalFormatting sqref="J90">
    <cfRule type="cellIs" dxfId="2992" priority="1352" operator="equal">
      <formula>"Nincs Po"</formula>
    </cfRule>
  </conditionalFormatting>
  <conditionalFormatting sqref="K90">
    <cfRule type="cellIs" dxfId="2991" priority="1348" operator="equal">
      <formula>"Nem Heineken Költség"</formula>
    </cfRule>
    <cfRule type="cellIs" dxfId="2990" priority="1349" operator="equal">
      <formula>"Nincs Po"</formula>
    </cfRule>
  </conditionalFormatting>
  <conditionalFormatting sqref="I89">
    <cfRule type="cellIs" dxfId="2989" priority="1340" operator="equal">
      <formula>"H"</formula>
    </cfRule>
  </conditionalFormatting>
  <conditionalFormatting sqref="J89">
    <cfRule type="cellIs" dxfId="2988" priority="1336" operator="equal">
      <formula>"Nem Heineken Költség"</formula>
    </cfRule>
  </conditionalFormatting>
  <conditionalFormatting sqref="J89">
    <cfRule type="cellIs" dxfId="2987" priority="1337" operator="equal">
      <formula>"Nincs Po"</formula>
    </cfRule>
  </conditionalFormatting>
  <conditionalFormatting sqref="K89">
    <cfRule type="cellIs" dxfId="2986" priority="1333" operator="equal">
      <formula>"Nem Heineken Költség"</formula>
    </cfRule>
    <cfRule type="cellIs" dxfId="2985" priority="1334" operator="equal">
      <formula>"Nincs Po"</formula>
    </cfRule>
  </conditionalFormatting>
  <conditionalFormatting sqref="I88">
    <cfRule type="cellIs" dxfId="2984" priority="1325" operator="equal">
      <formula>"H"</formula>
    </cfRule>
  </conditionalFormatting>
  <conditionalFormatting sqref="J88">
    <cfRule type="cellIs" dxfId="2983" priority="1321" operator="equal">
      <formula>"Nem Heineken Költség"</formula>
    </cfRule>
  </conditionalFormatting>
  <conditionalFormatting sqref="J88">
    <cfRule type="cellIs" dxfId="2982" priority="1322" operator="equal">
      <formula>"Nincs Po"</formula>
    </cfRule>
  </conditionalFormatting>
  <conditionalFormatting sqref="K88">
    <cfRule type="cellIs" dxfId="2981" priority="1318" operator="equal">
      <formula>"Nem Heineken Költség"</formula>
    </cfRule>
    <cfRule type="cellIs" dxfId="2980" priority="1319" operator="equal">
      <formula>"Nincs Po"</formula>
    </cfRule>
  </conditionalFormatting>
  <conditionalFormatting sqref="I87">
    <cfRule type="cellIs" dxfId="2979" priority="1310" operator="equal">
      <formula>"H"</formula>
    </cfRule>
  </conditionalFormatting>
  <conditionalFormatting sqref="J87">
    <cfRule type="cellIs" dxfId="2978" priority="1306" operator="equal">
      <formula>"Nem Heineken Költség"</formula>
    </cfRule>
  </conditionalFormatting>
  <conditionalFormatting sqref="J87">
    <cfRule type="cellIs" dxfId="2977" priority="1307" operator="equal">
      <formula>"Nincs Po"</formula>
    </cfRule>
  </conditionalFormatting>
  <conditionalFormatting sqref="K87">
    <cfRule type="cellIs" dxfId="2976" priority="1303" operator="equal">
      <formula>"Nem Heineken Költség"</formula>
    </cfRule>
    <cfRule type="cellIs" dxfId="2975" priority="1304" operator="equal">
      <formula>"Nincs Po"</formula>
    </cfRule>
  </conditionalFormatting>
  <conditionalFormatting sqref="I86">
    <cfRule type="cellIs" dxfId="2974" priority="1295" operator="equal">
      <formula>"H"</formula>
    </cfRule>
  </conditionalFormatting>
  <conditionalFormatting sqref="J86">
    <cfRule type="cellIs" dxfId="2973" priority="1291" operator="equal">
      <formula>"Nem Heineken Költség"</formula>
    </cfRule>
  </conditionalFormatting>
  <conditionalFormatting sqref="J86">
    <cfRule type="cellIs" dxfId="2972" priority="1292" operator="equal">
      <formula>"Nincs Po"</formula>
    </cfRule>
  </conditionalFormatting>
  <conditionalFormatting sqref="K86">
    <cfRule type="cellIs" dxfId="2971" priority="1288" operator="equal">
      <formula>"Nem Heineken Költség"</formula>
    </cfRule>
    <cfRule type="cellIs" dxfId="2970" priority="1289" operator="equal">
      <formula>"Nincs Po"</formula>
    </cfRule>
  </conditionalFormatting>
  <conditionalFormatting sqref="I85">
    <cfRule type="cellIs" dxfId="2969" priority="1280" operator="equal">
      <formula>"H"</formula>
    </cfRule>
  </conditionalFormatting>
  <conditionalFormatting sqref="J85">
    <cfRule type="cellIs" dxfId="2968" priority="1276" operator="equal">
      <formula>"Nem Heineken Költség"</formula>
    </cfRule>
  </conditionalFormatting>
  <conditionalFormatting sqref="J85">
    <cfRule type="cellIs" dxfId="2967" priority="1277" operator="equal">
      <formula>"Nincs Po"</formula>
    </cfRule>
  </conditionalFormatting>
  <conditionalFormatting sqref="K85">
    <cfRule type="cellIs" dxfId="2966" priority="1273" operator="equal">
      <formula>"Nem Heineken Költség"</formula>
    </cfRule>
    <cfRule type="cellIs" dxfId="2965" priority="1274" operator="equal">
      <formula>"Nincs Po"</formula>
    </cfRule>
  </conditionalFormatting>
  <conditionalFormatting sqref="I84">
    <cfRule type="cellIs" dxfId="2964" priority="1265" operator="equal">
      <formula>"H"</formula>
    </cfRule>
  </conditionalFormatting>
  <conditionalFormatting sqref="J84">
    <cfRule type="cellIs" dxfId="2963" priority="1261" operator="equal">
      <formula>"Nem Heineken Költség"</formula>
    </cfRule>
  </conditionalFormatting>
  <conditionalFormatting sqref="J84">
    <cfRule type="cellIs" dxfId="2962" priority="1262" operator="equal">
      <formula>"Nincs Po"</formula>
    </cfRule>
  </conditionalFormatting>
  <conditionalFormatting sqref="K84">
    <cfRule type="cellIs" dxfId="2961" priority="1258" operator="equal">
      <formula>"Nem Heineken Költség"</formula>
    </cfRule>
    <cfRule type="cellIs" dxfId="2960" priority="1259" operator="equal">
      <formula>"Nincs Po"</formula>
    </cfRule>
  </conditionalFormatting>
  <conditionalFormatting sqref="I83">
    <cfRule type="cellIs" dxfId="2959" priority="1250" operator="equal">
      <formula>"H"</formula>
    </cfRule>
  </conditionalFormatting>
  <conditionalFormatting sqref="J83">
    <cfRule type="cellIs" dxfId="2958" priority="1246" operator="equal">
      <formula>"Nem Heineken Költség"</formula>
    </cfRule>
  </conditionalFormatting>
  <conditionalFormatting sqref="J83">
    <cfRule type="cellIs" dxfId="2957" priority="1247" operator="equal">
      <formula>"Nincs Po"</formula>
    </cfRule>
  </conditionalFormatting>
  <conditionalFormatting sqref="K83">
    <cfRule type="cellIs" dxfId="2956" priority="1243" operator="equal">
      <formula>"Nem Heineken Költség"</formula>
    </cfRule>
    <cfRule type="cellIs" dxfId="2955" priority="1244" operator="equal">
      <formula>"Nincs Po"</formula>
    </cfRule>
  </conditionalFormatting>
  <conditionalFormatting sqref="I82">
    <cfRule type="cellIs" dxfId="2954" priority="1235" operator="equal">
      <formula>"H"</formula>
    </cfRule>
  </conditionalFormatting>
  <conditionalFormatting sqref="J82">
    <cfRule type="cellIs" dxfId="2953" priority="1231" operator="equal">
      <formula>"Nem Heineken Költség"</formula>
    </cfRule>
  </conditionalFormatting>
  <conditionalFormatting sqref="J82">
    <cfRule type="cellIs" dxfId="2952" priority="1232" operator="equal">
      <formula>"Nincs Po"</formula>
    </cfRule>
  </conditionalFormatting>
  <conditionalFormatting sqref="K82">
    <cfRule type="cellIs" dxfId="2951" priority="1228" operator="equal">
      <formula>"Nem Heineken Költség"</formula>
    </cfRule>
    <cfRule type="cellIs" dxfId="2950" priority="1229" operator="equal">
      <formula>"Nincs Po"</formula>
    </cfRule>
  </conditionalFormatting>
  <conditionalFormatting sqref="I81">
    <cfRule type="cellIs" dxfId="2949" priority="1220" operator="equal">
      <formula>"H"</formula>
    </cfRule>
  </conditionalFormatting>
  <conditionalFormatting sqref="J81">
    <cfRule type="cellIs" dxfId="2948" priority="1216" operator="equal">
      <formula>"Nem Heineken Költség"</formula>
    </cfRule>
  </conditionalFormatting>
  <conditionalFormatting sqref="J81">
    <cfRule type="cellIs" dxfId="2947" priority="1217" operator="equal">
      <formula>"Nincs Po"</formula>
    </cfRule>
  </conditionalFormatting>
  <conditionalFormatting sqref="K81">
    <cfRule type="cellIs" dxfId="2946" priority="1213" operator="equal">
      <formula>"Nem Heineken Költség"</formula>
    </cfRule>
    <cfRule type="cellIs" dxfId="2945" priority="1214" operator="equal">
      <formula>"Nincs Po"</formula>
    </cfRule>
  </conditionalFormatting>
  <conditionalFormatting sqref="I80">
    <cfRule type="cellIs" dxfId="2944" priority="1205" operator="equal">
      <formula>"H"</formula>
    </cfRule>
  </conditionalFormatting>
  <conditionalFormatting sqref="J80">
    <cfRule type="cellIs" dxfId="2943" priority="1201" operator="equal">
      <formula>"Nem Heineken Költség"</formula>
    </cfRule>
  </conditionalFormatting>
  <conditionalFormatting sqref="J80">
    <cfRule type="cellIs" dxfId="2942" priority="1202" operator="equal">
      <formula>"Nincs Po"</formula>
    </cfRule>
  </conditionalFormatting>
  <conditionalFormatting sqref="K80">
    <cfRule type="cellIs" dxfId="2941" priority="1198" operator="equal">
      <formula>"Nem Heineken Költség"</formula>
    </cfRule>
    <cfRule type="cellIs" dxfId="2940" priority="1199" operator="equal">
      <formula>"Nincs Po"</formula>
    </cfRule>
  </conditionalFormatting>
  <conditionalFormatting sqref="I79">
    <cfRule type="cellIs" dxfId="2939" priority="1190" operator="equal">
      <formula>"H"</formula>
    </cfRule>
  </conditionalFormatting>
  <conditionalFormatting sqref="J79">
    <cfRule type="cellIs" dxfId="2938" priority="1186" operator="equal">
      <formula>"Nem Heineken Költség"</formula>
    </cfRule>
  </conditionalFormatting>
  <conditionalFormatting sqref="J79">
    <cfRule type="cellIs" dxfId="2937" priority="1187" operator="equal">
      <formula>"Nincs Po"</formula>
    </cfRule>
  </conditionalFormatting>
  <conditionalFormatting sqref="K79">
    <cfRule type="cellIs" dxfId="2936" priority="1183" operator="equal">
      <formula>"Nem Heineken Költség"</formula>
    </cfRule>
    <cfRule type="cellIs" dxfId="2935" priority="1184" operator="equal">
      <formula>"Nincs Po"</formula>
    </cfRule>
  </conditionalFormatting>
  <conditionalFormatting sqref="I78">
    <cfRule type="cellIs" dxfId="2934" priority="1175" operator="equal">
      <formula>"H"</formula>
    </cfRule>
  </conditionalFormatting>
  <conditionalFormatting sqref="J78">
    <cfRule type="cellIs" dxfId="2933" priority="1171" operator="equal">
      <formula>"Nem Heineken Költség"</formula>
    </cfRule>
  </conditionalFormatting>
  <conditionalFormatting sqref="J78">
    <cfRule type="cellIs" dxfId="2932" priority="1172" operator="equal">
      <formula>"Nincs Po"</formula>
    </cfRule>
  </conditionalFormatting>
  <conditionalFormatting sqref="K78">
    <cfRule type="cellIs" dxfId="2931" priority="1168" operator="equal">
      <formula>"Nem Heineken Költség"</formula>
    </cfRule>
    <cfRule type="cellIs" dxfId="2930" priority="1169" operator="equal">
      <formula>"Nincs Po"</formula>
    </cfRule>
  </conditionalFormatting>
  <conditionalFormatting sqref="I77">
    <cfRule type="cellIs" dxfId="2929" priority="1160" operator="equal">
      <formula>"H"</formula>
    </cfRule>
  </conditionalFormatting>
  <conditionalFormatting sqref="J77">
    <cfRule type="cellIs" dxfId="2928" priority="1156" operator="equal">
      <formula>"Nem Heineken Költség"</formula>
    </cfRule>
  </conditionalFormatting>
  <conditionalFormatting sqref="J77">
    <cfRule type="cellIs" dxfId="2927" priority="1157" operator="equal">
      <formula>"Nincs Po"</formula>
    </cfRule>
  </conditionalFormatting>
  <conditionalFormatting sqref="K77">
    <cfRule type="cellIs" dxfId="2926" priority="1153" operator="equal">
      <formula>"Nem Heineken Költség"</formula>
    </cfRule>
    <cfRule type="cellIs" dxfId="2925" priority="1154" operator="equal">
      <formula>"Nincs Po"</formula>
    </cfRule>
  </conditionalFormatting>
  <conditionalFormatting sqref="I76">
    <cfRule type="cellIs" dxfId="2924" priority="1145" operator="equal">
      <formula>"H"</formula>
    </cfRule>
  </conditionalFormatting>
  <conditionalFormatting sqref="J76">
    <cfRule type="cellIs" dxfId="2923" priority="1141" operator="equal">
      <formula>"Nem Heineken Költség"</formula>
    </cfRule>
  </conditionalFormatting>
  <conditionalFormatting sqref="J76">
    <cfRule type="cellIs" dxfId="2922" priority="1142" operator="equal">
      <formula>"Nincs Po"</formula>
    </cfRule>
  </conditionalFormatting>
  <conditionalFormatting sqref="K76">
    <cfRule type="cellIs" dxfId="2921" priority="1138" operator="equal">
      <formula>"Nem Heineken Költség"</formula>
    </cfRule>
    <cfRule type="cellIs" dxfId="2920" priority="1139" operator="equal">
      <formula>"Nincs Po"</formula>
    </cfRule>
  </conditionalFormatting>
  <conditionalFormatting sqref="I75">
    <cfRule type="cellIs" dxfId="2919" priority="1130" operator="equal">
      <formula>"H"</formula>
    </cfRule>
  </conditionalFormatting>
  <conditionalFormatting sqref="J75">
    <cfRule type="cellIs" dxfId="2918" priority="1126" operator="equal">
      <formula>"Nem Heineken Költség"</formula>
    </cfRule>
  </conditionalFormatting>
  <conditionalFormatting sqref="J75">
    <cfRule type="cellIs" dxfId="2917" priority="1127" operator="equal">
      <formula>"Nincs Po"</formula>
    </cfRule>
  </conditionalFormatting>
  <conditionalFormatting sqref="K75">
    <cfRule type="cellIs" dxfId="2916" priority="1123" operator="equal">
      <formula>"Nem Heineken Költség"</formula>
    </cfRule>
    <cfRule type="cellIs" dxfId="2915" priority="1124" operator="equal">
      <formula>"Nincs Po"</formula>
    </cfRule>
  </conditionalFormatting>
  <conditionalFormatting sqref="I74">
    <cfRule type="cellIs" dxfId="2914" priority="1115" operator="equal">
      <formula>"H"</formula>
    </cfRule>
  </conditionalFormatting>
  <conditionalFormatting sqref="J74">
    <cfRule type="cellIs" dxfId="2913" priority="1111" operator="equal">
      <formula>"Nem Heineken Költség"</formula>
    </cfRule>
  </conditionalFormatting>
  <conditionalFormatting sqref="J74">
    <cfRule type="cellIs" dxfId="2912" priority="1112" operator="equal">
      <formula>"Nincs Po"</formula>
    </cfRule>
  </conditionalFormatting>
  <conditionalFormatting sqref="K74">
    <cfRule type="cellIs" dxfId="2911" priority="1108" operator="equal">
      <formula>"Nem Heineken Költség"</formula>
    </cfRule>
    <cfRule type="cellIs" dxfId="2910" priority="1109" operator="equal">
      <formula>"Nincs Po"</formula>
    </cfRule>
  </conditionalFormatting>
  <conditionalFormatting sqref="I73">
    <cfRule type="cellIs" dxfId="2909" priority="1100" operator="equal">
      <formula>"H"</formula>
    </cfRule>
  </conditionalFormatting>
  <conditionalFormatting sqref="J73">
    <cfRule type="cellIs" dxfId="2908" priority="1096" operator="equal">
      <formula>"Nem Heineken Költség"</formula>
    </cfRule>
  </conditionalFormatting>
  <conditionalFormatting sqref="J73">
    <cfRule type="cellIs" dxfId="2907" priority="1097" operator="equal">
      <formula>"Nincs Po"</formula>
    </cfRule>
  </conditionalFormatting>
  <conditionalFormatting sqref="K73">
    <cfRule type="cellIs" dxfId="2906" priority="1093" operator="equal">
      <formula>"Nem Heineken Költség"</formula>
    </cfRule>
    <cfRule type="cellIs" dxfId="2905" priority="1094" operator="equal">
      <formula>"Nincs Po"</formula>
    </cfRule>
  </conditionalFormatting>
  <conditionalFormatting sqref="I72">
    <cfRule type="cellIs" dxfId="2904" priority="1085" operator="equal">
      <formula>"H"</formula>
    </cfRule>
  </conditionalFormatting>
  <conditionalFormatting sqref="J72">
    <cfRule type="cellIs" dxfId="2903" priority="1081" operator="equal">
      <formula>"Nem Heineken Költség"</formula>
    </cfRule>
  </conditionalFormatting>
  <conditionalFormatting sqref="J72">
    <cfRule type="cellIs" dxfId="2902" priority="1082" operator="equal">
      <formula>"Nincs Po"</formula>
    </cfRule>
  </conditionalFormatting>
  <conditionalFormatting sqref="K72">
    <cfRule type="cellIs" dxfId="2901" priority="1078" operator="equal">
      <formula>"Nem Heineken Költség"</formula>
    </cfRule>
    <cfRule type="cellIs" dxfId="2900" priority="1079" operator="equal">
      <formula>"Nincs Po"</formula>
    </cfRule>
  </conditionalFormatting>
  <conditionalFormatting sqref="I71">
    <cfRule type="cellIs" dxfId="2899" priority="1070" operator="equal">
      <formula>"H"</formula>
    </cfRule>
  </conditionalFormatting>
  <conditionalFormatting sqref="J71">
    <cfRule type="cellIs" dxfId="2898" priority="1066" operator="equal">
      <formula>"Nem Heineken Költség"</formula>
    </cfRule>
  </conditionalFormatting>
  <conditionalFormatting sqref="J71">
    <cfRule type="cellIs" dxfId="2897" priority="1067" operator="equal">
      <formula>"Nincs Po"</formula>
    </cfRule>
  </conditionalFormatting>
  <conditionalFormatting sqref="K71">
    <cfRule type="cellIs" dxfId="2896" priority="1063" operator="equal">
      <formula>"Nem Heineken Költség"</formula>
    </cfRule>
    <cfRule type="cellIs" dxfId="2895" priority="1064" operator="equal">
      <formula>"Nincs Po"</formula>
    </cfRule>
  </conditionalFormatting>
  <conditionalFormatting sqref="I70">
    <cfRule type="cellIs" dxfId="2894" priority="1055" operator="equal">
      <formula>"H"</formula>
    </cfRule>
  </conditionalFormatting>
  <conditionalFormatting sqref="J70">
    <cfRule type="cellIs" dxfId="2893" priority="1051" operator="equal">
      <formula>"Nem Heineken Költség"</formula>
    </cfRule>
  </conditionalFormatting>
  <conditionalFormatting sqref="J70">
    <cfRule type="cellIs" dxfId="2892" priority="1052" operator="equal">
      <formula>"Nincs Po"</formula>
    </cfRule>
  </conditionalFormatting>
  <conditionalFormatting sqref="K70">
    <cfRule type="cellIs" dxfId="2891" priority="1048" operator="equal">
      <formula>"Nem Heineken Költség"</formula>
    </cfRule>
    <cfRule type="cellIs" dxfId="2890" priority="1049" operator="equal">
      <formula>"Nincs Po"</formula>
    </cfRule>
  </conditionalFormatting>
  <conditionalFormatting sqref="I69">
    <cfRule type="cellIs" dxfId="2889" priority="1040" operator="equal">
      <formula>"H"</formula>
    </cfRule>
  </conditionalFormatting>
  <conditionalFormatting sqref="J69">
    <cfRule type="cellIs" dxfId="2888" priority="1036" operator="equal">
      <formula>"Nem Heineken Költség"</formula>
    </cfRule>
  </conditionalFormatting>
  <conditionalFormatting sqref="J69">
    <cfRule type="cellIs" dxfId="2887" priority="1037" operator="equal">
      <formula>"Nincs Po"</formula>
    </cfRule>
  </conditionalFormatting>
  <conditionalFormatting sqref="K69">
    <cfRule type="cellIs" dxfId="2886" priority="1033" operator="equal">
      <formula>"Nem Heineken Költség"</formula>
    </cfRule>
    <cfRule type="cellIs" dxfId="2885" priority="1034" operator="equal">
      <formula>"Nincs Po"</formula>
    </cfRule>
  </conditionalFormatting>
  <conditionalFormatting sqref="I68">
    <cfRule type="cellIs" dxfId="2884" priority="1025" operator="equal">
      <formula>"H"</formula>
    </cfRule>
  </conditionalFormatting>
  <conditionalFormatting sqref="J68">
    <cfRule type="cellIs" dxfId="2883" priority="1021" operator="equal">
      <formula>"Nem Heineken Költség"</formula>
    </cfRule>
  </conditionalFormatting>
  <conditionalFormatting sqref="J68">
    <cfRule type="cellIs" dxfId="2882" priority="1022" operator="equal">
      <formula>"Nincs Po"</formula>
    </cfRule>
  </conditionalFormatting>
  <conditionalFormatting sqref="K68">
    <cfRule type="cellIs" dxfId="2881" priority="1018" operator="equal">
      <formula>"Nem Heineken Költség"</formula>
    </cfRule>
    <cfRule type="cellIs" dxfId="2880" priority="1019" operator="equal">
      <formula>"Nincs Po"</formula>
    </cfRule>
  </conditionalFormatting>
  <conditionalFormatting sqref="I67">
    <cfRule type="cellIs" dxfId="2879" priority="1010" operator="equal">
      <formula>"H"</formula>
    </cfRule>
  </conditionalFormatting>
  <conditionalFormatting sqref="J67">
    <cfRule type="cellIs" dxfId="2878" priority="1006" operator="equal">
      <formula>"Nem Heineken Költség"</formula>
    </cfRule>
  </conditionalFormatting>
  <conditionalFormatting sqref="J67">
    <cfRule type="cellIs" dxfId="2877" priority="1007" operator="equal">
      <formula>"Nincs Po"</formula>
    </cfRule>
  </conditionalFormatting>
  <conditionalFormatting sqref="K67">
    <cfRule type="cellIs" dxfId="2876" priority="1003" operator="equal">
      <formula>"Nem Heineken Költség"</formula>
    </cfRule>
    <cfRule type="cellIs" dxfId="2875" priority="1004" operator="equal">
      <formula>"Nincs Po"</formula>
    </cfRule>
  </conditionalFormatting>
  <conditionalFormatting sqref="I66">
    <cfRule type="cellIs" dxfId="2874" priority="995" operator="equal">
      <formula>"H"</formula>
    </cfRule>
  </conditionalFormatting>
  <conditionalFormatting sqref="J66">
    <cfRule type="cellIs" dxfId="2873" priority="991" operator="equal">
      <formula>"Nem Heineken Költség"</formula>
    </cfRule>
  </conditionalFormatting>
  <conditionalFormatting sqref="J66">
    <cfRule type="cellIs" dxfId="2872" priority="992" operator="equal">
      <formula>"Nincs Po"</formula>
    </cfRule>
  </conditionalFormatting>
  <conditionalFormatting sqref="K66">
    <cfRule type="cellIs" dxfId="2871" priority="988" operator="equal">
      <formula>"Nem Heineken Költség"</formula>
    </cfRule>
    <cfRule type="cellIs" dxfId="2870" priority="989" operator="equal">
      <formula>"Nincs Po"</formula>
    </cfRule>
  </conditionalFormatting>
  <conditionalFormatting sqref="I65">
    <cfRule type="cellIs" dxfId="2869" priority="980" operator="equal">
      <formula>"H"</formula>
    </cfRule>
  </conditionalFormatting>
  <conditionalFormatting sqref="J65">
    <cfRule type="cellIs" dxfId="2868" priority="976" operator="equal">
      <formula>"Nem Heineken Költség"</formula>
    </cfRule>
  </conditionalFormatting>
  <conditionalFormatting sqref="J65">
    <cfRule type="cellIs" dxfId="2867" priority="977" operator="equal">
      <formula>"Nincs Po"</formula>
    </cfRule>
  </conditionalFormatting>
  <conditionalFormatting sqref="K65">
    <cfRule type="cellIs" dxfId="2866" priority="973" operator="equal">
      <formula>"Nem Heineken Költség"</formula>
    </cfRule>
    <cfRule type="cellIs" dxfId="2865" priority="974" operator="equal">
      <formula>"Nincs Po"</formula>
    </cfRule>
  </conditionalFormatting>
  <conditionalFormatting sqref="I64">
    <cfRule type="cellIs" dxfId="2864" priority="965" operator="equal">
      <formula>"H"</formula>
    </cfRule>
  </conditionalFormatting>
  <conditionalFormatting sqref="J64">
    <cfRule type="cellIs" dxfId="2863" priority="961" operator="equal">
      <formula>"Nem Heineken Költség"</formula>
    </cfRule>
  </conditionalFormatting>
  <conditionalFormatting sqref="J64">
    <cfRule type="cellIs" dxfId="2862" priority="962" operator="equal">
      <formula>"Nincs Po"</formula>
    </cfRule>
  </conditionalFormatting>
  <conditionalFormatting sqref="K64">
    <cfRule type="cellIs" dxfId="2861" priority="958" operator="equal">
      <formula>"Nem Heineken Költség"</formula>
    </cfRule>
    <cfRule type="cellIs" dxfId="2860" priority="959" operator="equal">
      <formula>"Nincs Po"</formula>
    </cfRule>
  </conditionalFormatting>
  <conditionalFormatting sqref="I63">
    <cfRule type="cellIs" dxfId="2859" priority="950" operator="equal">
      <formula>"H"</formula>
    </cfRule>
  </conditionalFormatting>
  <conditionalFormatting sqref="J63">
    <cfRule type="cellIs" dxfId="2858" priority="946" operator="equal">
      <formula>"Nem Heineken Költség"</formula>
    </cfRule>
  </conditionalFormatting>
  <conditionalFormatting sqref="J63">
    <cfRule type="cellIs" dxfId="2857" priority="947" operator="equal">
      <formula>"Nincs Po"</formula>
    </cfRule>
  </conditionalFormatting>
  <conditionalFormatting sqref="K63">
    <cfRule type="cellIs" dxfId="2856" priority="943" operator="equal">
      <formula>"Nem Heineken Költség"</formula>
    </cfRule>
    <cfRule type="cellIs" dxfId="2855" priority="944" operator="equal">
      <formula>"Nincs Po"</formula>
    </cfRule>
  </conditionalFormatting>
  <conditionalFormatting sqref="I62">
    <cfRule type="cellIs" dxfId="2854" priority="935" operator="equal">
      <formula>"H"</formula>
    </cfRule>
  </conditionalFormatting>
  <conditionalFormatting sqref="J62">
    <cfRule type="cellIs" dxfId="2853" priority="931" operator="equal">
      <formula>"Nem Heineken Költség"</formula>
    </cfRule>
  </conditionalFormatting>
  <conditionalFormatting sqref="J62">
    <cfRule type="cellIs" dxfId="2852" priority="932" operator="equal">
      <formula>"Nincs Po"</formula>
    </cfRule>
  </conditionalFormatting>
  <conditionalFormatting sqref="K62">
    <cfRule type="cellIs" dxfId="2851" priority="928" operator="equal">
      <formula>"Nem Heineken Költség"</formula>
    </cfRule>
    <cfRule type="cellIs" dxfId="2850" priority="929" operator="equal">
      <formula>"Nincs Po"</formula>
    </cfRule>
  </conditionalFormatting>
  <conditionalFormatting sqref="I61">
    <cfRule type="cellIs" dxfId="2849" priority="920" operator="equal">
      <formula>"H"</formula>
    </cfRule>
  </conditionalFormatting>
  <conditionalFormatting sqref="J61">
    <cfRule type="cellIs" dxfId="2848" priority="916" operator="equal">
      <formula>"Nem Heineken Költség"</formula>
    </cfRule>
  </conditionalFormatting>
  <conditionalFormatting sqref="J61">
    <cfRule type="cellIs" dxfId="2847" priority="917" operator="equal">
      <formula>"Nincs Po"</formula>
    </cfRule>
  </conditionalFormatting>
  <conditionalFormatting sqref="K61">
    <cfRule type="cellIs" dxfId="2846" priority="913" operator="equal">
      <formula>"Nem Heineken Költség"</formula>
    </cfRule>
    <cfRule type="cellIs" dxfId="2845" priority="914" operator="equal">
      <formula>"Nincs Po"</formula>
    </cfRule>
  </conditionalFormatting>
  <conditionalFormatting sqref="J60">
    <cfRule type="cellIs" dxfId="2844" priority="901" operator="equal">
      <formula>"Nem Heineken Költség"</formula>
    </cfRule>
  </conditionalFormatting>
  <conditionalFormatting sqref="J60">
    <cfRule type="cellIs" dxfId="2843" priority="902" operator="equal">
      <formula>"Nincs Po"</formula>
    </cfRule>
  </conditionalFormatting>
  <conditionalFormatting sqref="K60">
    <cfRule type="cellIs" dxfId="2842" priority="898" operator="equal">
      <formula>"Nem Heineken Költség"</formula>
    </cfRule>
    <cfRule type="cellIs" dxfId="2841" priority="899" operator="equal">
      <formula>"Nincs Po"</formula>
    </cfRule>
  </conditionalFormatting>
  <conditionalFormatting sqref="J59">
    <cfRule type="cellIs" dxfId="2840" priority="886" operator="equal">
      <formula>"Nem Heineken Költség"</formula>
    </cfRule>
  </conditionalFormatting>
  <conditionalFormatting sqref="J59">
    <cfRule type="cellIs" dxfId="2839" priority="887" operator="equal">
      <formula>"Nincs Po"</formula>
    </cfRule>
  </conditionalFormatting>
  <conditionalFormatting sqref="K59">
    <cfRule type="cellIs" dxfId="2838" priority="883" operator="equal">
      <formula>"Nem Heineken Költség"</formula>
    </cfRule>
    <cfRule type="cellIs" dxfId="2837" priority="884" operator="equal">
      <formula>"Nincs Po"</formula>
    </cfRule>
  </conditionalFormatting>
  <conditionalFormatting sqref="J58">
    <cfRule type="cellIs" dxfId="2836" priority="871" operator="equal">
      <formula>"Nem Heineken Költség"</formula>
    </cfRule>
  </conditionalFormatting>
  <conditionalFormatting sqref="J58">
    <cfRule type="cellIs" dxfId="2835" priority="872" operator="equal">
      <formula>"Nincs Po"</formula>
    </cfRule>
  </conditionalFormatting>
  <conditionalFormatting sqref="K58">
    <cfRule type="cellIs" dxfId="2834" priority="868" operator="equal">
      <formula>"Nem Heineken Költség"</formula>
    </cfRule>
    <cfRule type="cellIs" dxfId="2833" priority="869" operator="equal">
      <formula>"Nincs Po"</formula>
    </cfRule>
  </conditionalFormatting>
  <conditionalFormatting sqref="I57:I60">
    <cfRule type="cellIs" dxfId="2832" priority="860" operator="equal">
      <formula>"H"</formula>
    </cfRule>
  </conditionalFormatting>
  <conditionalFormatting sqref="J57">
    <cfRule type="cellIs" dxfId="2831" priority="856" operator="equal">
      <formula>"Nem Heineken Költség"</formula>
    </cfRule>
  </conditionalFormatting>
  <conditionalFormatting sqref="J57">
    <cfRule type="cellIs" dxfId="2830" priority="857" operator="equal">
      <formula>"Nincs Po"</formula>
    </cfRule>
  </conditionalFormatting>
  <conditionalFormatting sqref="K57">
    <cfRule type="cellIs" dxfId="2829" priority="853" operator="equal">
      <formula>"Nem Heineken Költség"</formula>
    </cfRule>
    <cfRule type="cellIs" dxfId="2828" priority="854" operator="equal">
      <formula>"Nincs Po"</formula>
    </cfRule>
  </conditionalFormatting>
  <conditionalFormatting sqref="I56">
    <cfRule type="cellIs" dxfId="2827" priority="845" operator="equal">
      <formula>"H"</formula>
    </cfRule>
  </conditionalFormatting>
  <conditionalFormatting sqref="J56">
    <cfRule type="cellIs" dxfId="2826" priority="841" operator="equal">
      <formula>"Nem Heineken Költség"</formula>
    </cfRule>
  </conditionalFormatting>
  <conditionalFormatting sqref="J56">
    <cfRule type="cellIs" dxfId="2825" priority="842" operator="equal">
      <formula>"Nincs Po"</formula>
    </cfRule>
  </conditionalFormatting>
  <conditionalFormatting sqref="K56">
    <cfRule type="cellIs" dxfId="2824" priority="838" operator="equal">
      <formula>"Nem Heineken Költség"</formula>
    </cfRule>
    <cfRule type="cellIs" dxfId="2823" priority="839" operator="equal">
      <formula>"Nincs Po"</formula>
    </cfRule>
  </conditionalFormatting>
  <conditionalFormatting sqref="I55">
    <cfRule type="cellIs" dxfId="2822" priority="830" operator="equal">
      <formula>"H"</formula>
    </cfRule>
  </conditionalFormatting>
  <conditionalFormatting sqref="J55">
    <cfRule type="cellIs" dxfId="2821" priority="826" operator="equal">
      <formula>"Nem Heineken Költség"</formula>
    </cfRule>
  </conditionalFormatting>
  <conditionalFormatting sqref="J55">
    <cfRule type="cellIs" dxfId="2820" priority="827" operator="equal">
      <formula>"Nincs Po"</formula>
    </cfRule>
  </conditionalFormatting>
  <conditionalFormatting sqref="K55">
    <cfRule type="cellIs" dxfId="2819" priority="823" operator="equal">
      <formula>"Nem Heineken Költség"</formula>
    </cfRule>
    <cfRule type="cellIs" dxfId="2818" priority="824" operator="equal">
      <formula>"Nincs Po"</formula>
    </cfRule>
  </conditionalFormatting>
  <conditionalFormatting sqref="I54">
    <cfRule type="cellIs" dxfId="2817" priority="815" operator="equal">
      <formula>"H"</formula>
    </cfRule>
  </conditionalFormatting>
  <conditionalFormatting sqref="J54">
    <cfRule type="cellIs" dxfId="2816" priority="811" operator="equal">
      <formula>"Nem Heineken Költség"</formula>
    </cfRule>
  </conditionalFormatting>
  <conditionalFormatting sqref="J54">
    <cfRule type="cellIs" dxfId="2815" priority="812" operator="equal">
      <formula>"Nincs Po"</formula>
    </cfRule>
  </conditionalFormatting>
  <conditionalFormatting sqref="K54">
    <cfRule type="cellIs" dxfId="2814" priority="808" operator="equal">
      <formula>"Nem Heineken Költség"</formula>
    </cfRule>
    <cfRule type="cellIs" dxfId="2813" priority="809" operator="equal">
      <formula>"Nincs Po"</formula>
    </cfRule>
  </conditionalFormatting>
  <conditionalFormatting sqref="I53">
    <cfRule type="cellIs" dxfId="2812" priority="800" operator="equal">
      <formula>"H"</formula>
    </cfRule>
  </conditionalFormatting>
  <conditionalFormatting sqref="J53">
    <cfRule type="cellIs" dxfId="2811" priority="796" operator="equal">
      <formula>"Nem Heineken Költség"</formula>
    </cfRule>
  </conditionalFormatting>
  <conditionalFormatting sqref="J53">
    <cfRule type="cellIs" dxfId="2810" priority="797" operator="equal">
      <formula>"Nincs Po"</formula>
    </cfRule>
  </conditionalFormatting>
  <conditionalFormatting sqref="K53">
    <cfRule type="cellIs" dxfId="2809" priority="793" operator="equal">
      <formula>"Nem Heineken Költség"</formula>
    </cfRule>
    <cfRule type="cellIs" dxfId="2808" priority="794" operator="equal">
      <formula>"Nincs Po"</formula>
    </cfRule>
  </conditionalFormatting>
  <conditionalFormatting sqref="I52">
    <cfRule type="cellIs" dxfId="2807" priority="785" operator="equal">
      <formula>"H"</formula>
    </cfRule>
  </conditionalFormatting>
  <conditionalFormatting sqref="J52">
    <cfRule type="cellIs" dxfId="2806" priority="781" operator="equal">
      <formula>"Nem Heineken Költség"</formula>
    </cfRule>
  </conditionalFormatting>
  <conditionalFormatting sqref="J52">
    <cfRule type="cellIs" dxfId="2805" priority="782" operator="equal">
      <formula>"Nincs Po"</formula>
    </cfRule>
  </conditionalFormatting>
  <conditionalFormatting sqref="K52">
    <cfRule type="cellIs" dxfId="2804" priority="778" operator="equal">
      <formula>"Nem Heineken Költség"</formula>
    </cfRule>
    <cfRule type="cellIs" dxfId="2803" priority="779" operator="equal">
      <formula>"Nincs Po"</formula>
    </cfRule>
  </conditionalFormatting>
  <conditionalFormatting sqref="I51">
    <cfRule type="cellIs" dxfId="2802" priority="770" operator="equal">
      <formula>"H"</formula>
    </cfRule>
  </conditionalFormatting>
  <conditionalFormatting sqref="J51">
    <cfRule type="cellIs" dxfId="2801" priority="766" operator="equal">
      <formula>"Nem Heineken Költség"</formula>
    </cfRule>
  </conditionalFormatting>
  <conditionalFormatting sqref="J51">
    <cfRule type="cellIs" dxfId="2800" priority="767" operator="equal">
      <formula>"Nincs Po"</formula>
    </cfRule>
  </conditionalFormatting>
  <conditionalFormatting sqref="K51">
    <cfRule type="cellIs" dxfId="2799" priority="763" operator="equal">
      <formula>"Nem Heineken Költség"</formula>
    </cfRule>
    <cfRule type="cellIs" dxfId="2798" priority="764" operator="equal">
      <formula>"Nincs Po"</formula>
    </cfRule>
  </conditionalFormatting>
  <conditionalFormatting sqref="I50">
    <cfRule type="cellIs" dxfId="2797" priority="755" operator="equal">
      <formula>"H"</formula>
    </cfRule>
  </conditionalFormatting>
  <conditionalFormatting sqref="J50">
    <cfRule type="cellIs" dxfId="2796" priority="751" operator="equal">
      <formula>"Nem Heineken Költség"</formula>
    </cfRule>
  </conditionalFormatting>
  <conditionalFormatting sqref="J50">
    <cfRule type="cellIs" dxfId="2795" priority="752" operator="equal">
      <formula>"Nincs Po"</formula>
    </cfRule>
  </conditionalFormatting>
  <conditionalFormatting sqref="K50">
    <cfRule type="cellIs" dxfId="2794" priority="748" operator="equal">
      <formula>"Nem Heineken Költség"</formula>
    </cfRule>
    <cfRule type="cellIs" dxfId="2793" priority="749" operator="equal">
      <formula>"Nincs Po"</formula>
    </cfRule>
  </conditionalFormatting>
  <conditionalFormatting sqref="I49">
    <cfRule type="cellIs" dxfId="2792" priority="740" operator="equal">
      <formula>"H"</formula>
    </cfRule>
  </conditionalFormatting>
  <conditionalFormatting sqref="J49">
    <cfRule type="cellIs" dxfId="2791" priority="736" operator="equal">
      <formula>"Nem Heineken Költség"</formula>
    </cfRule>
  </conditionalFormatting>
  <conditionalFormatting sqref="J49">
    <cfRule type="cellIs" dxfId="2790" priority="737" operator="equal">
      <formula>"Nincs Po"</formula>
    </cfRule>
  </conditionalFormatting>
  <conditionalFormatting sqref="K49">
    <cfRule type="cellIs" dxfId="2789" priority="733" operator="equal">
      <formula>"Nem Heineken Költség"</formula>
    </cfRule>
    <cfRule type="cellIs" dxfId="2788" priority="734" operator="equal">
      <formula>"Nincs Po"</formula>
    </cfRule>
  </conditionalFormatting>
  <conditionalFormatting sqref="I48">
    <cfRule type="cellIs" dxfId="2787" priority="725" operator="equal">
      <formula>"H"</formula>
    </cfRule>
  </conditionalFormatting>
  <conditionalFormatting sqref="J48">
    <cfRule type="cellIs" dxfId="2786" priority="721" operator="equal">
      <formula>"Nem Heineken Költség"</formula>
    </cfRule>
  </conditionalFormatting>
  <conditionalFormatting sqref="J48">
    <cfRule type="cellIs" dxfId="2785" priority="722" operator="equal">
      <formula>"Nincs Po"</formula>
    </cfRule>
  </conditionalFormatting>
  <conditionalFormatting sqref="K48">
    <cfRule type="cellIs" dxfId="2784" priority="718" operator="equal">
      <formula>"Nem Heineken Költség"</formula>
    </cfRule>
    <cfRule type="cellIs" dxfId="2783" priority="719" operator="equal">
      <formula>"Nincs Po"</formula>
    </cfRule>
  </conditionalFormatting>
  <conditionalFormatting sqref="D4:D48">
    <cfRule type="cellIs" dxfId="2782" priority="715" operator="equal">
      <formula>"Folyamatban"</formula>
    </cfRule>
    <cfRule type="cellIs" dxfId="2781" priority="716" operator="equal">
      <formula>"Kész"</formula>
    </cfRule>
  </conditionalFormatting>
  <conditionalFormatting sqref="I47">
    <cfRule type="cellIs" dxfId="2780" priority="708" operator="equal">
      <formula>"H"</formula>
    </cfRule>
  </conditionalFormatting>
  <conditionalFormatting sqref="J47">
    <cfRule type="cellIs" dxfId="2779" priority="704" operator="equal">
      <formula>"Nem Heineken Költség"</formula>
    </cfRule>
  </conditionalFormatting>
  <conditionalFormatting sqref="J47">
    <cfRule type="cellIs" dxfId="2778" priority="705" operator="equal">
      <formula>"Nincs Po"</formula>
    </cfRule>
  </conditionalFormatting>
  <conditionalFormatting sqref="K47">
    <cfRule type="cellIs" dxfId="2777" priority="701" operator="equal">
      <formula>"Nem Heineken Költség"</formula>
    </cfRule>
    <cfRule type="cellIs" dxfId="2776" priority="702" operator="equal">
      <formula>"Nincs Po"</formula>
    </cfRule>
  </conditionalFormatting>
  <conditionalFormatting sqref="I46">
    <cfRule type="cellIs" dxfId="2775" priority="693" operator="equal">
      <formula>"H"</formula>
    </cfRule>
  </conditionalFormatting>
  <conditionalFormatting sqref="J46">
    <cfRule type="cellIs" dxfId="2774" priority="689" operator="equal">
      <formula>"Nem Heineken Költség"</formula>
    </cfRule>
  </conditionalFormatting>
  <conditionalFormatting sqref="J46">
    <cfRule type="cellIs" dxfId="2773" priority="690" operator="equal">
      <formula>"Nincs Po"</formula>
    </cfRule>
  </conditionalFormatting>
  <conditionalFormatting sqref="K46">
    <cfRule type="cellIs" dxfId="2772" priority="686" operator="equal">
      <formula>"Nem Heineken Költség"</formula>
    </cfRule>
    <cfRule type="cellIs" dxfId="2771" priority="687" operator="equal">
      <formula>"Nincs Po"</formula>
    </cfRule>
  </conditionalFormatting>
  <conditionalFormatting sqref="I45">
    <cfRule type="cellIs" dxfId="2770" priority="678" operator="equal">
      <formula>"H"</formula>
    </cfRule>
  </conditionalFormatting>
  <conditionalFormatting sqref="J45">
    <cfRule type="cellIs" dxfId="2769" priority="674" operator="equal">
      <formula>"Nem Heineken Költség"</formula>
    </cfRule>
  </conditionalFormatting>
  <conditionalFormatting sqref="J45">
    <cfRule type="cellIs" dxfId="2768" priority="675" operator="equal">
      <formula>"Nincs Po"</formula>
    </cfRule>
  </conditionalFormatting>
  <conditionalFormatting sqref="K45">
    <cfRule type="cellIs" dxfId="2767" priority="671" operator="equal">
      <formula>"Nem Heineken Költség"</formula>
    </cfRule>
    <cfRule type="cellIs" dxfId="2766" priority="672" operator="equal">
      <formula>"Nincs Po"</formula>
    </cfRule>
  </conditionalFormatting>
  <conditionalFormatting sqref="I44">
    <cfRule type="cellIs" dxfId="2765" priority="663" operator="equal">
      <formula>"H"</formula>
    </cfRule>
  </conditionalFormatting>
  <conditionalFormatting sqref="J44">
    <cfRule type="cellIs" dxfId="2764" priority="659" operator="equal">
      <formula>"Nem Heineken Költség"</formula>
    </cfRule>
  </conditionalFormatting>
  <conditionalFormatting sqref="J44">
    <cfRule type="cellIs" dxfId="2763" priority="660" operator="equal">
      <formula>"Nincs Po"</formula>
    </cfRule>
  </conditionalFormatting>
  <conditionalFormatting sqref="K44">
    <cfRule type="cellIs" dxfId="2762" priority="656" operator="equal">
      <formula>"Nem Heineken Költség"</formula>
    </cfRule>
    <cfRule type="cellIs" dxfId="2761" priority="657" operator="equal">
      <formula>"Nincs Po"</formula>
    </cfRule>
  </conditionalFormatting>
  <conditionalFormatting sqref="I43">
    <cfRule type="cellIs" dxfId="2760" priority="648" operator="equal">
      <formula>"H"</formula>
    </cfRule>
  </conditionalFormatting>
  <conditionalFormatting sqref="J43">
    <cfRule type="cellIs" dxfId="2759" priority="644" operator="equal">
      <formula>"Nem Heineken Költség"</formula>
    </cfRule>
  </conditionalFormatting>
  <conditionalFormatting sqref="J43">
    <cfRule type="cellIs" dxfId="2758" priority="645" operator="equal">
      <formula>"Nincs Po"</formula>
    </cfRule>
  </conditionalFormatting>
  <conditionalFormatting sqref="K43">
    <cfRule type="cellIs" dxfId="2757" priority="641" operator="equal">
      <formula>"Nem Heineken Költség"</formula>
    </cfRule>
    <cfRule type="cellIs" dxfId="2756" priority="642" operator="equal">
      <formula>"Nincs Po"</formula>
    </cfRule>
  </conditionalFormatting>
  <conditionalFormatting sqref="I42">
    <cfRule type="cellIs" dxfId="2755" priority="633" operator="equal">
      <formula>"H"</formula>
    </cfRule>
  </conditionalFormatting>
  <conditionalFormatting sqref="J42">
    <cfRule type="cellIs" dxfId="2754" priority="629" operator="equal">
      <formula>"Nem Heineken Költség"</formula>
    </cfRule>
  </conditionalFormatting>
  <conditionalFormatting sqref="J42">
    <cfRule type="cellIs" dxfId="2753" priority="630" operator="equal">
      <formula>"Nincs Po"</formula>
    </cfRule>
  </conditionalFormatting>
  <conditionalFormatting sqref="K42">
    <cfRule type="cellIs" dxfId="2752" priority="626" operator="equal">
      <formula>"Nem Heineken Költség"</formula>
    </cfRule>
    <cfRule type="cellIs" dxfId="2751" priority="627" operator="equal">
      <formula>"Nincs Po"</formula>
    </cfRule>
  </conditionalFormatting>
  <conditionalFormatting sqref="I41">
    <cfRule type="cellIs" dxfId="2750" priority="618" operator="equal">
      <formula>"H"</formula>
    </cfRule>
  </conditionalFormatting>
  <conditionalFormatting sqref="J41">
    <cfRule type="cellIs" dxfId="2749" priority="614" operator="equal">
      <formula>"Nem Heineken Költség"</formula>
    </cfRule>
  </conditionalFormatting>
  <conditionalFormatting sqref="J41">
    <cfRule type="cellIs" dxfId="2748" priority="615" operator="equal">
      <formula>"Nincs Po"</formula>
    </cfRule>
  </conditionalFormatting>
  <conditionalFormatting sqref="K41">
    <cfRule type="cellIs" dxfId="2747" priority="611" operator="equal">
      <formula>"Nem Heineken Költség"</formula>
    </cfRule>
    <cfRule type="cellIs" dxfId="2746" priority="612" operator="equal">
      <formula>"Nincs Po"</formula>
    </cfRule>
  </conditionalFormatting>
  <conditionalFormatting sqref="I40">
    <cfRule type="cellIs" dxfId="2745" priority="603" operator="equal">
      <formula>"H"</formula>
    </cfRule>
  </conditionalFormatting>
  <conditionalFormatting sqref="J40">
    <cfRule type="cellIs" dxfId="2744" priority="599" operator="equal">
      <formula>"Nem Heineken Költség"</formula>
    </cfRule>
  </conditionalFormatting>
  <conditionalFormatting sqref="J40">
    <cfRule type="cellIs" dxfId="2743" priority="600" operator="equal">
      <formula>"Nincs Po"</formula>
    </cfRule>
  </conditionalFormatting>
  <conditionalFormatting sqref="K40">
    <cfRule type="cellIs" dxfId="2742" priority="596" operator="equal">
      <formula>"Nem Heineken Költség"</formula>
    </cfRule>
    <cfRule type="cellIs" dxfId="2741" priority="597" operator="equal">
      <formula>"Nincs Po"</formula>
    </cfRule>
  </conditionalFormatting>
  <conditionalFormatting sqref="I39">
    <cfRule type="cellIs" dxfId="2740" priority="588" operator="equal">
      <formula>"H"</formula>
    </cfRule>
  </conditionalFormatting>
  <conditionalFormatting sqref="J39">
    <cfRule type="cellIs" dxfId="2739" priority="584" operator="equal">
      <formula>"Nem Heineken Költség"</formula>
    </cfRule>
  </conditionalFormatting>
  <conditionalFormatting sqref="J39">
    <cfRule type="cellIs" dxfId="2738" priority="585" operator="equal">
      <formula>"Nincs Po"</formula>
    </cfRule>
  </conditionalFormatting>
  <conditionalFormatting sqref="K39">
    <cfRule type="cellIs" dxfId="2737" priority="581" operator="equal">
      <formula>"Nem Heineken Költség"</formula>
    </cfRule>
    <cfRule type="cellIs" dxfId="2736" priority="582" operator="equal">
      <formula>"Nincs Po"</formula>
    </cfRule>
  </conditionalFormatting>
  <conditionalFormatting sqref="I38">
    <cfRule type="cellIs" dxfId="2735" priority="573" operator="equal">
      <formula>"H"</formula>
    </cfRule>
  </conditionalFormatting>
  <conditionalFormatting sqref="J38">
    <cfRule type="cellIs" dxfId="2734" priority="569" operator="equal">
      <formula>"Nem Heineken Költség"</formula>
    </cfRule>
  </conditionalFormatting>
  <conditionalFormatting sqref="J38">
    <cfRule type="cellIs" dxfId="2733" priority="570" operator="equal">
      <formula>"Nincs Po"</formula>
    </cfRule>
  </conditionalFormatting>
  <conditionalFormatting sqref="K38">
    <cfRule type="cellIs" dxfId="2732" priority="566" operator="equal">
      <formula>"Nem Heineken Költség"</formula>
    </cfRule>
    <cfRule type="cellIs" dxfId="2731" priority="567" operator="equal">
      <formula>"Nincs Po"</formula>
    </cfRule>
  </conditionalFormatting>
  <conditionalFormatting sqref="I37">
    <cfRule type="cellIs" dxfId="2730" priority="558" operator="equal">
      <formula>"H"</formula>
    </cfRule>
  </conditionalFormatting>
  <conditionalFormatting sqref="J37">
    <cfRule type="cellIs" dxfId="2729" priority="554" operator="equal">
      <formula>"Nem Heineken Költség"</formula>
    </cfRule>
  </conditionalFormatting>
  <conditionalFormatting sqref="J37">
    <cfRule type="cellIs" dxfId="2728" priority="555" operator="equal">
      <formula>"Nincs Po"</formula>
    </cfRule>
  </conditionalFormatting>
  <conditionalFormatting sqref="K37">
    <cfRule type="cellIs" dxfId="2727" priority="551" operator="equal">
      <formula>"Nem Heineken Költség"</formula>
    </cfRule>
    <cfRule type="cellIs" dxfId="2726" priority="552" operator="equal">
      <formula>"Nincs Po"</formula>
    </cfRule>
  </conditionalFormatting>
  <conditionalFormatting sqref="I36">
    <cfRule type="cellIs" dxfId="2725" priority="543" operator="equal">
      <formula>"H"</formula>
    </cfRule>
  </conditionalFormatting>
  <conditionalFormatting sqref="J36">
    <cfRule type="cellIs" dxfId="2724" priority="539" operator="equal">
      <formula>"Nem Heineken Költség"</formula>
    </cfRule>
  </conditionalFormatting>
  <conditionalFormatting sqref="J36">
    <cfRule type="cellIs" dxfId="2723" priority="540" operator="equal">
      <formula>"Nincs Po"</formula>
    </cfRule>
  </conditionalFormatting>
  <conditionalFormatting sqref="K36">
    <cfRule type="cellIs" dxfId="2722" priority="536" operator="equal">
      <formula>"Nem Heineken Költség"</formula>
    </cfRule>
    <cfRule type="cellIs" dxfId="2721" priority="537" operator="equal">
      <formula>"Nincs Po"</formula>
    </cfRule>
  </conditionalFormatting>
  <conditionalFormatting sqref="I35">
    <cfRule type="cellIs" dxfId="2720" priority="528" operator="equal">
      <formula>"H"</formula>
    </cfRule>
  </conditionalFormatting>
  <conditionalFormatting sqref="J35">
    <cfRule type="cellIs" dxfId="2719" priority="524" operator="equal">
      <formula>"Nem Heineken Költség"</formula>
    </cfRule>
  </conditionalFormatting>
  <conditionalFormatting sqref="J35">
    <cfRule type="cellIs" dxfId="2718" priority="525" operator="equal">
      <formula>"Nincs Po"</formula>
    </cfRule>
  </conditionalFormatting>
  <conditionalFormatting sqref="K35">
    <cfRule type="cellIs" dxfId="2717" priority="521" operator="equal">
      <formula>"Nem Heineken Költség"</formula>
    </cfRule>
    <cfRule type="cellIs" dxfId="2716" priority="522" operator="equal">
      <formula>"Nincs Po"</formula>
    </cfRule>
  </conditionalFormatting>
  <conditionalFormatting sqref="I34">
    <cfRule type="cellIs" dxfId="2715" priority="513" operator="equal">
      <formula>"H"</formula>
    </cfRule>
  </conditionalFormatting>
  <conditionalFormatting sqref="J34">
    <cfRule type="cellIs" dxfId="2714" priority="509" operator="equal">
      <formula>"Nem Heineken Költség"</formula>
    </cfRule>
  </conditionalFormatting>
  <conditionalFormatting sqref="J34">
    <cfRule type="cellIs" dxfId="2713" priority="510" operator="equal">
      <formula>"Nincs Po"</formula>
    </cfRule>
  </conditionalFormatting>
  <conditionalFormatting sqref="K34">
    <cfRule type="cellIs" dxfId="2712" priority="506" operator="equal">
      <formula>"Nem Heineken Költség"</formula>
    </cfRule>
    <cfRule type="cellIs" dxfId="2711" priority="507" operator="equal">
      <formula>"Nincs Po"</formula>
    </cfRule>
  </conditionalFormatting>
  <conditionalFormatting sqref="I33">
    <cfRule type="cellIs" dxfId="2710" priority="498" operator="equal">
      <formula>"H"</formula>
    </cfRule>
  </conditionalFormatting>
  <conditionalFormatting sqref="J33">
    <cfRule type="cellIs" dxfId="2709" priority="494" operator="equal">
      <formula>"Nem Heineken Költség"</formula>
    </cfRule>
  </conditionalFormatting>
  <conditionalFormatting sqref="J33">
    <cfRule type="cellIs" dxfId="2708" priority="495" operator="equal">
      <formula>"Nincs Po"</formula>
    </cfRule>
  </conditionalFormatting>
  <conditionalFormatting sqref="K33">
    <cfRule type="cellIs" dxfId="2707" priority="491" operator="equal">
      <formula>"Nem Heineken Költség"</formula>
    </cfRule>
    <cfRule type="cellIs" dxfId="2706" priority="492" operator="equal">
      <formula>"Nincs Po"</formula>
    </cfRule>
  </conditionalFormatting>
  <conditionalFormatting sqref="I32">
    <cfRule type="cellIs" dxfId="2705" priority="483" operator="equal">
      <formula>"H"</formula>
    </cfRule>
  </conditionalFormatting>
  <conditionalFormatting sqref="J32">
    <cfRule type="cellIs" dxfId="2704" priority="479" operator="equal">
      <formula>"Nem Heineken Költség"</formula>
    </cfRule>
  </conditionalFormatting>
  <conditionalFormatting sqref="J32">
    <cfRule type="cellIs" dxfId="2703" priority="480" operator="equal">
      <formula>"Nincs Po"</formula>
    </cfRule>
  </conditionalFormatting>
  <conditionalFormatting sqref="K32">
    <cfRule type="cellIs" dxfId="2702" priority="476" operator="equal">
      <formula>"Nem Heineken Költség"</formula>
    </cfRule>
    <cfRule type="cellIs" dxfId="2701" priority="477" operator="equal">
      <formula>"Nincs Po"</formula>
    </cfRule>
  </conditionalFormatting>
  <conditionalFormatting sqref="I31">
    <cfRule type="cellIs" dxfId="2700" priority="468" operator="equal">
      <formula>"H"</formula>
    </cfRule>
  </conditionalFormatting>
  <conditionalFormatting sqref="J31">
    <cfRule type="cellIs" dxfId="2699" priority="464" operator="equal">
      <formula>"Nem Heineken Költség"</formula>
    </cfRule>
  </conditionalFormatting>
  <conditionalFormatting sqref="J31">
    <cfRule type="cellIs" dxfId="2698" priority="465" operator="equal">
      <formula>"Nincs Po"</formula>
    </cfRule>
  </conditionalFormatting>
  <conditionalFormatting sqref="K31">
    <cfRule type="cellIs" dxfId="2697" priority="461" operator="equal">
      <formula>"Nem Heineken Költség"</formula>
    </cfRule>
    <cfRule type="cellIs" dxfId="2696" priority="462" operator="equal">
      <formula>"Nincs Po"</formula>
    </cfRule>
  </conditionalFormatting>
  <conditionalFormatting sqref="I30">
    <cfRule type="cellIs" dxfId="2695" priority="453" operator="equal">
      <formula>"H"</formula>
    </cfRule>
  </conditionalFormatting>
  <conditionalFormatting sqref="J30">
    <cfRule type="cellIs" dxfId="2694" priority="449" operator="equal">
      <formula>"Nem Heineken Költség"</formula>
    </cfRule>
  </conditionalFormatting>
  <conditionalFormatting sqref="J30">
    <cfRule type="cellIs" dxfId="2693" priority="450" operator="equal">
      <formula>"Nincs Po"</formula>
    </cfRule>
  </conditionalFormatting>
  <conditionalFormatting sqref="K30">
    <cfRule type="cellIs" dxfId="2692" priority="446" operator="equal">
      <formula>"Nem Heineken Költség"</formula>
    </cfRule>
    <cfRule type="cellIs" dxfId="2691" priority="447" operator="equal">
      <formula>"Nincs Po"</formula>
    </cfRule>
  </conditionalFormatting>
  <conditionalFormatting sqref="I29">
    <cfRule type="cellIs" dxfId="2690" priority="438" operator="equal">
      <formula>"H"</formula>
    </cfRule>
  </conditionalFormatting>
  <conditionalFormatting sqref="J29">
    <cfRule type="cellIs" dxfId="2689" priority="434" operator="equal">
      <formula>"Nem Heineken Költség"</formula>
    </cfRule>
  </conditionalFormatting>
  <conditionalFormatting sqref="J29">
    <cfRule type="cellIs" dxfId="2688" priority="435" operator="equal">
      <formula>"Nincs Po"</formula>
    </cfRule>
  </conditionalFormatting>
  <conditionalFormatting sqref="K29">
    <cfRule type="cellIs" dxfId="2687" priority="431" operator="equal">
      <formula>"Nem Heineken Költség"</formula>
    </cfRule>
    <cfRule type="cellIs" dxfId="2686" priority="432" operator="equal">
      <formula>"Nincs Po"</formula>
    </cfRule>
  </conditionalFormatting>
  <conditionalFormatting sqref="I28">
    <cfRule type="cellIs" dxfId="2685" priority="423" operator="equal">
      <formula>"H"</formula>
    </cfRule>
  </conditionalFormatting>
  <conditionalFormatting sqref="J28">
    <cfRule type="cellIs" dxfId="2684" priority="419" operator="equal">
      <formula>"Nem Heineken Költség"</formula>
    </cfRule>
  </conditionalFormatting>
  <conditionalFormatting sqref="J28">
    <cfRule type="cellIs" dxfId="2683" priority="420" operator="equal">
      <formula>"Nincs Po"</formula>
    </cfRule>
  </conditionalFormatting>
  <conditionalFormatting sqref="K28">
    <cfRule type="cellIs" dxfId="2682" priority="416" operator="equal">
      <formula>"Nem Heineken Költség"</formula>
    </cfRule>
    <cfRule type="cellIs" dxfId="2681" priority="417" operator="equal">
      <formula>"Nincs Po"</formula>
    </cfRule>
  </conditionalFormatting>
  <conditionalFormatting sqref="I27">
    <cfRule type="cellIs" dxfId="2680" priority="408" operator="equal">
      <formula>"H"</formula>
    </cfRule>
  </conditionalFormatting>
  <conditionalFormatting sqref="J27">
    <cfRule type="cellIs" dxfId="2679" priority="404" operator="equal">
      <formula>"Nem Heineken Költség"</formula>
    </cfRule>
  </conditionalFormatting>
  <conditionalFormatting sqref="J27">
    <cfRule type="cellIs" dxfId="2678" priority="405" operator="equal">
      <formula>"Nincs Po"</formula>
    </cfRule>
  </conditionalFormatting>
  <conditionalFormatting sqref="K27">
    <cfRule type="cellIs" dxfId="2677" priority="401" operator="equal">
      <formula>"Nem Heineken Költség"</formula>
    </cfRule>
    <cfRule type="cellIs" dxfId="2676" priority="402" operator="equal">
      <formula>"Nincs Po"</formula>
    </cfRule>
  </conditionalFormatting>
  <conditionalFormatting sqref="I26">
    <cfRule type="cellIs" dxfId="2675" priority="393" operator="equal">
      <formula>"H"</formula>
    </cfRule>
  </conditionalFormatting>
  <conditionalFormatting sqref="J26">
    <cfRule type="cellIs" dxfId="2674" priority="389" operator="equal">
      <formula>"Nem Heineken Költség"</formula>
    </cfRule>
  </conditionalFormatting>
  <conditionalFormatting sqref="J26">
    <cfRule type="cellIs" dxfId="2673" priority="390" operator="equal">
      <formula>"Nincs Po"</formula>
    </cfRule>
  </conditionalFormatting>
  <conditionalFormatting sqref="K26">
    <cfRule type="cellIs" dxfId="2672" priority="386" operator="equal">
      <formula>"Nem Heineken Költség"</formula>
    </cfRule>
    <cfRule type="cellIs" dxfId="2671" priority="387" operator="equal">
      <formula>"Nincs Po"</formula>
    </cfRule>
  </conditionalFormatting>
  <conditionalFormatting sqref="I25">
    <cfRule type="cellIs" dxfId="2670" priority="378" operator="equal">
      <formula>"H"</formula>
    </cfRule>
  </conditionalFormatting>
  <conditionalFormatting sqref="J25">
    <cfRule type="cellIs" dxfId="2669" priority="374" operator="equal">
      <formula>"Nem Heineken Költség"</formula>
    </cfRule>
  </conditionalFormatting>
  <conditionalFormatting sqref="J25">
    <cfRule type="cellIs" dxfId="2668" priority="375" operator="equal">
      <formula>"Nincs Po"</formula>
    </cfRule>
  </conditionalFormatting>
  <conditionalFormatting sqref="K25">
    <cfRule type="cellIs" dxfId="2667" priority="371" operator="equal">
      <formula>"Nem Heineken Költség"</formula>
    </cfRule>
    <cfRule type="cellIs" dxfId="2666" priority="372" operator="equal">
      <formula>"Nincs Po"</formula>
    </cfRule>
  </conditionalFormatting>
  <conditionalFormatting sqref="I24">
    <cfRule type="cellIs" dxfId="2665" priority="363" operator="equal">
      <formula>"H"</formula>
    </cfRule>
  </conditionalFormatting>
  <conditionalFormatting sqref="J24">
    <cfRule type="cellIs" dxfId="2664" priority="359" operator="equal">
      <formula>"Nem Heineken Költség"</formula>
    </cfRule>
  </conditionalFormatting>
  <conditionalFormatting sqref="J24">
    <cfRule type="cellIs" dxfId="2663" priority="360" operator="equal">
      <formula>"Nincs Po"</formula>
    </cfRule>
  </conditionalFormatting>
  <conditionalFormatting sqref="K24">
    <cfRule type="cellIs" dxfId="2662" priority="356" operator="equal">
      <formula>"Nem Heineken Költség"</formula>
    </cfRule>
    <cfRule type="cellIs" dxfId="2661" priority="357" operator="equal">
      <formula>"Nincs Po"</formula>
    </cfRule>
  </conditionalFormatting>
  <conditionalFormatting sqref="I23">
    <cfRule type="cellIs" dxfId="2660" priority="348" operator="equal">
      <formula>"H"</formula>
    </cfRule>
  </conditionalFormatting>
  <conditionalFormatting sqref="J23">
    <cfRule type="cellIs" dxfId="2659" priority="344" operator="equal">
      <formula>"Nem Heineken Költség"</formula>
    </cfRule>
  </conditionalFormatting>
  <conditionalFormatting sqref="J23">
    <cfRule type="cellIs" dxfId="2658" priority="345" operator="equal">
      <formula>"Nincs Po"</formula>
    </cfRule>
  </conditionalFormatting>
  <conditionalFormatting sqref="K23">
    <cfRule type="cellIs" dxfId="2657" priority="341" operator="equal">
      <formula>"Nem Heineken Költség"</formula>
    </cfRule>
    <cfRule type="cellIs" dxfId="2656" priority="342" operator="equal">
      <formula>"Nincs Po"</formula>
    </cfRule>
  </conditionalFormatting>
  <conditionalFormatting sqref="I22">
    <cfRule type="cellIs" dxfId="2655" priority="333" operator="equal">
      <formula>"H"</formula>
    </cfRule>
  </conditionalFormatting>
  <conditionalFormatting sqref="J22">
    <cfRule type="cellIs" dxfId="2654" priority="329" operator="equal">
      <formula>"Nem Heineken Költség"</formula>
    </cfRule>
  </conditionalFormatting>
  <conditionalFormatting sqref="J22">
    <cfRule type="cellIs" dxfId="2653" priority="330" operator="equal">
      <formula>"Nincs Po"</formula>
    </cfRule>
  </conditionalFormatting>
  <conditionalFormatting sqref="K22">
    <cfRule type="cellIs" dxfId="2652" priority="326" operator="equal">
      <formula>"Nem Heineken Költség"</formula>
    </cfRule>
    <cfRule type="cellIs" dxfId="2651" priority="327" operator="equal">
      <formula>"Nincs Po"</formula>
    </cfRule>
  </conditionalFormatting>
  <conditionalFormatting sqref="I21">
    <cfRule type="cellIs" dxfId="2650" priority="318" operator="equal">
      <formula>"H"</formula>
    </cfRule>
  </conditionalFormatting>
  <conditionalFormatting sqref="J21">
    <cfRule type="cellIs" dxfId="2649" priority="314" operator="equal">
      <formula>"Nem Heineken Költség"</formula>
    </cfRule>
  </conditionalFormatting>
  <conditionalFormatting sqref="J21">
    <cfRule type="cellIs" dxfId="2648" priority="315" operator="equal">
      <formula>"Nincs Po"</formula>
    </cfRule>
  </conditionalFormatting>
  <conditionalFormatting sqref="K21">
    <cfRule type="cellIs" dxfId="2647" priority="311" operator="equal">
      <formula>"Nem Heineken Költség"</formula>
    </cfRule>
    <cfRule type="cellIs" dxfId="2646" priority="312" operator="equal">
      <formula>"Nincs Po"</formula>
    </cfRule>
  </conditionalFormatting>
  <conditionalFormatting sqref="I20">
    <cfRule type="cellIs" dxfId="2645" priority="303" operator="equal">
      <formula>"H"</formula>
    </cfRule>
  </conditionalFormatting>
  <conditionalFormatting sqref="J20">
    <cfRule type="cellIs" dxfId="2644" priority="299" operator="equal">
      <formula>"Nem Heineken Költség"</formula>
    </cfRule>
  </conditionalFormatting>
  <conditionalFormatting sqref="J20">
    <cfRule type="cellIs" dxfId="2643" priority="300" operator="equal">
      <formula>"Nincs Po"</formula>
    </cfRule>
  </conditionalFormatting>
  <conditionalFormatting sqref="K20">
    <cfRule type="cellIs" dxfId="2642" priority="296" operator="equal">
      <formula>"Nem Heineken Költség"</formula>
    </cfRule>
    <cfRule type="cellIs" dxfId="2641" priority="297" operator="equal">
      <formula>"Nincs Po"</formula>
    </cfRule>
  </conditionalFormatting>
  <conditionalFormatting sqref="I19">
    <cfRule type="cellIs" dxfId="2640" priority="288" operator="equal">
      <formula>"H"</formula>
    </cfRule>
  </conditionalFormatting>
  <conditionalFormatting sqref="J19">
    <cfRule type="cellIs" dxfId="2639" priority="284" operator="equal">
      <formula>"Nem Heineken Költség"</formula>
    </cfRule>
  </conditionalFormatting>
  <conditionalFormatting sqref="J19">
    <cfRule type="cellIs" dxfId="2638" priority="285" operator="equal">
      <formula>"Nincs Po"</formula>
    </cfRule>
  </conditionalFormatting>
  <conditionalFormatting sqref="K19">
    <cfRule type="cellIs" dxfId="2637" priority="281" operator="equal">
      <formula>"Nem Heineken Költség"</formula>
    </cfRule>
    <cfRule type="cellIs" dxfId="2636" priority="282" operator="equal">
      <formula>"Nincs Po"</formula>
    </cfRule>
  </conditionalFormatting>
  <conditionalFormatting sqref="I18">
    <cfRule type="cellIs" dxfId="2635" priority="273" operator="equal">
      <formula>"H"</formula>
    </cfRule>
  </conditionalFormatting>
  <conditionalFormatting sqref="J18">
    <cfRule type="cellIs" dxfId="2634" priority="269" operator="equal">
      <formula>"Nem Heineken Költség"</formula>
    </cfRule>
  </conditionalFormatting>
  <conditionalFormatting sqref="J18">
    <cfRule type="cellIs" dxfId="2633" priority="270" operator="equal">
      <formula>"Nincs Po"</formula>
    </cfRule>
  </conditionalFormatting>
  <conditionalFormatting sqref="K18">
    <cfRule type="cellIs" dxfId="2632" priority="266" operator="equal">
      <formula>"Nem Heineken Költség"</formula>
    </cfRule>
    <cfRule type="cellIs" dxfId="2631" priority="267" operator="equal">
      <formula>"Nincs Po"</formula>
    </cfRule>
  </conditionalFormatting>
  <conditionalFormatting sqref="I17">
    <cfRule type="cellIs" dxfId="2630" priority="258" operator="equal">
      <formula>"H"</formula>
    </cfRule>
  </conditionalFormatting>
  <conditionalFormatting sqref="J17">
    <cfRule type="cellIs" dxfId="2629" priority="254" operator="equal">
      <formula>"Nem Heineken Költség"</formula>
    </cfRule>
  </conditionalFormatting>
  <conditionalFormatting sqref="J17">
    <cfRule type="cellIs" dxfId="2628" priority="255" operator="equal">
      <formula>"Nincs Po"</formula>
    </cfRule>
  </conditionalFormatting>
  <conditionalFormatting sqref="K17">
    <cfRule type="cellIs" dxfId="2627" priority="251" operator="equal">
      <formula>"Nem Heineken Költség"</formula>
    </cfRule>
    <cfRule type="cellIs" dxfId="2626" priority="252" operator="equal">
      <formula>"Nincs Po"</formula>
    </cfRule>
  </conditionalFormatting>
  <conditionalFormatting sqref="I16">
    <cfRule type="cellIs" dxfId="2625" priority="243" operator="equal">
      <formula>"H"</formula>
    </cfRule>
  </conditionalFormatting>
  <conditionalFormatting sqref="J16">
    <cfRule type="cellIs" dxfId="2624" priority="239" operator="equal">
      <formula>"Nem Heineken Költség"</formula>
    </cfRule>
  </conditionalFormatting>
  <conditionalFormatting sqref="J16">
    <cfRule type="cellIs" dxfId="2623" priority="240" operator="equal">
      <formula>"Nincs Po"</formula>
    </cfRule>
  </conditionalFormatting>
  <conditionalFormatting sqref="K16">
    <cfRule type="cellIs" dxfId="2622" priority="236" operator="equal">
      <formula>"Nem Heineken Költség"</formula>
    </cfRule>
    <cfRule type="cellIs" dxfId="2621" priority="237" operator="equal">
      <formula>"Nincs Po"</formula>
    </cfRule>
  </conditionalFormatting>
  <conditionalFormatting sqref="C16">
    <cfRule type="cellIs" dxfId="2620" priority="233" operator="equal">
      <formula>"Nem Heineken Költség"</formula>
    </cfRule>
    <cfRule type="cellIs" dxfId="2619" priority="234" operator="equal">
      <formula>"Nincs Po"</formula>
    </cfRule>
  </conditionalFormatting>
  <conditionalFormatting sqref="I15">
    <cfRule type="cellIs" dxfId="2618" priority="225" operator="equal">
      <formula>"H"</formula>
    </cfRule>
  </conditionalFormatting>
  <conditionalFormatting sqref="J15">
    <cfRule type="cellIs" dxfId="2617" priority="221" operator="equal">
      <formula>"Nem Heineken Költség"</formula>
    </cfRule>
  </conditionalFormatting>
  <conditionalFormatting sqref="J15">
    <cfRule type="cellIs" dxfId="2616" priority="222" operator="equal">
      <formula>"Nincs Po"</formula>
    </cfRule>
  </conditionalFormatting>
  <conditionalFormatting sqref="K15">
    <cfRule type="cellIs" dxfId="2615" priority="218" operator="equal">
      <formula>"Nem Heineken Költség"</formula>
    </cfRule>
    <cfRule type="cellIs" dxfId="2614" priority="219" operator="equal">
      <formula>"Nincs Po"</formula>
    </cfRule>
  </conditionalFormatting>
  <conditionalFormatting sqref="I14">
    <cfRule type="cellIs" dxfId="2613" priority="210" operator="equal">
      <formula>"H"</formula>
    </cfRule>
  </conditionalFormatting>
  <conditionalFormatting sqref="J14">
    <cfRule type="cellIs" dxfId="2612" priority="206" operator="equal">
      <formula>"Nem Heineken Költség"</formula>
    </cfRule>
  </conditionalFormatting>
  <conditionalFormatting sqref="J14">
    <cfRule type="cellIs" dxfId="2611" priority="207" operator="equal">
      <formula>"Nincs Po"</formula>
    </cfRule>
  </conditionalFormatting>
  <conditionalFormatting sqref="K14">
    <cfRule type="cellIs" dxfId="2610" priority="203" operator="equal">
      <formula>"Nem Heineken Költség"</formula>
    </cfRule>
    <cfRule type="cellIs" dxfId="2609" priority="204" operator="equal">
      <formula>"Nincs Po"</formula>
    </cfRule>
  </conditionalFormatting>
  <conditionalFormatting sqref="I13">
    <cfRule type="cellIs" dxfId="2608" priority="195" operator="equal">
      <formula>"H"</formula>
    </cfRule>
  </conditionalFormatting>
  <conditionalFormatting sqref="J13">
    <cfRule type="cellIs" dxfId="2607" priority="191" operator="equal">
      <formula>"Nem Heineken Költség"</formula>
    </cfRule>
  </conditionalFormatting>
  <conditionalFormatting sqref="J13">
    <cfRule type="cellIs" dxfId="2606" priority="192" operator="equal">
      <formula>"Nincs Po"</formula>
    </cfRule>
  </conditionalFormatting>
  <conditionalFormatting sqref="K13">
    <cfRule type="cellIs" dxfId="2605" priority="188" operator="equal">
      <formula>"Nem Heineken Költség"</formula>
    </cfRule>
    <cfRule type="cellIs" dxfId="2604" priority="189" operator="equal">
      <formula>"Nincs Po"</formula>
    </cfRule>
  </conditionalFormatting>
  <conditionalFormatting sqref="I12">
    <cfRule type="cellIs" dxfId="2603" priority="180" operator="equal">
      <formula>"H"</formula>
    </cfRule>
  </conditionalFormatting>
  <conditionalFormatting sqref="J12">
    <cfRule type="cellIs" dxfId="2602" priority="176" operator="equal">
      <formula>"Nem Heineken Költség"</formula>
    </cfRule>
  </conditionalFormatting>
  <conditionalFormatting sqref="J12">
    <cfRule type="cellIs" dxfId="2601" priority="177" operator="equal">
      <formula>"Nincs Po"</formula>
    </cfRule>
  </conditionalFormatting>
  <conditionalFormatting sqref="K12">
    <cfRule type="cellIs" dxfId="2600" priority="173" operator="equal">
      <formula>"Nem Heineken Költség"</formula>
    </cfRule>
    <cfRule type="cellIs" dxfId="2599" priority="174" operator="equal">
      <formula>"Nincs Po"</formula>
    </cfRule>
  </conditionalFormatting>
  <conditionalFormatting sqref="I11">
    <cfRule type="cellIs" dxfId="2598" priority="165" operator="equal">
      <formula>"H"</formula>
    </cfRule>
  </conditionalFormatting>
  <conditionalFormatting sqref="J11">
    <cfRule type="cellIs" dxfId="2597" priority="161" operator="equal">
      <formula>"Nem Heineken Költség"</formula>
    </cfRule>
  </conditionalFormatting>
  <conditionalFormatting sqref="J11">
    <cfRule type="cellIs" dxfId="2596" priority="162" operator="equal">
      <formula>"Nincs Po"</formula>
    </cfRule>
  </conditionalFormatting>
  <conditionalFormatting sqref="K11">
    <cfRule type="cellIs" dxfId="2595" priority="158" operator="equal">
      <formula>"Nem Heineken Költség"</formula>
    </cfRule>
    <cfRule type="cellIs" dxfId="2594" priority="159" operator="equal">
      <formula>"Nincs Po"</formula>
    </cfRule>
  </conditionalFormatting>
  <conditionalFormatting sqref="I10">
    <cfRule type="cellIs" dxfId="2593" priority="150" operator="equal">
      <formula>"H"</formula>
    </cfRule>
  </conditionalFormatting>
  <conditionalFormatting sqref="J10">
    <cfRule type="cellIs" dxfId="2592" priority="146" operator="equal">
      <formula>"Nem Heineken Költség"</formula>
    </cfRule>
  </conditionalFormatting>
  <conditionalFormatting sqref="J10">
    <cfRule type="cellIs" dxfId="2591" priority="147" operator="equal">
      <formula>"Nincs Po"</formula>
    </cfRule>
  </conditionalFormatting>
  <conditionalFormatting sqref="K10">
    <cfRule type="cellIs" dxfId="2590" priority="143" operator="equal">
      <formula>"Nem Heineken Költség"</formula>
    </cfRule>
    <cfRule type="cellIs" dxfId="2589" priority="144" operator="equal">
      <formula>"Nincs Po"</formula>
    </cfRule>
  </conditionalFormatting>
  <conditionalFormatting sqref="I9">
    <cfRule type="cellIs" dxfId="2588" priority="135" operator="equal">
      <formula>"H"</formula>
    </cfRule>
  </conditionalFormatting>
  <conditionalFormatting sqref="J9">
    <cfRule type="cellIs" dxfId="2587" priority="131" operator="equal">
      <formula>"Nem Heineken Költség"</formula>
    </cfRule>
  </conditionalFormatting>
  <conditionalFormatting sqref="J9">
    <cfRule type="cellIs" dxfId="2586" priority="132" operator="equal">
      <formula>"Nincs Po"</formula>
    </cfRule>
  </conditionalFormatting>
  <conditionalFormatting sqref="K9">
    <cfRule type="cellIs" dxfId="2585" priority="128" operator="equal">
      <formula>"Nem Heineken Költség"</formula>
    </cfRule>
    <cfRule type="cellIs" dxfId="2584" priority="129" operator="equal">
      <formula>"Nincs Po"</formula>
    </cfRule>
  </conditionalFormatting>
  <conditionalFormatting sqref="I8">
    <cfRule type="cellIs" dxfId="2583" priority="120" operator="equal">
      <formula>"H"</formula>
    </cfRule>
  </conditionalFormatting>
  <conditionalFormatting sqref="J8">
    <cfRule type="cellIs" dxfId="2582" priority="116" operator="equal">
      <formula>"Nem Heineken Költség"</formula>
    </cfRule>
  </conditionalFormatting>
  <conditionalFormatting sqref="J8">
    <cfRule type="cellIs" dxfId="2581" priority="117" operator="equal">
      <formula>"Nincs Po"</formula>
    </cfRule>
  </conditionalFormatting>
  <conditionalFormatting sqref="K8">
    <cfRule type="cellIs" dxfId="2580" priority="113" operator="equal">
      <formula>"Nem Heineken Költség"</formula>
    </cfRule>
    <cfRule type="cellIs" dxfId="2579" priority="114" operator="equal">
      <formula>"Nincs Po"</formula>
    </cfRule>
  </conditionalFormatting>
  <conditionalFormatting sqref="I7">
    <cfRule type="cellIs" dxfId="2578" priority="105" operator="equal">
      <formula>"H"</formula>
    </cfRule>
  </conditionalFormatting>
  <conditionalFormatting sqref="J7">
    <cfRule type="cellIs" dxfId="2577" priority="101" operator="equal">
      <formula>"Nem Heineken Költség"</formula>
    </cfRule>
  </conditionalFormatting>
  <conditionalFormatting sqref="J7">
    <cfRule type="cellIs" dxfId="2576" priority="102" operator="equal">
      <formula>"Nincs Po"</formula>
    </cfRule>
  </conditionalFormatting>
  <conditionalFormatting sqref="K7">
    <cfRule type="cellIs" dxfId="2575" priority="98" operator="equal">
      <formula>"Nem Heineken Költség"</formula>
    </cfRule>
    <cfRule type="cellIs" dxfId="2574" priority="99" operator="equal">
      <formula>"Nincs Po"</formula>
    </cfRule>
  </conditionalFormatting>
  <conditionalFormatting sqref="I6">
    <cfRule type="cellIs" dxfId="2573" priority="90" operator="equal">
      <formula>"H"</formula>
    </cfRule>
  </conditionalFormatting>
  <conditionalFormatting sqref="J6">
    <cfRule type="cellIs" dxfId="2572" priority="86" operator="equal">
      <formula>"Nem Heineken Költség"</formula>
    </cfRule>
  </conditionalFormatting>
  <conditionalFormatting sqref="J6">
    <cfRule type="cellIs" dxfId="2571" priority="87" operator="equal">
      <formula>"Nincs Po"</formula>
    </cfRule>
  </conditionalFormatting>
  <conditionalFormatting sqref="K6">
    <cfRule type="cellIs" dxfId="2570" priority="83" operator="equal">
      <formula>"Nem Heineken Költség"</formula>
    </cfRule>
    <cfRule type="cellIs" dxfId="2569" priority="84" operator="equal">
      <formula>"Nincs Po"</formula>
    </cfRule>
  </conditionalFormatting>
  <conditionalFormatting sqref="I5">
    <cfRule type="cellIs" dxfId="2568" priority="75" operator="equal">
      <formula>"H"</formula>
    </cfRule>
  </conditionalFormatting>
  <conditionalFormatting sqref="J5">
    <cfRule type="cellIs" dxfId="2567" priority="71" operator="equal">
      <formula>"Nem Heineken Költség"</formula>
    </cfRule>
  </conditionalFormatting>
  <conditionalFormatting sqref="J5">
    <cfRule type="cellIs" dxfId="2566" priority="72" operator="equal">
      <formula>"Nincs Po"</formula>
    </cfRule>
  </conditionalFormatting>
  <conditionalFormatting sqref="K5">
    <cfRule type="cellIs" dxfId="2565" priority="68" operator="equal">
      <formula>"Nem Heineken Költség"</formula>
    </cfRule>
    <cfRule type="cellIs" dxfId="2564" priority="69" operator="equal">
      <formula>"Nincs Po"</formula>
    </cfRule>
  </conditionalFormatting>
  <conditionalFormatting sqref="I4">
    <cfRule type="cellIs" dxfId="2563" priority="60" operator="equal">
      <formula>"H"</formula>
    </cfRule>
  </conditionalFormatting>
  <conditionalFormatting sqref="J4">
    <cfRule type="cellIs" dxfId="2562" priority="56" operator="equal">
      <formula>"Nem Heineken Költség"</formula>
    </cfRule>
  </conditionalFormatting>
  <conditionalFormatting sqref="J4">
    <cfRule type="cellIs" dxfId="2561" priority="57" operator="equal">
      <formula>"Nincs Po"</formula>
    </cfRule>
  </conditionalFormatting>
  <conditionalFormatting sqref="K4">
    <cfRule type="cellIs" dxfId="2560" priority="53" operator="equal">
      <formula>"Nem Heineken Költség"</formula>
    </cfRule>
    <cfRule type="cellIs" dxfId="2559" priority="54" operator="equal">
      <formula>"Nincs Po"</formula>
    </cfRule>
  </conditionalFormatting>
  <conditionalFormatting sqref="I3">
    <cfRule type="cellIs" dxfId="2558" priority="45" operator="equal">
      <formula>"H"</formula>
    </cfRule>
  </conditionalFormatting>
  <conditionalFormatting sqref="D3">
    <cfRule type="cellIs" dxfId="2557" priority="43" operator="equal">
      <formula>"Folyamatban"</formula>
    </cfRule>
    <cfRule type="cellIs" dxfId="2556" priority="44" operator="equal">
      <formula>"Kész"</formula>
    </cfRule>
  </conditionalFormatting>
  <conditionalFormatting sqref="J3">
    <cfRule type="cellIs" dxfId="2555" priority="41" operator="equal">
      <formula>"Nem Heineken Költség"</formula>
    </cfRule>
  </conditionalFormatting>
  <conditionalFormatting sqref="J3">
    <cfRule type="cellIs" dxfId="2554" priority="42" operator="equal">
      <formula>"Nincs Po"</formula>
    </cfRule>
  </conditionalFormatting>
  <conditionalFormatting sqref="K3">
    <cfRule type="cellIs" dxfId="2553" priority="38" operator="equal">
      <formula>"Nem Heineken Költség"</formula>
    </cfRule>
    <cfRule type="cellIs" dxfId="2552" priority="39" operator="equal">
      <formula>"Nincs Po"</formula>
    </cfRule>
  </conditionalFormatting>
  <conditionalFormatting sqref="K323">
    <cfRule type="cellIs" dxfId="2551" priority="35" operator="equal">
      <formula>"Nem Heineken Költség"</formula>
    </cfRule>
    <cfRule type="cellIs" dxfId="2550" priority="36" operator="equal">
      <formula>"Nincs Po"</formula>
    </cfRule>
  </conditionalFormatting>
  <conditionalFormatting sqref="K379">
    <cfRule type="cellIs" dxfId="2549" priority="32" operator="equal">
      <formula>"Nem Heineken Költség"</formula>
    </cfRule>
    <cfRule type="cellIs" dxfId="2548" priority="33" operator="equal">
      <formula>"Nincs Po"</formula>
    </cfRule>
  </conditionalFormatting>
  <conditionalFormatting sqref="K427">
    <cfRule type="cellIs" dxfId="2547" priority="29" operator="equal">
      <formula>"Nem Heineken Költség"</formula>
    </cfRule>
    <cfRule type="cellIs" dxfId="2546" priority="30" operator="equal">
      <formula>"Nincs Po"</formula>
    </cfRule>
  </conditionalFormatting>
  <conditionalFormatting sqref="K429">
    <cfRule type="cellIs" dxfId="2545" priority="26" operator="equal">
      <formula>"Nem Heineken Költség"</formula>
    </cfRule>
    <cfRule type="cellIs" dxfId="2544" priority="27" operator="equal">
      <formula>"Nincs Po"</formula>
    </cfRule>
  </conditionalFormatting>
  <conditionalFormatting sqref="K430">
    <cfRule type="cellIs" dxfId="2543" priority="23" operator="equal">
      <formula>"Nem Heineken Költség"</formula>
    </cfRule>
    <cfRule type="cellIs" dxfId="2542" priority="24" operator="equal">
      <formula>"Nincs Po"</formula>
    </cfRule>
  </conditionalFormatting>
  <conditionalFormatting sqref="K480">
    <cfRule type="cellIs" dxfId="2541" priority="20" operator="equal">
      <formula>"Nem Heineken Költség"</formula>
    </cfRule>
    <cfRule type="cellIs" dxfId="2540" priority="21" operator="equal">
      <formula>"Nincs Po"</formula>
    </cfRule>
  </conditionalFormatting>
  <conditionalFormatting sqref="K482">
    <cfRule type="cellIs" dxfId="2539" priority="17" operator="equal">
      <formula>"Nem Heineken Költség"</formula>
    </cfRule>
    <cfRule type="cellIs" dxfId="2538" priority="18" operator="equal">
      <formula>"Nincs Po"</formula>
    </cfRule>
  </conditionalFormatting>
  <conditionalFormatting sqref="I2">
    <cfRule type="cellIs" dxfId="2537" priority="9" operator="equal">
      <formula>"H"</formula>
    </cfRule>
  </conditionalFormatting>
  <conditionalFormatting sqref="D2">
    <cfRule type="cellIs" dxfId="2536" priority="7" operator="equal">
      <formula>"Folyamatban"</formula>
    </cfRule>
    <cfRule type="cellIs" dxfId="2535" priority="8" operator="equal">
      <formula>"Kész"</formula>
    </cfRule>
  </conditionalFormatting>
  <conditionalFormatting sqref="J2">
    <cfRule type="cellIs" dxfId="2534" priority="5" operator="equal">
      <formula>"Nem Heineken Költség"</formula>
    </cfRule>
  </conditionalFormatting>
  <conditionalFormatting sqref="J2">
    <cfRule type="cellIs" dxfId="2533" priority="6" operator="equal">
      <formula>"Nincs Po"</formula>
    </cfRule>
  </conditionalFormatting>
  <conditionalFormatting sqref="K2">
    <cfRule type="cellIs" dxfId="2532" priority="2" operator="equal">
      <formula>"Nem Heineken Költség"</formula>
    </cfRule>
    <cfRule type="cellIs" dxfId="2531" priority="3" operator="equal">
      <formula>"Nincs Po"</formula>
    </cfRule>
  </conditionalFormatting>
  <dataValidations disablePrompts="1" count="3">
    <dataValidation type="list" allowBlank="1" showInputMessage="1" showErrorMessage="1" sqref="D361:D442 D444:D452 D454:D455 D457:D458 D461:D723 D725:D1336">
      <formula1>todo</formula1>
    </dataValidation>
    <dataValidation type="list" allowBlank="1" showInputMessage="1" showErrorMessage="1" sqref="D724 D443 D453 D456 D459:D460 D2:D360">
      <formula1>okvsnok</formula1>
    </dataValidation>
    <dataValidation type="list" allowBlank="1" showInputMessage="1" showErrorMessage="1" sqref="B2:B1336">
      <formula1>list01</formula1>
    </dataValidation>
  </dataValidations>
  <pageMargins left="0.7" right="0.7" top="0.75" bottom="0.75" header="0.3" footer="0.3"/>
  <pageSetup paperSize="9" scale="1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457200</xdr:colOff>
                <xdr:row>0</xdr:row>
                <xdr:rowOff>76200</xdr:rowOff>
              </from>
              <to>
                <xdr:col>2</xdr:col>
                <xdr:colOff>1800225</xdr:colOff>
                <xdr:row>0</xdr:row>
                <xdr:rowOff>438150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544" operator="containsText" id="{A34BED22-716C-4470-BCFF-1B1B7156FD0D}">
            <xm:f>NOT(ISERROR(SEARCH("SM-2024/",J1)))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J545:K1048576 J1:K1</xm:sqref>
        </x14:conditionalFormatting>
        <x14:conditionalFormatting xmlns:xm="http://schemas.microsoft.com/office/excel/2006/main">
          <x14:cfRule type="containsText" priority="8464" operator="containsText" id="{8B9E66EA-EB74-4DBA-B714-6A2847619CA7}">
            <xm:f>NOT(ISERROR(SEARCH("SM-2024/",J544)))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J544</xm:sqref>
        </x14:conditionalFormatting>
        <x14:conditionalFormatting xmlns:xm="http://schemas.microsoft.com/office/excel/2006/main">
          <x14:cfRule type="containsText" priority="8461" operator="containsText" id="{8072BBF4-E80F-4648-A665-3AD1A75FC838}">
            <xm:f>NOT(ISERROR(SEARCH("SM-2024/",K544)))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K544</xm:sqref>
        </x14:conditionalFormatting>
        <x14:conditionalFormatting xmlns:xm="http://schemas.microsoft.com/office/excel/2006/main">
          <x14:cfRule type="containsText" priority="8449" operator="containsText" id="{ED8725FD-4EF4-4445-BB04-6DC75EDC9412}">
            <xm:f>NOT(ISERROR(SEARCH("SM-2024/",J543)))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J543</xm:sqref>
        </x14:conditionalFormatting>
        <x14:conditionalFormatting xmlns:xm="http://schemas.microsoft.com/office/excel/2006/main">
          <x14:cfRule type="containsText" priority="8446" operator="containsText" id="{5F2D3841-3EA2-432F-8B10-5844C76E38ED}">
            <xm:f>NOT(ISERROR(SEARCH("SM-2024/",K543)))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K543</xm:sqref>
        </x14:conditionalFormatting>
        <x14:conditionalFormatting xmlns:xm="http://schemas.microsoft.com/office/excel/2006/main">
          <x14:cfRule type="containsText" priority="8434" operator="containsText" id="{D705AE1E-1842-4C00-8D51-EE9BD0BCC058}">
            <xm:f>NOT(ISERROR(SEARCH("SM-2024/",J542)))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J542</xm:sqref>
        </x14:conditionalFormatting>
        <x14:conditionalFormatting xmlns:xm="http://schemas.microsoft.com/office/excel/2006/main">
          <x14:cfRule type="containsText" priority="8431" operator="containsText" id="{D38AACC6-9DFD-4F6C-9E02-2F0596170602}">
            <xm:f>NOT(ISERROR(SEARCH("SM-2024/",K542)))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K542</xm:sqref>
        </x14:conditionalFormatting>
        <x14:conditionalFormatting xmlns:xm="http://schemas.microsoft.com/office/excel/2006/main">
          <x14:cfRule type="containsText" priority="8419" operator="containsText" id="{433A1C2B-7214-4462-ACD0-B31FEC73EBE3}">
            <xm:f>NOT(ISERROR(SEARCH("SM-2024/",J541)))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J541</xm:sqref>
        </x14:conditionalFormatting>
        <x14:conditionalFormatting xmlns:xm="http://schemas.microsoft.com/office/excel/2006/main">
          <x14:cfRule type="containsText" priority="8416" operator="containsText" id="{6F84025A-B6F4-4B3A-8FBE-DAD76FAE4840}">
            <xm:f>NOT(ISERROR(SEARCH("SM-2024/",K541)))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K541</xm:sqref>
        </x14:conditionalFormatting>
        <x14:conditionalFormatting xmlns:xm="http://schemas.microsoft.com/office/excel/2006/main">
          <x14:cfRule type="containsText" priority="8404" operator="containsText" id="{23EC9EC2-26E4-4E08-B0A4-7A593359F8D8}">
            <xm:f>NOT(ISERROR(SEARCH("SM-2024/",J540)))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J540</xm:sqref>
        </x14:conditionalFormatting>
        <x14:conditionalFormatting xmlns:xm="http://schemas.microsoft.com/office/excel/2006/main">
          <x14:cfRule type="containsText" priority="8401" operator="containsText" id="{13386D85-3CC0-45FF-B20F-D0025D79B11F}">
            <xm:f>NOT(ISERROR(SEARCH("SM-2024/",K540)))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K540</xm:sqref>
        </x14:conditionalFormatting>
        <x14:conditionalFormatting xmlns:xm="http://schemas.microsoft.com/office/excel/2006/main">
          <x14:cfRule type="containsText" priority="8389" operator="containsText" id="{AD987384-C6AF-4DC0-B19A-1952AA4BE9D4}">
            <xm:f>NOT(ISERROR(SEARCH("SM-2024/",J539)))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J539</xm:sqref>
        </x14:conditionalFormatting>
        <x14:conditionalFormatting xmlns:xm="http://schemas.microsoft.com/office/excel/2006/main">
          <x14:cfRule type="containsText" priority="8386" operator="containsText" id="{4FECF453-C5CE-400F-AE5F-1B814986DFE9}">
            <xm:f>NOT(ISERROR(SEARCH("SM-2024/",K539)))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K539</xm:sqref>
        </x14:conditionalFormatting>
        <x14:conditionalFormatting xmlns:xm="http://schemas.microsoft.com/office/excel/2006/main">
          <x14:cfRule type="containsText" priority="8362" operator="containsText" id="{F2B70234-AA8E-4B57-891B-4D2E52B72578}">
            <xm:f>NOT(ISERROR(SEARCH("SM-2024/",J538)))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J538</xm:sqref>
        </x14:conditionalFormatting>
        <x14:conditionalFormatting xmlns:xm="http://schemas.microsoft.com/office/excel/2006/main">
          <x14:cfRule type="containsText" priority="8359" operator="containsText" id="{169EA858-32F4-4D50-9292-BB8D9723736F}">
            <xm:f>NOT(ISERROR(SEARCH("SM-2024/",K538)))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K538</xm:sqref>
        </x14:conditionalFormatting>
        <x14:conditionalFormatting xmlns:xm="http://schemas.microsoft.com/office/excel/2006/main">
          <x14:cfRule type="containsText" priority="8347" operator="containsText" id="{2258819F-603C-44CB-B18D-2E03A83CE305}">
            <xm:f>NOT(ISERROR(SEARCH("SM-2024/",J537)))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J537</xm:sqref>
        </x14:conditionalFormatting>
        <x14:conditionalFormatting xmlns:xm="http://schemas.microsoft.com/office/excel/2006/main">
          <x14:cfRule type="containsText" priority="8344" operator="containsText" id="{D5D89636-B816-48C0-A7F1-95951CEF03D3}">
            <xm:f>NOT(ISERROR(SEARCH("SM-2024/",K537)))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K537</xm:sqref>
        </x14:conditionalFormatting>
        <x14:conditionalFormatting xmlns:xm="http://schemas.microsoft.com/office/excel/2006/main">
          <x14:cfRule type="containsText" priority="8332" operator="containsText" id="{3F3AAD81-4E0E-427A-90D8-8D4D08003AE7}">
            <xm:f>NOT(ISERROR(SEARCH("SM-2024/",J536)))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J536</xm:sqref>
        </x14:conditionalFormatting>
        <x14:conditionalFormatting xmlns:xm="http://schemas.microsoft.com/office/excel/2006/main">
          <x14:cfRule type="containsText" priority="8329" operator="containsText" id="{27DFE1EE-4A72-43E1-9E50-C6844CEB686D}">
            <xm:f>NOT(ISERROR(SEARCH("SM-2024/",K536)))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K536</xm:sqref>
        </x14:conditionalFormatting>
        <x14:conditionalFormatting xmlns:xm="http://schemas.microsoft.com/office/excel/2006/main">
          <x14:cfRule type="containsText" priority="8317" operator="containsText" id="{CBD703A4-DE05-4869-9352-19F69F032100}">
            <xm:f>NOT(ISERROR(SEARCH("SM-2024/",J535)))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J535</xm:sqref>
        </x14:conditionalFormatting>
        <x14:conditionalFormatting xmlns:xm="http://schemas.microsoft.com/office/excel/2006/main">
          <x14:cfRule type="containsText" priority="8314" operator="containsText" id="{91305F33-A128-428B-8E7D-AD7B91ED302D}">
            <xm:f>NOT(ISERROR(SEARCH("SM-2024/",K535)))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K535</xm:sqref>
        </x14:conditionalFormatting>
        <x14:conditionalFormatting xmlns:xm="http://schemas.microsoft.com/office/excel/2006/main">
          <x14:cfRule type="containsText" priority="8302" operator="containsText" id="{86141D9E-9895-4FAD-9D4F-406885A61C9E}">
            <xm:f>NOT(ISERROR(SEARCH("SM-2024/",J534)))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J534</xm:sqref>
        </x14:conditionalFormatting>
        <x14:conditionalFormatting xmlns:xm="http://schemas.microsoft.com/office/excel/2006/main">
          <x14:cfRule type="containsText" priority="8299" operator="containsText" id="{83BB02E8-1DA2-4E7F-8DB1-8BCDA3734E33}">
            <xm:f>NOT(ISERROR(SEARCH("SM-2024/",K534)))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K534</xm:sqref>
        </x14:conditionalFormatting>
        <x14:conditionalFormatting xmlns:xm="http://schemas.microsoft.com/office/excel/2006/main">
          <x14:cfRule type="containsText" priority="8287" operator="containsText" id="{65EC2556-58F0-4059-84F1-E64F2BB20563}">
            <xm:f>NOT(ISERROR(SEARCH("SM-2024/",J533)))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J533</xm:sqref>
        </x14:conditionalFormatting>
        <x14:conditionalFormatting xmlns:xm="http://schemas.microsoft.com/office/excel/2006/main">
          <x14:cfRule type="containsText" priority="8284" operator="containsText" id="{E8E353AB-A683-419C-9C8D-87A0D3DDBB0B}">
            <xm:f>NOT(ISERROR(SEARCH("SM-2024/",K533)))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K533</xm:sqref>
        </x14:conditionalFormatting>
        <x14:conditionalFormatting xmlns:xm="http://schemas.microsoft.com/office/excel/2006/main">
          <x14:cfRule type="containsText" priority="8272" operator="containsText" id="{970F6523-D9A7-45F6-80F3-B97C4862096C}">
            <xm:f>NOT(ISERROR(SEARCH("SM-2024/",J532)))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J532</xm:sqref>
        </x14:conditionalFormatting>
        <x14:conditionalFormatting xmlns:xm="http://schemas.microsoft.com/office/excel/2006/main">
          <x14:cfRule type="containsText" priority="8269" operator="containsText" id="{E8373FB3-0ED9-43D3-9BA5-849AB457D53A}">
            <xm:f>NOT(ISERROR(SEARCH("SM-2024/",K532)))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K532</xm:sqref>
        </x14:conditionalFormatting>
        <x14:conditionalFormatting xmlns:xm="http://schemas.microsoft.com/office/excel/2006/main">
          <x14:cfRule type="containsText" priority="8257" operator="containsText" id="{1DCB608D-6800-4235-9E02-2C9A386AFC8E}">
            <xm:f>NOT(ISERROR(SEARCH("SM-2024/",J531)))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J531</xm:sqref>
        </x14:conditionalFormatting>
        <x14:conditionalFormatting xmlns:xm="http://schemas.microsoft.com/office/excel/2006/main">
          <x14:cfRule type="containsText" priority="8254" operator="containsText" id="{702D5BFC-CEE5-4B63-8E92-421775524B23}">
            <xm:f>NOT(ISERROR(SEARCH("SM-2024/",K531)))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K531</xm:sqref>
        </x14:conditionalFormatting>
        <x14:conditionalFormatting xmlns:xm="http://schemas.microsoft.com/office/excel/2006/main">
          <x14:cfRule type="containsText" priority="8242" operator="containsText" id="{88208F57-95DA-4A97-A029-87B6A570C4FC}">
            <xm:f>NOT(ISERROR(SEARCH("SM-2024/",J530)))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J530</xm:sqref>
        </x14:conditionalFormatting>
        <x14:conditionalFormatting xmlns:xm="http://schemas.microsoft.com/office/excel/2006/main">
          <x14:cfRule type="containsText" priority="8239" operator="containsText" id="{7E62E734-E542-431F-ACAA-63F8E0DF2B87}">
            <xm:f>NOT(ISERROR(SEARCH("SM-2024/",K530)))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K530</xm:sqref>
        </x14:conditionalFormatting>
        <x14:conditionalFormatting xmlns:xm="http://schemas.microsoft.com/office/excel/2006/main">
          <x14:cfRule type="containsText" priority="8227" operator="containsText" id="{B6213E97-52C6-4CD1-B9A4-51709B074E73}">
            <xm:f>NOT(ISERROR(SEARCH("SM-2024/",J529)))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J529</xm:sqref>
        </x14:conditionalFormatting>
        <x14:conditionalFormatting xmlns:xm="http://schemas.microsoft.com/office/excel/2006/main">
          <x14:cfRule type="containsText" priority="8224" operator="containsText" id="{EBB7C450-6BE8-45BA-8879-0087EFEFBA7D}">
            <xm:f>NOT(ISERROR(SEARCH("SM-2024/",K529)))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K529</xm:sqref>
        </x14:conditionalFormatting>
        <x14:conditionalFormatting xmlns:xm="http://schemas.microsoft.com/office/excel/2006/main">
          <x14:cfRule type="containsText" priority="8212" operator="containsText" id="{81DA472C-55C3-4BE6-AED4-676CFF9909B8}">
            <xm:f>NOT(ISERROR(SEARCH("SM-2024/",J528)))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J528</xm:sqref>
        </x14:conditionalFormatting>
        <x14:conditionalFormatting xmlns:xm="http://schemas.microsoft.com/office/excel/2006/main">
          <x14:cfRule type="containsText" priority="8209" operator="containsText" id="{2D2D7771-C8BD-4FE9-B72C-7666D0CF0A86}">
            <xm:f>NOT(ISERROR(SEARCH("SM-2024/",K528)))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K528</xm:sqref>
        </x14:conditionalFormatting>
        <x14:conditionalFormatting xmlns:xm="http://schemas.microsoft.com/office/excel/2006/main">
          <x14:cfRule type="containsText" priority="8197" operator="containsText" id="{ECD00376-B52A-46A0-AA27-6B562BB87966}">
            <xm:f>NOT(ISERROR(SEARCH("SM-2024/",J527)))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J527</xm:sqref>
        </x14:conditionalFormatting>
        <x14:conditionalFormatting xmlns:xm="http://schemas.microsoft.com/office/excel/2006/main">
          <x14:cfRule type="containsText" priority="8194" operator="containsText" id="{726E53AA-3D6B-4D6B-B95C-0B0F0C87675C}">
            <xm:f>NOT(ISERROR(SEARCH("SM-2024/",K527)))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K527</xm:sqref>
        </x14:conditionalFormatting>
        <x14:conditionalFormatting xmlns:xm="http://schemas.microsoft.com/office/excel/2006/main">
          <x14:cfRule type="containsText" priority="8182" operator="containsText" id="{E4EBC2FE-FA2D-4318-B91A-6A5A5E55FF36}">
            <xm:f>NOT(ISERROR(SEARCH("SM-2024/",J526)))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J526</xm:sqref>
        </x14:conditionalFormatting>
        <x14:conditionalFormatting xmlns:xm="http://schemas.microsoft.com/office/excel/2006/main">
          <x14:cfRule type="containsText" priority="8179" operator="containsText" id="{1D8B6860-6F81-4F5F-B68B-81DEC85940E2}">
            <xm:f>NOT(ISERROR(SEARCH("SM-2024/",K526)))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K526</xm:sqref>
        </x14:conditionalFormatting>
        <x14:conditionalFormatting xmlns:xm="http://schemas.microsoft.com/office/excel/2006/main">
          <x14:cfRule type="containsText" priority="8167" operator="containsText" id="{9FAC1E09-C52B-4DF5-9306-F2F28B3C16C5}">
            <xm:f>NOT(ISERROR(SEARCH("SM-2024/",J525)))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J525</xm:sqref>
        </x14:conditionalFormatting>
        <x14:conditionalFormatting xmlns:xm="http://schemas.microsoft.com/office/excel/2006/main">
          <x14:cfRule type="containsText" priority="8164" operator="containsText" id="{6B9FEB7B-A3B5-44F7-8F1B-AB1DDDB42A2A}">
            <xm:f>NOT(ISERROR(SEARCH("SM-2024/",K525)))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K525</xm:sqref>
        </x14:conditionalFormatting>
        <x14:conditionalFormatting xmlns:xm="http://schemas.microsoft.com/office/excel/2006/main">
          <x14:cfRule type="containsText" priority="8152" operator="containsText" id="{EEC229A7-59BC-4F4F-BC6E-1CAE804C48CC}">
            <xm:f>NOT(ISERROR(SEARCH("SM-2024/",J524)))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J524</xm:sqref>
        </x14:conditionalFormatting>
        <x14:conditionalFormatting xmlns:xm="http://schemas.microsoft.com/office/excel/2006/main">
          <x14:cfRule type="containsText" priority="8149" operator="containsText" id="{BA64DBDF-A47E-4041-81BC-2F627A0DC1BB}">
            <xm:f>NOT(ISERROR(SEARCH("SM-2024/",K524)))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K524</xm:sqref>
        </x14:conditionalFormatting>
        <x14:conditionalFormatting xmlns:xm="http://schemas.microsoft.com/office/excel/2006/main">
          <x14:cfRule type="containsText" priority="8137" operator="containsText" id="{0A1FAF00-6EAA-43FA-96F6-CE0B166ADC25}">
            <xm:f>NOT(ISERROR(SEARCH("SM-2024/",J523)))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J523</xm:sqref>
        </x14:conditionalFormatting>
        <x14:conditionalFormatting xmlns:xm="http://schemas.microsoft.com/office/excel/2006/main">
          <x14:cfRule type="containsText" priority="8134" operator="containsText" id="{5B083C31-0624-4D66-8544-B75502C30B6C}">
            <xm:f>NOT(ISERROR(SEARCH("SM-2024/",K523)))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K523</xm:sqref>
        </x14:conditionalFormatting>
        <x14:conditionalFormatting xmlns:xm="http://schemas.microsoft.com/office/excel/2006/main">
          <x14:cfRule type="containsText" priority="8122" operator="containsText" id="{9B5080B4-417C-4DE3-8123-80CE3A0D54DB}">
            <xm:f>NOT(ISERROR(SEARCH("SM-2024/",J522)))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J522</xm:sqref>
        </x14:conditionalFormatting>
        <x14:conditionalFormatting xmlns:xm="http://schemas.microsoft.com/office/excel/2006/main">
          <x14:cfRule type="containsText" priority="8119" operator="containsText" id="{657071A9-7A8D-427B-B7FD-4B5E428AF4FB}">
            <xm:f>NOT(ISERROR(SEARCH("SM-2024/",K522)))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K522</xm:sqref>
        </x14:conditionalFormatting>
        <x14:conditionalFormatting xmlns:xm="http://schemas.microsoft.com/office/excel/2006/main">
          <x14:cfRule type="containsText" priority="8107" operator="containsText" id="{56CA8E1C-27B2-4A96-A92A-6D6C8B4CB3BC}">
            <xm:f>NOT(ISERROR(SEARCH("SM-2024/",J521)))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J521</xm:sqref>
        </x14:conditionalFormatting>
        <x14:conditionalFormatting xmlns:xm="http://schemas.microsoft.com/office/excel/2006/main">
          <x14:cfRule type="containsText" priority="8104" operator="containsText" id="{4FA082AE-97B6-4493-BDDD-CD29C90E5766}">
            <xm:f>NOT(ISERROR(SEARCH("SM-2024/",K521)))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K521</xm:sqref>
        </x14:conditionalFormatting>
        <x14:conditionalFormatting xmlns:xm="http://schemas.microsoft.com/office/excel/2006/main">
          <x14:cfRule type="containsText" priority="8092" operator="containsText" id="{3E7BCA64-F085-4889-AE35-91D8077D8BBF}">
            <xm:f>NOT(ISERROR(SEARCH("SM-2024/",J520)))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J520</xm:sqref>
        </x14:conditionalFormatting>
        <x14:conditionalFormatting xmlns:xm="http://schemas.microsoft.com/office/excel/2006/main">
          <x14:cfRule type="containsText" priority="8089" operator="containsText" id="{FA8C988A-7C88-4003-AB76-739ABFE9B44D}">
            <xm:f>NOT(ISERROR(SEARCH("SM-2024/",K520)))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K520</xm:sqref>
        </x14:conditionalFormatting>
        <x14:conditionalFormatting xmlns:xm="http://schemas.microsoft.com/office/excel/2006/main">
          <x14:cfRule type="containsText" priority="8077" operator="containsText" id="{9D22B693-59BD-41E7-98DD-50869E3537F9}">
            <xm:f>NOT(ISERROR(SEARCH("SM-2024/",J519)))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J519</xm:sqref>
        </x14:conditionalFormatting>
        <x14:conditionalFormatting xmlns:xm="http://schemas.microsoft.com/office/excel/2006/main">
          <x14:cfRule type="containsText" priority="8074" operator="containsText" id="{7A7695CA-D5E7-4AEA-9777-4BB27CC78E7F}">
            <xm:f>NOT(ISERROR(SEARCH("SM-2024/",K519)))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K519</xm:sqref>
        </x14:conditionalFormatting>
        <x14:conditionalFormatting xmlns:xm="http://schemas.microsoft.com/office/excel/2006/main">
          <x14:cfRule type="containsText" priority="8062" operator="containsText" id="{E9CA7C91-5C57-442B-89B2-D1EA7792B83D}">
            <xm:f>NOT(ISERROR(SEARCH("SM-2024/",J518)))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J518</xm:sqref>
        </x14:conditionalFormatting>
        <x14:conditionalFormatting xmlns:xm="http://schemas.microsoft.com/office/excel/2006/main">
          <x14:cfRule type="containsText" priority="8059" operator="containsText" id="{210E52D1-5388-4D9C-986A-F4F242E16980}">
            <xm:f>NOT(ISERROR(SEARCH("SM-2024/",K518)))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K518</xm:sqref>
        </x14:conditionalFormatting>
        <x14:conditionalFormatting xmlns:xm="http://schemas.microsoft.com/office/excel/2006/main">
          <x14:cfRule type="containsText" priority="8047" operator="containsText" id="{BCDCAB39-B45A-4937-AFD0-9FB4CBA71189}">
            <xm:f>NOT(ISERROR(SEARCH("SM-2024/",J517)))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J517</xm:sqref>
        </x14:conditionalFormatting>
        <x14:conditionalFormatting xmlns:xm="http://schemas.microsoft.com/office/excel/2006/main">
          <x14:cfRule type="containsText" priority="8044" operator="containsText" id="{95BAF381-44D2-4F31-97DB-1C77336DC831}">
            <xm:f>NOT(ISERROR(SEARCH("SM-2024/",K517)))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K517</xm:sqref>
        </x14:conditionalFormatting>
        <x14:conditionalFormatting xmlns:xm="http://schemas.microsoft.com/office/excel/2006/main">
          <x14:cfRule type="containsText" priority="8032" operator="containsText" id="{A1188D96-7A2A-4249-B6B7-1F73BF4A7CCA}">
            <xm:f>NOT(ISERROR(SEARCH("SM-2024/",J516)))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J516</xm:sqref>
        </x14:conditionalFormatting>
        <x14:conditionalFormatting xmlns:xm="http://schemas.microsoft.com/office/excel/2006/main">
          <x14:cfRule type="containsText" priority="8029" operator="containsText" id="{0B2A946E-3F42-42FE-A9BA-C6B04667596E}">
            <xm:f>NOT(ISERROR(SEARCH("SM-2024/",K516)))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K516</xm:sqref>
        </x14:conditionalFormatting>
        <x14:conditionalFormatting xmlns:xm="http://schemas.microsoft.com/office/excel/2006/main">
          <x14:cfRule type="containsText" priority="8017" operator="containsText" id="{0D1B0EF0-51C2-4F25-9CC9-0BD7D27542A6}">
            <xm:f>NOT(ISERROR(SEARCH("SM-2024/",J515)))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J515</xm:sqref>
        </x14:conditionalFormatting>
        <x14:conditionalFormatting xmlns:xm="http://schemas.microsoft.com/office/excel/2006/main">
          <x14:cfRule type="containsText" priority="8014" operator="containsText" id="{DF98AC91-836D-4B8C-A251-628A5BC7CF76}">
            <xm:f>NOT(ISERROR(SEARCH("SM-2024/",K515)))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K515</xm:sqref>
        </x14:conditionalFormatting>
        <x14:conditionalFormatting xmlns:xm="http://schemas.microsoft.com/office/excel/2006/main">
          <x14:cfRule type="containsText" priority="8002" operator="containsText" id="{935A83F5-3668-4D7D-AF72-6A649EDBD56A}">
            <xm:f>NOT(ISERROR(SEARCH("SM-2024/",J514)))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J514</xm:sqref>
        </x14:conditionalFormatting>
        <x14:conditionalFormatting xmlns:xm="http://schemas.microsoft.com/office/excel/2006/main">
          <x14:cfRule type="containsText" priority="7999" operator="containsText" id="{63DE2546-330F-4710-B34A-C46C66791B27}">
            <xm:f>NOT(ISERROR(SEARCH("SM-2024/",K514)))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K514</xm:sqref>
        </x14:conditionalFormatting>
        <x14:conditionalFormatting xmlns:xm="http://schemas.microsoft.com/office/excel/2006/main">
          <x14:cfRule type="containsText" priority="7987" operator="containsText" id="{7D348D24-A1F5-4152-9A7E-51C0D775F876}">
            <xm:f>NOT(ISERROR(SEARCH("SM-2024/",J513)))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J513</xm:sqref>
        </x14:conditionalFormatting>
        <x14:conditionalFormatting xmlns:xm="http://schemas.microsoft.com/office/excel/2006/main">
          <x14:cfRule type="containsText" priority="7984" operator="containsText" id="{E8344C46-8617-4D0C-B2C6-FACC21BD804F}">
            <xm:f>NOT(ISERROR(SEARCH("SM-2024/",K513)))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K513</xm:sqref>
        </x14:conditionalFormatting>
        <x14:conditionalFormatting xmlns:xm="http://schemas.microsoft.com/office/excel/2006/main">
          <x14:cfRule type="containsText" priority="7972" operator="containsText" id="{17743F30-137D-436D-AFFE-19AE4BB57670}">
            <xm:f>NOT(ISERROR(SEARCH("SM-2024/",J512)))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J512</xm:sqref>
        </x14:conditionalFormatting>
        <x14:conditionalFormatting xmlns:xm="http://schemas.microsoft.com/office/excel/2006/main">
          <x14:cfRule type="containsText" priority="7969" operator="containsText" id="{681BA199-250A-464B-8C92-98D972FE4D25}">
            <xm:f>NOT(ISERROR(SEARCH("SM-2024/",K512)))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K512</xm:sqref>
        </x14:conditionalFormatting>
        <x14:conditionalFormatting xmlns:xm="http://schemas.microsoft.com/office/excel/2006/main">
          <x14:cfRule type="containsText" priority="7957" operator="containsText" id="{1AFA0D73-AFD8-4121-86EE-B26B3CB8FA25}">
            <xm:f>NOT(ISERROR(SEARCH("SM-2024/",J511)))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J511</xm:sqref>
        </x14:conditionalFormatting>
        <x14:conditionalFormatting xmlns:xm="http://schemas.microsoft.com/office/excel/2006/main">
          <x14:cfRule type="containsText" priority="7954" operator="containsText" id="{F844CD4B-8E07-4331-9C71-6191DDED2058}">
            <xm:f>NOT(ISERROR(SEARCH("SM-2024/",K511)))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K511</xm:sqref>
        </x14:conditionalFormatting>
        <x14:conditionalFormatting xmlns:xm="http://schemas.microsoft.com/office/excel/2006/main">
          <x14:cfRule type="containsText" priority="7942" operator="containsText" id="{2C28F5F1-B474-4F39-8343-EC8A9D01BDB5}">
            <xm:f>NOT(ISERROR(SEARCH("SM-2024/",J510)))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J510</xm:sqref>
        </x14:conditionalFormatting>
        <x14:conditionalFormatting xmlns:xm="http://schemas.microsoft.com/office/excel/2006/main">
          <x14:cfRule type="containsText" priority="7939" operator="containsText" id="{66215627-C0C2-4081-941C-E866588259D1}">
            <xm:f>NOT(ISERROR(SEARCH("SM-2024/",K510)))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K510</xm:sqref>
        </x14:conditionalFormatting>
        <x14:conditionalFormatting xmlns:xm="http://schemas.microsoft.com/office/excel/2006/main">
          <x14:cfRule type="containsText" priority="7927" operator="containsText" id="{6E2EA6A1-DDD5-4EB5-8090-1EA25E4CA3ED}">
            <xm:f>NOT(ISERROR(SEARCH("SM-2024/",J509)))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J509</xm:sqref>
        </x14:conditionalFormatting>
        <x14:conditionalFormatting xmlns:xm="http://schemas.microsoft.com/office/excel/2006/main">
          <x14:cfRule type="containsText" priority="7924" operator="containsText" id="{984314C3-1855-44F9-9076-71D155051C23}">
            <xm:f>NOT(ISERROR(SEARCH("SM-2024/",K509)))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K509</xm:sqref>
        </x14:conditionalFormatting>
        <x14:conditionalFormatting xmlns:xm="http://schemas.microsoft.com/office/excel/2006/main">
          <x14:cfRule type="containsText" priority="7912" operator="containsText" id="{A6CE9E26-B524-4F8E-8D6D-1FACD89A5E61}">
            <xm:f>NOT(ISERROR(SEARCH("SM-2024/",J508)))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J508</xm:sqref>
        </x14:conditionalFormatting>
        <x14:conditionalFormatting xmlns:xm="http://schemas.microsoft.com/office/excel/2006/main">
          <x14:cfRule type="containsText" priority="7909" operator="containsText" id="{3FA55EBE-DE73-4D52-AC35-5512C8F18F25}">
            <xm:f>NOT(ISERROR(SEARCH("SM-2024/",K508)))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K508</xm:sqref>
        </x14:conditionalFormatting>
        <x14:conditionalFormatting xmlns:xm="http://schemas.microsoft.com/office/excel/2006/main">
          <x14:cfRule type="containsText" priority="7897" operator="containsText" id="{93DA6F97-9D63-41CE-9A11-C1C823FC0995}">
            <xm:f>NOT(ISERROR(SEARCH("SM-2024/",J507)))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J507</xm:sqref>
        </x14:conditionalFormatting>
        <x14:conditionalFormatting xmlns:xm="http://schemas.microsoft.com/office/excel/2006/main">
          <x14:cfRule type="containsText" priority="7894" operator="containsText" id="{E762AD5D-4204-470E-B4E5-62C0CC3581EE}">
            <xm:f>NOT(ISERROR(SEARCH("SM-2024/",K507)))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K507</xm:sqref>
        </x14:conditionalFormatting>
        <x14:conditionalFormatting xmlns:xm="http://schemas.microsoft.com/office/excel/2006/main">
          <x14:cfRule type="containsText" priority="7882" operator="containsText" id="{F431CD75-05F6-4184-90D2-6C981EF4933F}">
            <xm:f>NOT(ISERROR(SEARCH("SM-2024/",J506)))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J506</xm:sqref>
        </x14:conditionalFormatting>
        <x14:conditionalFormatting xmlns:xm="http://schemas.microsoft.com/office/excel/2006/main">
          <x14:cfRule type="containsText" priority="7879" operator="containsText" id="{6D153EFC-7FCA-472D-ABC9-7A9CE041B08C}">
            <xm:f>NOT(ISERROR(SEARCH("SM-2024/",K506)))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K506</xm:sqref>
        </x14:conditionalFormatting>
        <x14:conditionalFormatting xmlns:xm="http://schemas.microsoft.com/office/excel/2006/main">
          <x14:cfRule type="containsText" priority="7867" operator="containsText" id="{B3E347F8-00D8-4E4F-86F7-EEABFB795F67}">
            <xm:f>NOT(ISERROR(SEARCH("SM-2024/",J505)))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J505</xm:sqref>
        </x14:conditionalFormatting>
        <x14:conditionalFormatting xmlns:xm="http://schemas.microsoft.com/office/excel/2006/main">
          <x14:cfRule type="containsText" priority="7864" operator="containsText" id="{46A4C1BD-662B-4299-85BC-E6C2A0473531}">
            <xm:f>NOT(ISERROR(SEARCH("SM-2024/",K505)))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K505</xm:sqref>
        </x14:conditionalFormatting>
        <x14:conditionalFormatting xmlns:xm="http://schemas.microsoft.com/office/excel/2006/main">
          <x14:cfRule type="containsText" priority="7852" operator="containsText" id="{212269B5-A625-4C3C-B18B-BA8EEA1771D2}">
            <xm:f>NOT(ISERROR(SEARCH("SM-2024/",J504)))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J504</xm:sqref>
        </x14:conditionalFormatting>
        <x14:conditionalFormatting xmlns:xm="http://schemas.microsoft.com/office/excel/2006/main">
          <x14:cfRule type="containsText" priority="7849" operator="containsText" id="{9CAF2652-EB19-4370-BA28-E6A0C2DB4AF2}">
            <xm:f>NOT(ISERROR(SEARCH("SM-2024/",K504)))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K504</xm:sqref>
        </x14:conditionalFormatting>
        <x14:conditionalFormatting xmlns:xm="http://schemas.microsoft.com/office/excel/2006/main">
          <x14:cfRule type="containsText" priority="7837" operator="containsText" id="{F2DF37C2-1721-4B30-933D-B939302AF0D4}">
            <xm:f>NOT(ISERROR(SEARCH("SM-2024/",J503)))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J503</xm:sqref>
        </x14:conditionalFormatting>
        <x14:conditionalFormatting xmlns:xm="http://schemas.microsoft.com/office/excel/2006/main">
          <x14:cfRule type="containsText" priority="7834" operator="containsText" id="{DC17C873-3EC8-4E64-89F0-DE29F835D439}">
            <xm:f>NOT(ISERROR(SEARCH("SM-2024/",K503)))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K503</xm:sqref>
        </x14:conditionalFormatting>
        <x14:conditionalFormatting xmlns:xm="http://schemas.microsoft.com/office/excel/2006/main">
          <x14:cfRule type="containsText" priority="7822" operator="containsText" id="{FD8A88D2-035B-4B2A-9501-3C7EE8C63BD1}">
            <xm:f>NOT(ISERROR(SEARCH("SM-2024/",J502)))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J502</xm:sqref>
        </x14:conditionalFormatting>
        <x14:conditionalFormatting xmlns:xm="http://schemas.microsoft.com/office/excel/2006/main">
          <x14:cfRule type="containsText" priority="7819" operator="containsText" id="{09EE072F-2BA9-4AF2-BB6D-DE9B5F327F74}">
            <xm:f>NOT(ISERROR(SEARCH("SM-2024/",K502)))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K502</xm:sqref>
        </x14:conditionalFormatting>
        <x14:conditionalFormatting xmlns:xm="http://schemas.microsoft.com/office/excel/2006/main">
          <x14:cfRule type="containsText" priority="7807" operator="containsText" id="{F450B3E4-C2E5-4D6D-B391-4ECE0DBBA566}">
            <xm:f>NOT(ISERROR(SEARCH("SM-2024/",J501)))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J501</xm:sqref>
        </x14:conditionalFormatting>
        <x14:conditionalFormatting xmlns:xm="http://schemas.microsoft.com/office/excel/2006/main">
          <x14:cfRule type="containsText" priority="7804" operator="containsText" id="{FA506001-4B22-4D23-B8E6-CBD80B6B8CA1}">
            <xm:f>NOT(ISERROR(SEARCH("SM-2024/",K501)))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K501</xm:sqref>
        </x14:conditionalFormatting>
        <x14:conditionalFormatting xmlns:xm="http://schemas.microsoft.com/office/excel/2006/main">
          <x14:cfRule type="containsText" priority="7792" operator="containsText" id="{D389B166-E74D-4E78-98B2-7FB74A6C2610}">
            <xm:f>NOT(ISERROR(SEARCH("SM-2024/",J500)))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J500</xm:sqref>
        </x14:conditionalFormatting>
        <x14:conditionalFormatting xmlns:xm="http://schemas.microsoft.com/office/excel/2006/main">
          <x14:cfRule type="containsText" priority="7789" operator="containsText" id="{DCA2A466-6591-4F8B-B8AF-3C0FF847439F}">
            <xm:f>NOT(ISERROR(SEARCH("SM-2024/",K500)))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K500</xm:sqref>
        </x14:conditionalFormatting>
        <x14:conditionalFormatting xmlns:xm="http://schemas.microsoft.com/office/excel/2006/main">
          <x14:cfRule type="containsText" priority="7777" operator="containsText" id="{CBD6E7B9-895E-44B8-86DE-5A210A0CDF11}">
            <xm:f>NOT(ISERROR(SEARCH("SM-2024/",J499)))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J499</xm:sqref>
        </x14:conditionalFormatting>
        <x14:conditionalFormatting xmlns:xm="http://schemas.microsoft.com/office/excel/2006/main">
          <x14:cfRule type="containsText" priority="7774" operator="containsText" id="{38663756-92E3-4C3A-BE76-270761C63DF3}">
            <xm:f>NOT(ISERROR(SEARCH("SM-2024/",K499)))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K499</xm:sqref>
        </x14:conditionalFormatting>
        <x14:conditionalFormatting xmlns:xm="http://schemas.microsoft.com/office/excel/2006/main">
          <x14:cfRule type="containsText" priority="7762" operator="containsText" id="{35A91EF1-DE86-4E7D-830B-C76205AE4F52}">
            <xm:f>NOT(ISERROR(SEARCH("SM-2024/",J498)))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J498</xm:sqref>
        </x14:conditionalFormatting>
        <x14:conditionalFormatting xmlns:xm="http://schemas.microsoft.com/office/excel/2006/main">
          <x14:cfRule type="containsText" priority="7759" operator="containsText" id="{04BD404E-7D63-4A23-91E3-F9BAAC9B253B}">
            <xm:f>NOT(ISERROR(SEARCH("SM-2024/",K498)))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K498</xm:sqref>
        </x14:conditionalFormatting>
        <x14:conditionalFormatting xmlns:xm="http://schemas.microsoft.com/office/excel/2006/main">
          <x14:cfRule type="containsText" priority="7747" operator="containsText" id="{CC44C0D6-E866-4D40-83BD-12D9F295B2B5}">
            <xm:f>NOT(ISERROR(SEARCH("SM-2024/",J497)))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J497</xm:sqref>
        </x14:conditionalFormatting>
        <x14:conditionalFormatting xmlns:xm="http://schemas.microsoft.com/office/excel/2006/main">
          <x14:cfRule type="containsText" priority="7744" operator="containsText" id="{F2A00095-CF99-4470-BA28-8255A7174453}">
            <xm:f>NOT(ISERROR(SEARCH("SM-2024/",K497)))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K497</xm:sqref>
        </x14:conditionalFormatting>
        <x14:conditionalFormatting xmlns:xm="http://schemas.microsoft.com/office/excel/2006/main">
          <x14:cfRule type="containsText" priority="7732" operator="containsText" id="{7C7FB8B8-94D1-43BA-82E2-CEF748437BE5}">
            <xm:f>NOT(ISERROR(SEARCH("SM-2024/",J496)))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J496</xm:sqref>
        </x14:conditionalFormatting>
        <x14:conditionalFormatting xmlns:xm="http://schemas.microsoft.com/office/excel/2006/main">
          <x14:cfRule type="containsText" priority="7729" operator="containsText" id="{DF256F0D-EE9B-4D0B-91C0-DC4E972171F7}">
            <xm:f>NOT(ISERROR(SEARCH("SM-2024/",K496)))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K496</xm:sqref>
        </x14:conditionalFormatting>
        <x14:conditionalFormatting xmlns:xm="http://schemas.microsoft.com/office/excel/2006/main">
          <x14:cfRule type="containsText" priority="7717" operator="containsText" id="{891497C0-9B38-45F1-A6E0-05210D095ED0}">
            <xm:f>NOT(ISERROR(SEARCH("SM-2024/",J495)))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J495</xm:sqref>
        </x14:conditionalFormatting>
        <x14:conditionalFormatting xmlns:xm="http://schemas.microsoft.com/office/excel/2006/main">
          <x14:cfRule type="containsText" priority="7714" operator="containsText" id="{40D2FA29-5DC0-4759-B0EF-A88F8837F614}">
            <xm:f>NOT(ISERROR(SEARCH("SM-2024/",K495)))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K495</xm:sqref>
        </x14:conditionalFormatting>
        <x14:conditionalFormatting xmlns:xm="http://schemas.microsoft.com/office/excel/2006/main">
          <x14:cfRule type="containsText" priority="7702" operator="containsText" id="{A30D704A-8552-42F5-8875-0E47E3634F4D}">
            <xm:f>NOT(ISERROR(SEARCH("SM-2024/",J494)))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J494</xm:sqref>
        </x14:conditionalFormatting>
        <x14:conditionalFormatting xmlns:xm="http://schemas.microsoft.com/office/excel/2006/main">
          <x14:cfRule type="containsText" priority="7699" operator="containsText" id="{FFD6A602-64DA-4FC5-B25A-9F198175475A}">
            <xm:f>NOT(ISERROR(SEARCH("SM-2024/",K494)))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K494</xm:sqref>
        </x14:conditionalFormatting>
        <x14:conditionalFormatting xmlns:xm="http://schemas.microsoft.com/office/excel/2006/main">
          <x14:cfRule type="containsText" priority="7687" operator="containsText" id="{7537C7E0-9D61-45F6-8F9C-E1FA7C890EBC}">
            <xm:f>NOT(ISERROR(SEARCH("SM-2024/",J493)))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J493</xm:sqref>
        </x14:conditionalFormatting>
        <x14:conditionalFormatting xmlns:xm="http://schemas.microsoft.com/office/excel/2006/main">
          <x14:cfRule type="containsText" priority="7684" operator="containsText" id="{103BD6B2-990C-4DEC-B15F-8BE79AF7A2DA}">
            <xm:f>NOT(ISERROR(SEARCH("SM-2024/",K493)))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K493</xm:sqref>
        </x14:conditionalFormatting>
        <x14:conditionalFormatting xmlns:xm="http://schemas.microsoft.com/office/excel/2006/main">
          <x14:cfRule type="containsText" priority="7672" operator="containsText" id="{33BAFE33-AF32-4A9D-A62A-F8BB17064F7C}">
            <xm:f>NOT(ISERROR(SEARCH("SM-2024/",J492)))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J492</xm:sqref>
        </x14:conditionalFormatting>
        <x14:conditionalFormatting xmlns:xm="http://schemas.microsoft.com/office/excel/2006/main">
          <x14:cfRule type="containsText" priority="7669" operator="containsText" id="{68CB9B2C-BE52-429E-BCF6-42F78C192651}">
            <xm:f>NOT(ISERROR(SEARCH("SM-2024/",K492)))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K492</xm:sqref>
        </x14:conditionalFormatting>
        <x14:conditionalFormatting xmlns:xm="http://schemas.microsoft.com/office/excel/2006/main">
          <x14:cfRule type="containsText" priority="7657" operator="containsText" id="{DA970A16-7AA0-4284-B1DA-291523A842AD}">
            <xm:f>NOT(ISERROR(SEARCH("SM-2024/",J491)))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J491</xm:sqref>
        </x14:conditionalFormatting>
        <x14:conditionalFormatting xmlns:xm="http://schemas.microsoft.com/office/excel/2006/main">
          <x14:cfRule type="containsText" priority="7654" operator="containsText" id="{4CE04309-1C25-4D6F-AEDC-471ADB9279EE}">
            <xm:f>NOT(ISERROR(SEARCH("SM-2024/",K491)))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K491</xm:sqref>
        </x14:conditionalFormatting>
        <x14:conditionalFormatting xmlns:xm="http://schemas.microsoft.com/office/excel/2006/main">
          <x14:cfRule type="containsText" priority="7642" operator="containsText" id="{172F8506-2C7A-4DE7-B446-1E44A5BD7096}">
            <xm:f>NOT(ISERROR(SEARCH("SM-2024/",J490)))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J490</xm:sqref>
        </x14:conditionalFormatting>
        <x14:conditionalFormatting xmlns:xm="http://schemas.microsoft.com/office/excel/2006/main">
          <x14:cfRule type="containsText" priority="7639" operator="containsText" id="{65591DB3-E68B-42DE-8DF1-E598AD6D134B}">
            <xm:f>NOT(ISERROR(SEARCH("SM-2024/",K490)))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K490</xm:sqref>
        </x14:conditionalFormatting>
        <x14:conditionalFormatting xmlns:xm="http://schemas.microsoft.com/office/excel/2006/main">
          <x14:cfRule type="containsText" priority="7627" operator="containsText" id="{4BCC26FA-66E8-4AB4-BEF2-E1EB7E20B1C9}">
            <xm:f>NOT(ISERROR(SEARCH("SM-2024/",J489)))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J489</xm:sqref>
        </x14:conditionalFormatting>
        <x14:conditionalFormatting xmlns:xm="http://schemas.microsoft.com/office/excel/2006/main">
          <x14:cfRule type="containsText" priority="7624" operator="containsText" id="{5E17CD6D-C8F3-4BB1-8761-ED5B0976A685}">
            <xm:f>NOT(ISERROR(SEARCH("SM-2024/",K489)))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K489</xm:sqref>
        </x14:conditionalFormatting>
        <x14:conditionalFormatting xmlns:xm="http://schemas.microsoft.com/office/excel/2006/main">
          <x14:cfRule type="containsText" priority="7612" operator="containsText" id="{B6F89601-0BD3-419B-B9FF-44EDCEB34811}">
            <xm:f>NOT(ISERROR(SEARCH("SM-2024/",J488)))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J488</xm:sqref>
        </x14:conditionalFormatting>
        <x14:conditionalFormatting xmlns:xm="http://schemas.microsoft.com/office/excel/2006/main">
          <x14:cfRule type="containsText" priority="7609" operator="containsText" id="{95D044DB-EC17-4170-B3D9-FE04C7BA81A7}">
            <xm:f>NOT(ISERROR(SEARCH("SM-2024/",K488)))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K488</xm:sqref>
        </x14:conditionalFormatting>
        <x14:conditionalFormatting xmlns:xm="http://schemas.microsoft.com/office/excel/2006/main">
          <x14:cfRule type="containsText" priority="7597" operator="containsText" id="{C3C3D8C6-5719-47E5-8829-26FD07FAEABB}">
            <xm:f>NOT(ISERROR(SEARCH("SM-2024/",J487)))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J487</xm:sqref>
        </x14:conditionalFormatting>
        <x14:conditionalFormatting xmlns:xm="http://schemas.microsoft.com/office/excel/2006/main">
          <x14:cfRule type="containsText" priority="7594" operator="containsText" id="{F18C66E3-F29E-44CC-B10B-4ECDC85E7814}">
            <xm:f>NOT(ISERROR(SEARCH("SM-2024/",K487)))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K487</xm:sqref>
        </x14:conditionalFormatting>
        <x14:conditionalFormatting xmlns:xm="http://schemas.microsoft.com/office/excel/2006/main">
          <x14:cfRule type="containsText" priority="7582" operator="containsText" id="{440C3103-28D4-4BB6-87F5-982C8913EE63}">
            <xm:f>NOT(ISERROR(SEARCH("SM-2024/",J486)))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J486</xm:sqref>
        </x14:conditionalFormatting>
        <x14:conditionalFormatting xmlns:xm="http://schemas.microsoft.com/office/excel/2006/main">
          <x14:cfRule type="containsText" priority="7579" operator="containsText" id="{06741524-E78A-4894-9580-48DFD4B2C177}">
            <xm:f>NOT(ISERROR(SEARCH("SM-2024/",K486)))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K486</xm:sqref>
        </x14:conditionalFormatting>
        <x14:conditionalFormatting xmlns:xm="http://schemas.microsoft.com/office/excel/2006/main">
          <x14:cfRule type="containsText" priority="7567" operator="containsText" id="{4ED60238-A668-4B99-9D20-53D5CE5E6BAB}">
            <xm:f>NOT(ISERROR(SEARCH("SM-2024/",J485)))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J485</xm:sqref>
        </x14:conditionalFormatting>
        <x14:conditionalFormatting xmlns:xm="http://schemas.microsoft.com/office/excel/2006/main">
          <x14:cfRule type="containsText" priority="7564" operator="containsText" id="{00BE6FA8-6147-4670-91E0-D5FD57D3A23F}">
            <xm:f>NOT(ISERROR(SEARCH("SM-2024/",K485)))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K485</xm:sqref>
        </x14:conditionalFormatting>
        <x14:conditionalFormatting xmlns:xm="http://schemas.microsoft.com/office/excel/2006/main">
          <x14:cfRule type="containsText" priority="7552" operator="containsText" id="{3E29E5E4-6999-41F7-9DE8-DE7E695050B9}">
            <xm:f>NOT(ISERROR(SEARCH("SM-2024/",J484)))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J484</xm:sqref>
        </x14:conditionalFormatting>
        <x14:conditionalFormatting xmlns:xm="http://schemas.microsoft.com/office/excel/2006/main">
          <x14:cfRule type="containsText" priority="7549" operator="containsText" id="{40225317-E667-4AC0-881A-DA3FB0484BC5}">
            <xm:f>NOT(ISERROR(SEARCH("SM-2024/",K484)))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K484</xm:sqref>
        </x14:conditionalFormatting>
        <x14:conditionalFormatting xmlns:xm="http://schemas.microsoft.com/office/excel/2006/main">
          <x14:cfRule type="containsText" priority="7537" operator="containsText" id="{F728DC99-85AF-4D08-93C3-F235CEFD5DD6}">
            <xm:f>NOT(ISERROR(SEARCH("SM-2024/",J483)))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J483</xm:sqref>
        </x14:conditionalFormatting>
        <x14:conditionalFormatting xmlns:xm="http://schemas.microsoft.com/office/excel/2006/main">
          <x14:cfRule type="containsText" priority="7534" operator="containsText" id="{C0C58404-C5AF-4A3A-B052-1D246EA8AF1D}">
            <xm:f>NOT(ISERROR(SEARCH("SM-2024/",K483)))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K483</xm:sqref>
        </x14:conditionalFormatting>
        <x14:conditionalFormatting xmlns:xm="http://schemas.microsoft.com/office/excel/2006/main">
          <x14:cfRule type="containsText" priority="7522" operator="containsText" id="{6C67D816-6B2B-46A7-A311-8DE8B6C260F3}">
            <xm:f>NOT(ISERROR(SEARCH("SM-2024/",J482)))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J482</xm:sqref>
        </x14:conditionalFormatting>
        <x14:conditionalFormatting xmlns:xm="http://schemas.microsoft.com/office/excel/2006/main">
          <x14:cfRule type="containsText" priority="7507" operator="containsText" id="{18832542-C0FF-4C81-BEA3-CB80B5C48677}">
            <xm:f>NOT(ISERROR(SEARCH("SM-2024/",J481)))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J481</xm:sqref>
        </x14:conditionalFormatting>
        <x14:conditionalFormatting xmlns:xm="http://schemas.microsoft.com/office/excel/2006/main">
          <x14:cfRule type="containsText" priority="7504" operator="containsText" id="{DAA1BF41-7D11-492B-BB17-25219B79E994}">
            <xm:f>NOT(ISERROR(SEARCH("SM-2024/",K481)))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K481</xm:sqref>
        </x14:conditionalFormatting>
        <x14:conditionalFormatting xmlns:xm="http://schemas.microsoft.com/office/excel/2006/main">
          <x14:cfRule type="containsText" priority="7492" operator="containsText" id="{ECE0F0B6-20D7-4022-90B2-59212924F8FE}">
            <xm:f>NOT(ISERROR(SEARCH("SM-2024/",J480)))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J480</xm:sqref>
        </x14:conditionalFormatting>
        <x14:conditionalFormatting xmlns:xm="http://schemas.microsoft.com/office/excel/2006/main">
          <x14:cfRule type="containsText" priority="7477" operator="containsText" id="{6D1E0753-489B-434C-9106-CD505B67308E}">
            <xm:f>NOT(ISERROR(SEARCH("SM-2024/",J479)))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J479</xm:sqref>
        </x14:conditionalFormatting>
        <x14:conditionalFormatting xmlns:xm="http://schemas.microsoft.com/office/excel/2006/main">
          <x14:cfRule type="containsText" priority="7474" operator="containsText" id="{B89DBB61-AF36-408E-B6B3-F5C4CF6A4F9F}">
            <xm:f>NOT(ISERROR(SEARCH("SM-2024/",K479)))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K479</xm:sqref>
        </x14:conditionalFormatting>
        <x14:conditionalFormatting xmlns:xm="http://schemas.microsoft.com/office/excel/2006/main">
          <x14:cfRule type="containsText" priority="7462" operator="containsText" id="{D522092C-B0FF-467F-8ECA-165D6E062655}">
            <xm:f>NOT(ISERROR(SEARCH("SM-2024/",J478)))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J478</xm:sqref>
        </x14:conditionalFormatting>
        <x14:conditionalFormatting xmlns:xm="http://schemas.microsoft.com/office/excel/2006/main">
          <x14:cfRule type="containsText" priority="7459" operator="containsText" id="{95926ED4-6485-4043-943E-1A0BD0458464}">
            <xm:f>NOT(ISERROR(SEARCH("SM-2024/",K478)))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K478</xm:sqref>
        </x14:conditionalFormatting>
        <x14:conditionalFormatting xmlns:xm="http://schemas.microsoft.com/office/excel/2006/main">
          <x14:cfRule type="containsText" priority="7447" operator="containsText" id="{DDAF083C-27BA-46FB-AD79-375C1DD7C4DB}">
            <xm:f>NOT(ISERROR(SEARCH("SM-2024/",J477)))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J477</xm:sqref>
        </x14:conditionalFormatting>
        <x14:conditionalFormatting xmlns:xm="http://schemas.microsoft.com/office/excel/2006/main">
          <x14:cfRule type="containsText" priority="7444" operator="containsText" id="{578007A7-8149-423C-AEA5-34DA8FEBF113}">
            <xm:f>NOT(ISERROR(SEARCH("SM-2024/",K477)))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K477</xm:sqref>
        </x14:conditionalFormatting>
        <x14:conditionalFormatting xmlns:xm="http://schemas.microsoft.com/office/excel/2006/main">
          <x14:cfRule type="containsText" priority="7432" operator="containsText" id="{8074C511-BEB9-41EC-BD7C-4460C78FFD9B}">
            <xm:f>NOT(ISERROR(SEARCH("SM-2024/",J476)))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J476</xm:sqref>
        </x14:conditionalFormatting>
        <x14:conditionalFormatting xmlns:xm="http://schemas.microsoft.com/office/excel/2006/main">
          <x14:cfRule type="containsText" priority="7429" operator="containsText" id="{2BEB4B77-41BC-4528-B52E-4D33E0837443}">
            <xm:f>NOT(ISERROR(SEARCH("SM-2024/",K476)))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K476</xm:sqref>
        </x14:conditionalFormatting>
        <x14:conditionalFormatting xmlns:xm="http://schemas.microsoft.com/office/excel/2006/main">
          <x14:cfRule type="containsText" priority="7417" operator="containsText" id="{FA42F545-4033-4C45-BEA5-C5216497FB4D}">
            <xm:f>NOT(ISERROR(SEARCH("SM-2024/",J475)))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J475</xm:sqref>
        </x14:conditionalFormatting>
        <x14:conditionalFormatting xmlns:xm="http://schemas.microsoft.com/office/excel/2006/main">
          <x14:cfRule type="containsText" priority="7414" operator="containsText" id="{2A5293E2-D8D7-417E-B68C-241B9BA092FC}">
            <xm:f>NOT(ISERROR(SEARCH("SM-2024/",K475)))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K475</xm:sqref>
        </x14:conditionalFormatting>
        <x14:conditionalFormatting xmlns:xm="http://schemas.microsoft.com/office/excel/2006/main">
          <x14:cfRule type="containsText" priority="7402" operator="containsText" id="{816040F2-3FCA-4127-9DAE-3C950DC17C1E}">
            <xm:f>NOT(ISERROR(SEARCH("SM-2024/",J474)))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J474</xm:sqref>
        </x14:conditionalFormatting>
        <x14:conditionalFormatting xmlns:xm="http://schemas.microsoft.com/office/excel/2006/main">
          <x14:cfRule type="containsText" priority="7399" operator="containsText" id="{4B80EB62-0518-4704-9ADF-EE9544F4F134}">
            <xm:f>NOT(ISERROR(SEARCH("SM-2024/",K474)))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K474</xm:sqref>
        </x14:conditionalFormatting>
        <x14:conditionalFormatting xmlns:xm="http://schemas.microsoft.com/office/excel/2006/main">
          <x14:cfRule type="containsText" priority="7372" operator="containsText" id="{DF11C101-60FB-412A-A012-27923F2CC00A}">
            <xm:f>NOT(ISERROR(SEARCH("SM-2024/",J473)))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J473</xm:sqref>
        </x14:conditionalFormatting>
        <x14:conditionalFormatting xmlns:xm="http://schemas.microsoft.com/office/excel/2006/main">
          <x14:cfRule type="containsText" priority="7369" operator="containsText" id="{A89C20CB-D266-4F27-92B8-9AE9A02D4868}">
            <xm:f>NOT(ISERROR(SEARCH("SM-2024/",K473)))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K473</xm:sqref>
        </x14:conditionalFormatting>
        <x14:conditionalFormatting xmlns:xm="http://schemas.microsoft.com/office/excel/2006/main">
          <x14:cfRule type="containsText" priority="7357" operator="containsText" id="{81EDFE54-2FC1-4631-9F0C-FECD59D21CDC}">
            <xm:f>NOT(ISERROR(SEARCH("SM-2024/",J472)))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J472</xm:sqref>
        </x14:conditionalFormatting>
        <x14:conditionalFormatting xmlns:xm="http://schemas.microsoft.com/office/excel/2006/main">
          <x14:cfRule type="containsText" priority="7354" operator="containsText" id="{D188101C-10B2-4EBE-8F48-5798116CE32A}">
            <xm:f>NOT(ISERROR(SEARCH("SM-2024/",K472)))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K472</xm:sqref>
        </x14:conditionalFormatting>
        <x14:conditionalFormatting xmlns:xm="http://schemas.microsoft.com/office/excel/2006/main">
          <x14:cfRule type="containsText" priority="7342" operator="containsText" id="{3169764F-D1DB-4CDD-9C3A-DE34C431710E}">
            <xm:f>NOT(ISERROR(SEARCH("SM-2024/",J471)))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J471</xm:sqref>
        </x14:conditionalFormatting>
        <x14:conditionalFormatting xmlns:xm="http://schemas.microsoft.com/office/excel/2006/main">
          <x14:cfRule type="containsText" priority="7339" operator="containsText" id="{CBB68D0F-CCEE-480A-9842-7E219AB72173}">
            <xm:f>NOT(ISERROR(SEARCH("SM-2024/",K471)))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K471</xm:sqref>
        </x14:conditionalFormatting>
        <x14:conditionalFormatting xmlns:xm="http://schemas.microsoft.com/office/excel/2006/main">
          <x14:cfRule type="containsText" priority="7297" operator="containsText" id="{25FC9760-7758-4397-9DFF-1E4A7F5D8351}">
            <xm:f>NOT(ISERROR(SEARCH("SM-2024/",J470)))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J470</xm:sqref>
        </x14:conditionalFormatting>
        <x14:conditionalFormatting xmlns:xm="http://schemas.microsoft.com/office/excel/2006/main">
          <x14:cfRule type="containsText" priority="7294" operator="containsText" id="{701C8EF7-5F20-44AC-A9C6-1C67E761A8B6}">
            <xm:f>NOT(ISERROR(SEARCH("SM-2024/",K470)))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K470</xm:sqref>
        </x14:conditionalFormatting>
        <x14:conditionalFormatting xmlns:xm="http://schemas.microsoft.com/office/excel/2006/main">
          <x14:cfRule type="containsText" priority="7282" operator="containsText" id="{0D742CAC-C87D-4A5B-A750-82565B9DB7D1}">
            <xm:f>NOT(ISERROR(SEARCH("SM-2024/",J469)))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J469</xm:sqref>
        </x14:conditionalFormatting>
        <x14:conditionalFormatting xmlns:xm="http://schemas.microsoft.com/office/excel/2006/main">
          <x14:cfRule type="containsText" priority="7279" operator="containsText" id="{DC599985-4747-4488-B7DA-1F9F90E13CD1}">
            <xm:f>NOT(ISERROR(SEARCH("SM-2024/",K469)))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K469</xm:sqref>
        </x14:conditionalFormatting>
        <x14:conditionalFormatting xmlns:xm="http://schemas.microsoft.com/office/excel/2006/main">
          <x14:cfRule type="containsText" priority="7267" operator="containsText" id="{F4427BA5-FA26-4276-B4B2-2B7362C418CB}">
            <xm:f>NOT(ISERROR(SEARCH("SM-2024/",J468)))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J468</xm:sqref>
        </x14:conditionalFormatting>
        <x14:conditionalFormatting xmlns:xm="http://schemas.microsoft.com/office/excel/2006/main">
          <x14:cfRule type="containsText" priority="7264" operator="containsText" id="{0B964361-8393-4231-ACD1-60C627E31E3F}">
            <xm:f>NOT(ISERROR(SEARCH("SM-2024/",K468)))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K468</xm:sqref>
        </x14:conditionalFormatting>
        <x14:conditionalFormatting xmlns:xm="http://schemas.microsoft.com/office/excel/2006/main">
          <x14:cfRule type="containsText" priority="7252" operator="containsText" id="{DFF44114-5769-487F-9AB4-3AD66D4FE32E}">
            <xm:f>NOT(ISERROR(SEARCH("SM-2024/",J467)))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J467</xm:sqref>
        </x14:conditionalFormatting>
        <x14:conditionalFormatting xmlns:xm="http://schemas.microsoft.com/office/excel/2006/main">
          <x14:cfRule type="containsText" priority="7249" operator="containsText" id="{AE04F4FE-3031-4430-9D5B-B202DBE53658}">
            <xm:f>NOT(ISERROR(SEARCH("SM-2024/",K467)))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K467</xm:sqref>
        </x14:conditionalFormatting>
        <x14:conditionalFormatting xmlns:xm="http://schemas.microsoft.com/office/excel/2006/main">
          <x14:cfRule type="containsText" priority="7222" operator="containsText" id="{52633CEF-DB22-44B3-B087-CA2D000A01C7}">
            <xm:f>NOT(ISERROR(SEARCH("SM-2024/",J466)))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J466</xm:sqref>
        </x14:conditionalFormatting>
        <x14:conditionalFormatting xmlns:xm="http://schemas.microsoft.com/office/excel/2006/main">
          <x14:cfRule type="containsText" priority="7219" operator="containsText" id="{8BA39AC9-E033-45F8-B676-D71A43EE0949}">
            <xm:f>NOT(ISERROR(SEARCH("SM-2024/",K466)))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K466</xm:sqref>
        </x14:conditionalFormatting>
        <x14:conditionalFormatting xmlns:xm="http://schemas.microsoft.com/office/excel/2006/main">
          <x14:cfRule type="containsText" priority="7207" operator="containsText" id="{236EC4E5-3A8A-47D7-AE98-8739BAE2F742}">
            <xm:f>NOT(ISERROR(SEARCH("SM-2024/",J465)))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J465</xm:sqref>
        </x14:conditionalFormatting>
        <x14:conditionalFormatting xmlns:xm="http://schemas.microsoft.com/office/excel/2006/main">
          <x14:cfRule type="containsText" priority="7204" operator="containsText" id="{00F2691C-E378-4DD3-952F-31806861B22D}">
            <xm:f>NOT(ISERROR(SEARCH("SM-2024/",K465)))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K465</xm:sqref>
        </x14:conditionalFormatting>
        <x14:conditionalFormatting xmlns:xm="http://schemas.microsoft.com/office/excel/2006/main">
          <x14:cfRule type="containsText" priority="7192" operator="containsText" id="{D852053B-5B17-401D-81EC-952A226DD865}">
            <xm:f>NOT(ISERROR(SEARCH("SM-2024/",J464)))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J464</xm:sqref>
        </x14:conditionalFormatting>
        <x14:conditionalFormatting xmlns:xm="http://schemas.microsoft.com/office/excel/2006/main">
          <x14:cfRule type="containsText" priority="7189" operator="containsText" id="{9B3EE1D4-9EB2-4910-A4B1-7FA4B40218C7}">
            <xm:f>NOT(ISERROR(SEARCH("SM-2024/",K464)))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K464</xm:sqref>
        </x14:conditionalFormatting>
        <x14:conditionalFormatting xmlns:xm="http://schemas.microsoft.com/office/excel/2006/main">
          <x14:cfRule type="containsText" priority="7177" operator="containsText" id="{2FCF514E-B3E2-483D-A8D1-4398050B4400}">
            <xm:f>NOT(ISERROR(SEARCH("SM-2024/",J463)))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J463</xm:sqref>
        </x14:conditionalFormatting>
        <x14:conditionalFormatting xmlns:xm="http://schemas.microsoft.com/office/excel/2006/main">
          <x14:cfRule type="containsText" priority="7174" operator="containsText" id="{6A0A85E0-4195-48BB-BA83-ED261817A184}">
            <xm:f>NOT(ISERROR(SEARCH("SM-2024/",K463)))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K463</xm:sqref>
        </x14:conditionalFormatting>
        <x14:conditionalFormatting xmlns:xm="http://schemas.microsoft.com/office/excel/2006/main">
          <x14:cfRule type="containsText" priority="7162" operator="containsText" id="{59A23457-2417-49CA-8EB5-B2D4639C6029}">
            <xm:f>NOT(ISERROR(SEARCH("SM-2024/",J462)))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J462</xm:sqref>
        </x14:conditionalFormatting>
        <x14:conditionalFormatting xmlns:xm="http://schemas.microsoft.com/office/excel/2006/main">
          <x14:cfRule type="containsText" priority="7159" operator="containsText" id="{285B59E2-B3C9-4D1C-BE3F-D5EA54D4529F}">
            <xm:f>NOT(ISERROR(SEARCH("SM-2024/",K462)))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K462</xm:sqref>
        </x14:conditionalFormatting>
        <x14:conditionalFormatting xmlns:xm="http://schemas.microsoft.com/office/excel/2006/main">
          <x14:cfRule type="containsText" priority="7147" operator="containsText" id="{167F6344-5AC3-41ED-B207-F13A620BC01C}">
            <xm:f>NOT(ISERROR(SEARCH("SM-2024/",J461)))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J461</xm:sqref>
        </x14:conditionalFormatting>
        <x14:conditionalFormatting xmlns:xm="http://schemas.microsoft.com/office/excel/2006/main">
          <x14:cfRule type="containsText" priority="7144" operator="containsText" id="{D112098D-BC1A-4A37-BA3A-6F9A06826471}">
            <xm:f>NOT(ISERROR(SEARCH("SM-2024/",K461)))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K461</xm:sqref>
        </x14:conditionalFormatting>
        <x14:conditionalFormatting xmlns:xm="http://schemas.microsoft.com/office/excel/2006/main">
          <x14:cfRule type="containsText" priority="7132" operator="containsText" id="{DD4E6823-0BE7-46E8-8E3A-87F07678A2CD}">
            <xm:f>NOT(ISERROR(SEARCH("SM-2024/",J460)))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J460</xm:sqref>
        </x14:conditionalFormatting>
        <x14:conditionalFormatting xmlns:xm="http://schemas.microsoft.com/office/excel/2006/main">
          <x14:cfRule type="containsText" priority="7129" operator="containsText" id="{ABA06918-3D15-4FA3-A101-12B5C5CED291}">
            <xm:f>NOT(ISERROR(SEARCH("SM-2024/",K460)))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K460</xm:sqref>
        </x14:conditionalFormatting>
        <x14:conditionalFormatting xmlns:xm="http://schemas.microsoft.com/office/excel/2006/main">
          <x14:cfRule type="containsText" priority="7117" operator="containsText" id="{7B82C496-5ACF-4171-8F33-F5B2FDF5F9BE}">
            <xm:f>NOT(ISERROR(SEARCH("SM-2024/",J459)))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J459</xm:sqref>
        </x14:conditionalFormatting>
        <x14:conditionalFormatting xmlns:xm="http://schemas.microsoft.com/office/excel/2006/main">
          <x14:cfRule type="containsText" priority="7114" operator="containsText" id="{5EE594CF-E4BE-4119-912D-B70848C609EB}">
            <xm:f>NOT(ISERROR(SEARCH("SM-2024/",K459)))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K459</xm:sqref>
        </x14:conditionalFormatting>
        <x14:conditionalFormatting xmlns:xm="http://schemas.microsoft.com/office/excel/2006/main">
          <x14:cfRule type="containsText" priority="7102" operator="containsText" id="{F91DB819-DC7A-4B8B-84DE-A5D92A7678D8}">
            <xm:f>NOT(ISERROR(SEARCH("SM-2024/",J458)))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J458</xm:sqref>
        </x14:conditionalFormatting>
        <x14:conditionalFormatting xmlns:xm="http://schemas.microsoft.com/office/excel/2006/main">
          <x14:cfRule type="containsText" priority="7099" operator="containsText" id="{9C17F906-2A91-41DC-B2F0-CCC0A964A26B}">
            <xm:f>NOT(ISERROR(SEARCH("SM-2024/",K458)))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K458</xm:sqref>
        </x14:conditionalFormatting>
        <x14:conditionalFormatting xmlns:xm="http://schemas.microsoft.com/office/excel/2006/main">
          <x14:cfRule type="containsText" priority="7087" operator="containsText" id="{3D05E723-7019-4B09-B8D5-A010154275D7}">
            <xm:f>NOT(ISERROR(SEARCH("SM-2024/",J457)))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J457</xm:sqref>
        </x14:conditionalFormatting>
        <x14:conditionalFormatting xmlns:xm="http://schemas.microsoft.com/office/excel/2006/main">
          <x14:cfRule type="containsText" priority="7084" operator="containsText" id="{F38FBCF0-DF1C-4805-88D1-6A1E777024FB}">
            <xm:f>NOT(ISERROR(SEARCH("SM-2024/",K457)))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K457</xm:sqref>
        </x14:conditionalFormatting>
        <x14:conditionalFormatting xmlns:xm="http://schemas.microsoft.com/office/excel/2006/main">
          <x14:cfRule type="containsText" priority="7072" operator="containsText" id="{F5B1AB8D-2398-4A81-980F-3A73EE851E83}">
            <xm:f>NOT(ISERROR(SEARCH("SM-2024/",J456)))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J456</xm:sqref>
        </x14:conditionalFormatting>
        <x14:conditionalFormatting xmlns:xm="http://schemas.microsoft.com/office/excel/2006/main">
          <x14:cfRule type="containsText" priority="7069" operator="containsText" id="{A47CF8D9-8E92-46F0-9600-B3FB90967181}">
            <xm:f>NOT(ISERROR(SEARCH("SM-2024/",K456)))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7057" operator="containsText" id="{A67BFB3D-0FA8-47DC-810C-BFA6A33E2DFA}">
            <xm:f>NOT(ISERROR(SEARCH("SM-2024/",J455)))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J455</xm:sqref>
        </x14:conditionalFormatting>
        <x14:conditionalFormatting xmlns:xm="http://schemas.microsoft.com/office/excel/2006/main">
          <x14:cfRule type="containsText" priority="7054" operator="containsText" id="{5DA0E056-87F5-4F51-97E2-2FDE79CDEEA2}">
            <xm:f>NOT(ISERROR(SEARCH("SM-2024/",K455)))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K455</xm:sqref>
        </x14:conditionalFormatting>
        <x14:conditionalFormatting xmlns:xm="http://schemas.microsoft.com/office/excel/2006/main">
          <x14:cfRule type="containsText" priority="7042" operator="containsText" id="{A99AF21A-97BF-4B9D-8AFD-42589FF22294}">
            <xm:f>NOT(ISERROR(SEARCH("SM-2024/",J454)))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J454</xm:sqref>
        </x14:conditionalFormatting>
        <x14:conditionalFormatting xmlns:xm="http://schemas.microsoft.com/office/excel/2006/main">
          <x14:cfRule type="containsText" priority="7039" operator="containsText" id="{1E8FCE71-94EB-4231-9E4A-B3E2C369C97D}">
            <xm:f>NOT(ISERROR(SEARCH("SM-2024/",K454)))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K454</xm:sqref>
        </x14:conditionalFormatting>
        <x14:conditionalFormatting xmlns:xm="http://schemas.microsoft.com/office/excel/2006/main">
          <x14:cfRule type="containsText" priority="7027" operator="containsText" id="{BB433199-C54E-48F6-990A-98AE3C57A5DC}">
            <xm:f>NOT(ISERROR(SEARCH("SM-2024/",J453)))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J453</xm:sqref>
        </x14:conditionalFormatting>
        <x14:conditionalFormatting xmlns:xm="http://schemas.microsoft.com/office/excel/2006/main">
          <x14:cfRule type="containsText" priority="7024" operator="containsText" id="{97C6B062-E3D6-43FE-A526-F53DDF11342F}">
            <xm:f>NOT(ISERROR(SEARCH("SM-2024/",K453)))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K453</xm:sqref>
        </x14:conditionalFormatting>
        <x14:conditionalFormatting xmlns:xm="http://schemas.microsoft.com/office/excel/2006/main">
          <x14:cfRule type="containsText" priority="7012" operator="containsText" id="{435ED5D2-7F9C-461C-98A4-12D83E42F2AE}">
            <xm:f>NOT(ISERROR(SEARCH("SM-2024/",J452)))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J452</xm:sqref>
        </x14:conditionalFormatting>
        <x14:conditionalFormatting xmlns:xm="http://schemas.microsoft.com/office/excel/2006/main">
          <x14:cfRule type="containsText" priority="7009" operator="containsText" id="{09C41256-C31A-4991-9DC0-34B5F2CEBDC0}">
            <xm:f>NOT(ISERROR(SEARCH("SM-2024/",K452)))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K452</xm:sqref>
        </x14:conditionalFormatting>
        <x14:conditionalFormatting xmlns:xm="http://schemas.microsoft.com/office/excel/2006/main">
          <x14:cfRule type="containsText" priority="6997" operator="containsText" id="{84E1EF8D-F690-411A-91AB-F280BBA3CE83}">
            <xm:f>NOT(ISERROR(SEARCH("SM-2024/",J451)))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J451</xm:sqref>
        </x14:conditionalFormatting>
        <x14:conditionalFormatting xmlns:xm="http://schemas.microsoft.com/office/excel/2006/main">
          <x14:cfRule type="containsText" priority="6994" operator="containsText" id="{2F02C124-82BC-4694-876D-FFB67F1D1D8A}">
            <xm:f>NOT(ISERROR(SEARCH("SM-2024/",K451)))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6982" operator="containsText" id="{4669BC77-AA4B-4FC6-A2DD-02FE11A7DD96}">
            <xm:f>NOT(ISERROR(SEARCH("SM-2024/",J450)))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J450</xm:sqref>
        </x14:conditionalFormatting>
        <x14:conditionalFormatting xmlns:xm="http://schemas.microsoft.com/office/excel/2006/main">
          <x14:cfRule type="containsText" priority="6979" operator="containsText" id="{F6D08EE2-EE49-4188-8C44-A8CF87588501}">
            <xm:f>NOT(ISERROR(SEARCH("SM-2024/",K450)))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K450</xm:sqref>
        </x14:conditionalFormatting>
        <x14:conditionalFormatting xmlns:xm="http://schemas.microsoft.com/office/excel/2006/main">
          <x14:cfRule type="containsText" priority="6967" operator="containsText" id="{C5C35FEF-736F-40EE-B5A3-7BF314A1312B}">
            <xm:f>NOT(ISERROR(SEARCH("SM-2024/",J449)))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J449</xm:sqref>
        </x14:conditionalFormatting>
        <x14:conditionalFormatting xmlns:xm="http://schemas.microsoft.com/office/excel/2006/main">
          <x14:cfRule type="containsText" priority="6964" operator="containsText" id="{40250197-CB1A-40AA-B17C-0B5530BF5EE4}">
            <xm:f>NOT(ISERROR(SEARCH("SM-2024/",K449)))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K449</xm:sqref>
        </x14:conditionalFormatting>
        <x14:conditionalFormatting xmlns:xm="http://schemas.microsoft.com/office/excel/2006/main">
          <x14:cfRule type="containsText" priority="6952" operator="containsText" id="{9BB751FC-B945-47C0-B328-AF9804086F2B}">
            <xm:f>NOT(ISERROR(SEARCH("SM-2024/",J448)))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J448</xm:sqref>
        </x14:conditionalFormatting>
        <x14:conditionalFormatting xmlns:xm="http://schemas.microsoft.com/office/excel/2006/main">
          <x14:cfRule type="containsText" priority="6949" operator="containsText" id="{DD8F1FDE-37CF-4A01-981B-5F41DC62A863}">
            <xm:f>NOT(ISERROR(SEARCH("SM-2024/",K448)))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K448</xm:sqref>
        </x14:conditionalFormatting>
        <x14:conditionalFormatting xmlns:xm="http://schemas.microsoft.com/office/excel/2006/main">
          <x14:cfRule type="containsText" priority="6907" operator="containsText" id="{169911FB-3C56-4580-A36D-D98E8FA0EEA7}">
            <xm:f>NOT(ISERROR(SEARCH("SM-2024/",J447)))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J447</xm:sqref>
        </x14:conditionalFormatting>
        <x14:conditionalFormatting xmlns:xm="http://schemas.microsoft.com/office/excel/2006/main">
          <x14:cfRule type="containsText" priority="6904" operator="containsText" id="{E7CDFB96-7803-4673-B9A1-A4532753201B}">
            <xm:f>NOT(ISERROR(SEARCH("SM-2024/",K447)))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K447</xm:sqref>
        </x14:conditionalFormatting>
        <x14:conditionalFormatting xmlns:xm="http://schemas.microsoft.com/office/excel/2006/main">
          <x14:cfRule type="containsText" priority="6892" operator="containsText" id="{19BAF041-190E-4B45-BDB9-5247D0C53B18}">
            <xm:f>NOT(ISERROR(SEARCH("SM-2024/",J446)))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J446</xm:sqref>
        </x14:conditionalFormatting>
        <x14:conditionalFormatting xmlns:xm="http://schemas.microsoft.com/office/excel/2006/main">
          <x14:cfRule type="containsText" priority="6889" operator="containsText" id="{22E30421-788D-4671-88EA-CF5FD4C1D8EB}">
            <xm:f>NOT(ISERROR(SEARCH("SM-2024/",K446)))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K446</xm:sqref>
        </x14:conditionalFormatting>
        <x14:conditionalFormatting xmlns:xm="http://schemas.microsoft.com/office/excel/2006/main">
          <x14:cfRule type="containsText" priority="6877" operator="containsText" id="{6E26DFFB-3A20-410F-9F27-7D256BF9DD15}">
            <xm:f>NOT(ISERROR(SEARCH("SM-2024/",J445)))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J445</xm:sqref>
        </x14:conditionalFormatting>
        <x14:conditionalFormatting xmlns:xm="http://schemas.microsoft.com/office/excel/2006/main">
          <x14:cfRule type="containsText" priority="6874" operator="containsText" id="{4773091C-486F-4463-A9C2-5F15648AD2B7}">
            <xm:f>NOT(ISERROR(SEARCH("SM-2024/",K445)))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K445</xm:sqref>
        </x14:conditionalFormatting>
        <x14:conditionalFormatting xmlns:xm="http://schemas.microsoft.com/office/excel/2006/main">
          <x14:cfRule type="containsText" priority="6862" operator="containsText" id="{961E5682-EB4B-452A-8257-8E09D023500E}">
            <xm:f>NOT(ISERROR(SEARCH("SM-2024/",J444)))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J444</xm:sqref>
        </x14:conditionalFormatting>
        <x14:conditionalFormatting xmlns:xm="http://schemas.microsoft.com/office/excel/2006/main">
          <x14:cfRule type="containsText" priority="6859" operator="containsText" id="{E5398CE2-0134-4DDF-90A1-0831AF3782DB}">
            <xm:f>NOT(ISERROR(SEARCH("SM-2024/",K444)))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K444</xm:sqref>
        </x14:conditionalFormatting>
        <x14:conditionalFormatting xmlns:xm="http://schemas.microsoft.com/office/excel/2006/main">
          <x14:cfRule type="containsText" priority="6847" operator="containsText" id="{E8440DE7-1C91-4358-BE1E-ED1B44A7216F}">
            <xm:f>NOT(ISERROR(SEARCH("SM-2024/",J443)))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J443</xm:sqref>
        </x14:conditionalFormatting>
        <x14:conditionalFormatting xmlns:xm="http://schemas.microsoft.com/office/excel/2006/main">
          <x14:cfRule type="containsText" priority="6844" operator="containsText" id="{45104642-0098-4B5D-B604-2849566A3DF4}">
            <xm:f>NOT(ISERROR(SEARCH("SM-2024/",K443)))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K443</xm:sqref>
        </x14:conditionalFormatting>
        <x14:conditionalFormatting xmlns:xm="http://schemas.microsoft.com/office/excel/2006/main">
          <x14:cfRule type="containsText" priority="6832" operator="containsText" id="{20B46B8D-761E-455C-9E95-283660AC1A70}">
            <xm:f>NOT(ISERROR(SEARCH("SM-2024/",J442)))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J442</xm:sqref>
        </x14:conditionalFormatting>
        <x14:conditionalFormatting xmlns:xm="http://schemas.microsoft.com/office/excel/2006/main">
          <x14:cfRule type="containsText" priority="6829" operator="containsText" id="{6C08A3ED-7AAA-4506-9630-B009F6D78FC6}">
            <xm:f>NOT(ISERROR(SEARCH("SM-2024/",K442)))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K442</xm:sqref>
        </x14:conditionalFormatting>
        <x14:conditionalFormatting xmlns:xm="http://schemas.microsoft.com/office/excel/2006/main">
          <x14:cfRule type="containsText" priority="6817" operator="containsText" id="{553A2252-982F-4A58-B943-7329359E49BE}">
            <xm:f>NOT(ISERROR(SEARCH("SM-2024/",J441)))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J441</xm:sqref>
        </x14:conditionalFormatting>
        <x14:conditionalFormatting xmlns:xm="http://schemas.microsoft.com/office/excel/2006/main">
          <x14:cfRule type="containsText" priority="6814" operator="containsText" id="{3759F37F-2696-4855-B95D-A3245C19E33D}">
            <xm:f>NOT(ISERROR(SEARCH("SM-2024/",K441)))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K441</xm:sqref>
        </x14:conditionalFormatting>
        <x14:conditionalFormatting xmlns:xm="http://schemas.microsoft.com/office/excel/2006/main">
          <x14:cfRule type="containsText" priority="6802" operator="containsText" id="{B21A1072-B9BD-405B-89D2-A2B5DB8BD884}">
            <xm:f>NOT(ISERROR(SEARCH("SM-2024/",J440)))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J440</xm:sqref>
        </x14:conditionalFormatting>
        <x14:conditionalFormatting xmlns:xm="http://schemas.microsoft.com/office/excel/2006/main">
          <x14:cfRule type="containsText" priority="6799" operator="containsText" id="{41046993-8926-4827-BC71-AA1DDCC4C2FE}">
            <xm:f>NOT(ISERROR(SEARCH("SM-2024/",K440)))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K440</xm:sqref>
        </x14:conditionalFormatting>
        <x14:conditionalFormatting xmlns:xm="http://schemas.microsoft.com/office/excel/2006/main">
          <x14:cfRule type="containsText" priority="6787" operator="containsText" id="{3C21FDB6-E26E-49EB-94FF-7AB1B564D2B0}">
            <xm:f>NOT(ISERROR(SEARCH("SM-2024/",J439)))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J439</xm:sqref>
        </x14:conditionalFormatting>
        <x14:conditionalFormatting xmlns:xm="http://schemas.microsoft.com/office/excel/2006/main">
          <x14:cfRule type="containsText" priority="6784" operator="containsText" id="{0EE54872-52A0-45D3-AC14-A17824B2C886}">
            <xm:f>NOT(ISERROR(SEARCH("SM-2024/",K439)))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K439</xm:sqref>
        </x14:conditionalFormatting>
        <x14:conditionalFormatting xmlns:xm="http://schemas.microsoft.com/office/excel/2006/main">
          <x14:cfRule type="containsText" priority="6772" operator="containsText" id="{86A32BC9-33CF-4AAD-9512-21D11D1ADAF7}">
            <xm:f>NOT(ISERROR(SEARCH("SM-2024/",J438)))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J438</xm:sqref>
        </x14:conditionalFormatting>
        <x14:conditionalFormatting xmlns:xm="http://schemas.microsoft.com/office/excel/2006/main">
          <x14:cfRule type="containsText" priority="6769" operator="containsText" id="{3B212C59-71B1-4AC6-B5F8-8DEF51C015B1}">
            <xm:f>NOT(ISERROR(SEARCH("SM-2024/",K438)))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K438</xm:sqref>
        </x14:conditionalFormatting>
        <x14:conditionalFormatting xmlns:xm="http://schemas.microsoft.com/office/excel/2006/main">
          <x14:cfRule type="containsText" priority="6757" operator="containsText" id="{95134963-2248-4DBA-90A0-431924B2DF1C}">
            <xm:f>NOT(ISERROR(SEARCH("SM-2024/",J437)))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J437</xm:sqref>
        </x14:conditionalFormatting>
        <x14:conditionalFormatting xmlns:xm="http://schemas.microsoft.com/office/excel/2006/main">
          <x14:cfRule type="containsText" priority="6754" operator="containsText" id="{8454218E-312D-419F-8300-9B6679A06B5E}">
            <xm:f>NOT(ISERROR(SEARCH("SM-2024/",K437)))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K437</xm:sqref>
        </x14:conditionalFormatting>
        <x14:conditionalFormatting xmlns:xm="http://schemas.microsoft.com/office/excel/2006/main">
          <x14:cfRule type="containsText" priority="6742" operator="containsText" id="{198702E3-F82C-4C3E-A896-3A7F3FA30993}">
            <xm:f>NOT(ISERROR(SEARCH("SM-2024/",J436)))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J436</xm:sqref>
        </x14:conditionalFormatting>
        <x14:conditionalFormatting xmlns:xm="http://schemas.microsoft.com/office/excel/2006/main">
          <x14:cfRule type="containsText" priority="6739" operator="containsText" id="{C291AC1B-5C1D-4829-9E74-3663C56E1F2A}">
            <xm:f>NOT(ISERROR(SEARCH("SM-2024/",K436)))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K436</xm:sqref>
        </x14:conditionalFormatting>
        <x14:conditionalFormatting xmlns:xm="http://schemas.microsoft.com/office/excel/2006/main">
          <x14:cfRule type="containsText" priority="6727" operator="containsText" id="{67326E5C-D21F-4B67-9F8B-B42C6CF3D73B}">
            <xm:f>NOT(ISERROR(SEARCH("SM-2024/",J435)))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J435</xm:sqref>
        </x14:conditionalFormatting>
        <x14:conditionalFormatting xmlns:xm="http://schemas.microsoft.com/office/excel/2006/main">
          <x14:cfRule type="containsText" priority="6724" operator="containsText" id="{4B1A19F7-B36C-4067-85BE-CB224A5A4393}">
            <xm:f>NOT(ISERROR(SEARCH("SM-2024/",K435)))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K435</xm:sqref>
        </x14:conditionalFormatting>
        <x14:conditionalFormatting xmlns:xm="http://schemas.microsoft.com/office/excel/2006/main">
          <x14:cfRule type="containsText" priority="6712" operator="containsText" id="{9D2A312B-BA9A-46FA-BC02-FCAE0E762082}">
            <xm:f>NOT(ISERROR(SEARCH("SM-2024/",J434)))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J434</xm:sqref>
        </x14:conditionalFormatting>
        <x14:conditionalFormatting xmlns:xm="http://schemas.microsoft.com/office/excel/2006/main">
          <x14:cfRule type="containsText" priority="6709" operator="containsText" id="{B118F5E1-DD6A-46DF-A758-C510DF14EB22}">
            <xm:f>NOT(ISERROR(SEARCH("SM-2024/",K434)))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K434</xm:sqref>
        </x14:conditionalFormatting>
        <x14:conditionalFormatting xmlns:xm="http://schemas.microsoft.com/office/excel/2006/main">
          <x14:cfRule type="containsText" priority="6697" operator="containsText" id="{32B9DD67-B516-4F8E-B0FF-F2F50EC2FF24}">
            <xm:f>NOT(ISERROR(SEARCH("SM-2024/",J433)))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J433</xm:sqref>
        </x14:conditionalFormatting>
        <x14:conditionalFormatting xmlns:xm="http://schemas.microsoft.com/office/excel/2006/main">
          <x14:cfRule type="containsText" priority="6694" operator="containsText" id="{5C2290D6-7BDD-4580-A6DF-435B28D31345}">
            <xm:f>NOT(ISERROR(SEARCH("SM-2024/",K433)))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K433</xm:sqref>
        </x14:conditionalFormatting>
        <x14:conditionalFormatting xmlns:xm="http://schemas.microsoft.com/office/excel/2006/main">
          <x14:cfRule type="containsText" priority="6682" operator="containsText" id="{2DCCFA5E-EAD7-4F7C-9542-572134B76DC4}">
            <xm:f>NOT(ISERROR(SEARCH("SM-2024/",J432)))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J432</xm:sqref>
        </x14:conditionalFormatting>
        <x14:conditionalFormatting xmlns:xm="http://schemas.microsoft.com/office/excel/2006/main">
          <x14:cfRule type="containsText" priority="6679" operator="containsText" id="{08492C28-9A45-42A9-A54C-AB69C0450455}">
            <xm:f>NOT(ISERROR(SEARCH("SM-2024/",K432)))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K432</xm:sqref>
        </x14:conditionalFormatting>
        <x14:conditionalFormatting xmlns:xm="http://schemas.microsoft.com/office/excel/2006/main">
          <x14:cfRule type="containsText" priority="6667" operator="containsText" id="{B370E2C8-BF42-49B6-B285-71E25CFA0AD3}">
            <xm:f>NOT(ISERROR(SEARCH("SM-2024/",J431)))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J431</xm:sqref>
        </x14:conditionalFormatting>
        <x14:conditionalFormatting xmlns:xm="http://schemas.microsoft.com/office/excel/2006/main">
          <x14:cfRule type="containsText" priority="6664" operator="containsText" id="{038CCD2C-2A83-4E1B-97C0-5760CFEA57A5}">
            <xm:f>NOT(ISERROR(SEARCH("SM-2024/",K431)))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K431</xm:sqref>
        </x14:conditionalFormatting>
        <x14:conditionalFormatting xmlns:xm="http://schemas.microsoft.com/office/excel/2006/main">
          <x14:cfRule type="containsText" priority="6652" operator="containsText" id="{EA2383BF-BD8B-4DCD-B72A-669B7B956D99}">
            <xm:f>NOT(ISERROR(SEARCH("SM-2024/",J430)))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J430</xm:sqref>
        </x14:conditionalFormatting>
        <x14:conditionalFormatting xmlns:xm="http://schemas.microsoft.com/office/excel/2006/main">
          <x14:cfRule type="containsText" priority="6635" operator="containsText" id="{8B10AEF4-BCA7-48A4-8503-7BECC086DFD0}">
            <xm:f>NOT(ISERROR(SEARCH("SM-2024/",J429)))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J429</xm:sqref>
        </x14:conditionalFormatting>
        <x14:conditionalFormatting xmlns:xm="http://schemas.microsoft.com/office/excel/2006/main">
          <x14:cfRule type="containsText" priority="6620" operator="containsText" id="{277614DC-C186-460D-AF72-C32902D309E8}">
            <xm:f>NOT(ISERROR(SEARCH("SM-2024/",J428)))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J428</xm:sqref>
        </x14:conditionalFormatting>
        <x14:conditionalFormatting xmlns:xm="http://schemas.microsoft.com/office/excel/2006/main">
          <x14:cfRule type="containsText" priority="6617" operator="containsText" id="{D75EE5F5-1FA7-4355-ACCA-4BC25B912CDC}">
            <xm:f>NOT(ISERROR(SEARCH("SM-2024/",K428)))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K428</xm:sqref>
        </x14:conditionalFormatting>
        <x14:conditionalFormatting xmlns:xm="http://schemas.microsoft.com/office/excel/2006/main">
          <x14:cfRule type="containsText" priority="6605" operator="containsText" id="{6ED0DFB7-71DE-4207-883C-E91235EB4BB0}">
            <xm:f>NOT(ISERROR(SEARCH("SM-2024/",J427)))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J427</xm:sqref>
        </x14:conditionalFormatting>
        <x14:conditionalFormatting xmlns:xm="http://schemas.microsoft.com/office/excel/2006/main">
          <x14:cfRule type="containsText" priority="6590" operator="containsText" id="{D03509F1-47BA-4864-81A5-4A0D77DCA4F8}">
            <xm:f>NOT(ISERROR(SEARCH("SM-2024/",J426)))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J426</xm:sqref>
        </x14:conditionalFormatting>
        <x14:conditionalFormatting xmlns:xm="http://schemas.microsoft.com/office/excel/2006/main">
          <x14:cfRule type="containsText" priority="6587" operator="containsText" id="{FF41243D-256C-4578-84E8-DFB2088946C7}">
            <xm:f>NOT(ISERROR(SEARCH("SM-2024/",K426)))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K426</xm:sqref>
        </x14:conditionalFormatting>
        <x14:conditionalFormatting xmlns:xm="http://schemas.microsoft.com/office/excel/2006/main">
          <x14:cfRule type="containsText" priority="6575" operator="containsText" id="{2248FB11-4CCC-4701-8009-058A9AB4F004}">
            <xm:f>NOT(ISERROR(SEARCH("SM-2024/",J425)))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J425</xm:sqref>
        </x14:conditionalFormatting>
        <x14:conditionalFormatting xmlns:xm="http://schemas.microsoft.com/office/excel/2006/main">
          <x14:cfRule type="containsText" priority="6572" operator="containsText" id="{9F9855FA-9554-42BB-B485-9660AA069B6D}">
            <xm:f>NOT(ISERROR(SEARCH("SM-2024/",K425)))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K425</xm:sqref>
        </x14:conditionalFormatting>
        <x14:conditionalFormatting xmlns:xm="http://schemas.microsoft.com/office/excel/2006/main">
          <x14:cfRule type="containsText" priority="6560" operator="containsText" id="{8FEB0CB5-8152-4438-B93D-0617F00BFAC5}">
            <xm:f>NOT(ISERROR(SEARCH("SM-2024/",J424)))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J424</xm:sqref>
        </x14:conditionalFormatting>
        <x14:conditionalFormatting xmlns:xm="http://schemas.microsoft.com/office/excel/2006/main">
          <x14:cfRule type="containsText" priority="6557" operator="containsText" id="{E2038410-C755-4C3E-9E4C-BFFD6A5D38FC}">
            <xm:f>NOT(ISERROR(SEARCH("SM-2024/",K424)))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K424</xm:sqref>
        </x14:conditionalFormatting>
        <x14:conditionalFormatting xmlns:xm="http://schemas.microsoft.com/office/excel/2006/main">
          <x14:cfRule type="containsText" priority="6545" operator="containsText" id="{89A45599-83C6-42FD-9388-D4EAAF2AA52E}">
            <xm:f>NOT(ISERROR(SEARCH("SM-2024/",J423)))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J423</xm:sqref>
        </x14:conditionalFormatting>
        <x14:conditionalFormatting xmlns:xm="http://schemas.microsoft.com/office/excel/2006/main">
          <x14:cfRule type="containsText" priority="6542" operator="containsText" id="{0C7D5FDD-E9D6-44E2-81D2-B5537CFEFA0D}">
            <xm:f>NOT(ISERROR(SEARCH("SM-2024/",K423)))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K423</xm:sqref>
        </x14:conditionalFormatting>
        <x14:conditionalFormatting xmlns:xm="http://schemas.microsoft.com/office/excel/2006/main">
          <x14:cfRule type="containsText" priority="6530" operator="containsText" id="{0E5886E9-8FD1-42F1-9FC8-7646DFEA0E69}">
            <xm:f>NOT(ISERROR(SEARCH("SM-2024/",J422)))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J422</xm:sqref>
        </x14:conditionalFormatting>
        <x14:conditionalFormatting xmlns:xm="http://schemas.microsoft.com/office/excel/2006/main">
          <x14:cfRule type="containsText" priority="6527" operator="containsText" id="{2DF8936B-0F15-49A6-97D2-48668AA7D135}">
            <xm:f>NOT(ISERROR(SEARCH("SM-2024/",K422)))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K422</xm:sqref>
        </x14:conditionalFormatting>
        <x14:conditionalFormatting xmlns:xm="http://schemas.microsoft.com/office/excel/2006/main">
          <x14:cfRule type="containsText" priority="6515" operator="containsText" id="{5CDCC6DB-4441-4772-8FBE-3074DC872B05}">
            <xm:f>NOT(ISERROR(SEARCH("SM-2024/",J421)))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J421</xm:sqref>
        </x14:conditionalFormatting>
        <x14:conditionalFormatting xmlns:xm="http://schemas.microsoft.com/office/excel/2006/main">
          <x14:cfRule type="containsText" priority="6512" operator="containsText" id="{063EEC67-C783-449F-A89B-A1B8DDAAD3ED}">
            <xm:f>NOT(ISERROR(SEARCH("SM-2024/",K421)))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K421</xm:sqref>
        </x14:conditionalFormatting>
        <x14:conditionalFormatting xmlns:xm="http://schemas.microsoft.com/office/excel/2006/main">
          <x14:cfRule type="containsText" priority="6500" operator="containsText" id="{DF574836-F852-4549-ADEC-D8B4D58EDA5E}">
            <xm:f>NOT(ISERROR(SEARCH("SM-2024/",J420)))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J420</xm:sqref>
        </x14:conditionalFormatting>
        <x14:conditionalFormatting xmlns:xm="http://schemas.microsoft.com/office/excel/2006/main">
          <x14:cfRule type="containsText" priority="6497" operator="containsText" id="{841C97A0-2F56-4EE8-9696-9B715DCD3847}">
            <xm:f>NOT(ISERROR(SEARCH("SM-2024/",K420)))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K420</xm:sqref>
        </x14:conditionalFormatting>
        <x14:conditionalFormatting xmlns:xm="http://schemas.microsoft.com/office/excel/2006/main">
          <x14:cfRule type="containsText" priority="6485" operator="containsText" id="{F2E2AD31-2604-4D33-91BE-873683BDFB93}">
            <xm:f>NOT(ISERROR(SEARCH("SM-2024/",J419)))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J419</xm:sqref>
        </x14:conditionalFormatting>
        <x14:conditionalFormatting xmlns:xm="http://schemas.microsoft.com/office/excel/2006/main">
          <x14:cfRule type="containsText" priority="6482" operator="containsText" id="{BB0AE624-E308-418C-BA77-3A6C8D6B9936}">
            <xm:f>NOT(ISERROR(SEARCH("SM-2024/",K419)))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K419</xm:sqref>
        </x14:conditionalFormatting>
        <x14:conditionalFormatting xmlns:xm="http://schemas.microsoft.com/office/excel/2006/main">
          <x14:cfRule type="containsText" priority="6470" operator="containsText" id="{5C5B5B51-3407-4F38-B7D9-9D7B8DD72109}">
            <xm:f>NOT(ISERROR(SEARCH("SM-2024/",J418)))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J418</xm:sqref>
        </x14:conditionalFormatting>
        <x14:conditionalFormatting xmlns:xm="http://schemas.microsoft.com/office/excel/2006/main">
          <x14:cfRule type="containsText" priority="6467" operator="containsText" id="{C05198F8-5BC9-4FB8-AFB9-4969987848A9}">
            <xm:f>NOT(ISERROR(SEARCH("SM-2024/",K418)))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K418</xm:sqref>
        </x14:conditionalFormatting>
        <x14:conditionalFormatting xmlns:xm="http://schemas.microsoft.com/office/excel/2006/main">
          <x14:cfRule type="containsText" priority="6455" operator="containsText" id="{6A3A0E2D-62B9-4C53-BC73-4FC5B3CF4BBA}">
            <xm:f>NOT(ISERROR(SEARCH("SM-2024/",J417)))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J417</xm:sqref>
        </x14:conditionalFormatting>
        <x14:conditionalFormatting xmlns:xm="http://schemas.microsoft.com/office/excel/2006/main">
          <x14:cfRule type="containsText" priority="6452" operator="containsText" id="{7848A9B1-C2FC-45AF-9334-406771E39B8E}">
            <xm:f>NOT(ISERROR(SEARCH("SM-2024/",K417)))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K417</xm:sqref>
        </x14:conditionalFormatting>
        <x14:conditionalFormatting xmlns:xm="http://schemas.microsoft.com/office/excel/2006/main">
          <x14:cfRule type="containsText" priority="6440" operator="containsText" id="{183D3269-3182-41DD-9B82-A9AF7C7418CF}">
            <xm:f>NOT(ISERROR(SEARCH("SM-2024/",J416)))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J416</xm:sqref>
        </x14:conditionalFormatting>
        <x14:conditionalFormatting xmlns:xm="http://schemas.microsoft.com/office/excel/2006/main">
          <x14:cfRule type="containsText" priority="6437" operator="containsText" id="{AB10D1F9-FE17-47D9-B7BB-9DFDDA3AED87}">
            <xm:f>NOT(ISERROR(SEARCH("SM-2024/",K416)))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K416</xm:sqref>
        </x14:conditionalFormatting>
        <x14:conditionalFormatting xmlns:xm="http://schemas.microsoft.com/office/excel/2006/main">
          <x14:cfRule type="containsText" priority="6425" operator="containsText" id="{F6E07E0C-25A6-448F-933A-C2BF71089299}">
            <xm:f>NOT(ISERROR(SEARCH("SM-2024/",J415)))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J415</xm:sqref>
        </x14:conditionalFormatting>
        <x14:conditionalFormatting xmlns:xm="http://schemas.microsoft.com/office/excel/2006/main">
          <x14:cfRule type="containsText" priority="6422" operator="containsText" id="{72FCD505-3992-4FF1-8E6D-87A1345BE841}">
            <xm:f>NOT(ISERROR(SEARCH("SM-2024/",K415)))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K415</xm:sqref>
        </x14:conditionalFormatting>
        <x14:conditionalFormatting xmlns:xm="http://schemas.microsoft.com/office/excel/2006/main">
          <x14:cfRule type="containsText" priority="6410" operator="containsText" id="{8E1F5159-F0C1-4E9B-ABE4-22088702D764}">
            <xm:f>NOT(ISERROR(SEARCH("SM-2024/",J414)))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J414</xm:sqref>
        </x14:conditionalFormatting>
        <x14:conditionalFormatting xmlns:xm="http://schemas.microsoft.com/office/excel/2006/main">
          <x14:cfRule type="containsText" priority="6407" operator="containsText" id="{DA874430-E724-4C9D-B3BA-1A8283BAEE6A}">
            <xm:f>NOT(ISERROR(SEARCH("SM-2024/",K414)))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K414</xm:sqref>
        </x14:conditionalFormatting>
        <x14:conditionalFormatting xmlns:xm="http://schemas.microsoft.com/office/excel/2006/main">
          <x14:cfRule type="containsText" priority="6395" operator="containsText" id="{2C04FB93-FE87-481E-BD69-553C79CD3873}">
            <xm:f>NOT(ISERROR(SEARCH("SM-2024/",J413)))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J413</xm:sqref>
        </x14:conditionalFormatting>
        <x14:conditionalFormatting xmlns:xm="http://schemas.microsoft.com/office/excel/2006/main">
          <x14:cfRule type="containsText" priority="6392" operator="containsText" id="{1DF9E4C3-9E18-47AC-AAD6-1159265922FE}">
            <xm:f>NOT(ISERROR(SEARCH("SM-2024/",K413)))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K413</xm:sqref>
        </x14:conditionalFormatting>
        <x14:conditionalFormatting xmlns:xm="http://schemas.microsoft.com/office/excel/2006/main">
          <x14:cfRule type="containsText" priority="6380" operator="containsText" id="{56250C69-ED77-4B88-B682-BE8296F5A09C}">
            <xm:f>NOT(ISERROR(SEARCH("SM-2024/",J412)))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J412</xm:sqref>
        </x14:conditionalFormatting>
        <x14:conditionalFormatting xmlns:xm="http://schemas.microsoft.com/office/excel/2006/main">
          <x14:cfRule type="containsText" priority="6377" operator="containsText" id="{690F3A28-DE18-4CB3-92D8-CF129D965EEC}">
            <xm:f>NOT(ISERROR(SEARCH("SM-2024/",K412)))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K412</xm:sqref>
        </x14:conditionalFormatting>
        <x14:conditionalFormatting xmlns:xm="http://schemas.microsoft.com/office/excel/2006/main">
          <x14:cfRule type="containsText" priority="6365" operator="containsText" id="{93C29691-330A-4CA5-8D9A-1A88C273CEE6}">
            <xm:f>NOT(ISERROR(SEARCH("SM-2024/",J411)))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J411</xm:sqref>
        </x14:conditionalFormatting>
        <x14:conditionalFormatting xmlns:xm="http://schemas.microsoft.com/office/excel/2006/main">
          <x14:cfRule type="containsText" priority="6362" operator="containsText" id="{D34AFD37-BB2E-4268-B1E5-6D4D69191E2B}">
            <xm:f>NOT(ISERROR(SEARCH("SM-2024/",K411)))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K411</xm:sqref>
        </x14:conditionalFormatting>
        <x14:conditionalFormatting xmlns:xm="http://schemas.microsoft.com/office/excel/2006/main">
          <x14:cfRule type="containsText" priority="6350" operator="containsText" id="{05C1A707-B0F8-40BE-98EF-7D39CABBED0A}">
            <xm:f>NOT(ISERROR(SEARCH("SM-2024/",J410)))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J410</xm:sqref>
        </x14:conditionalFormatting>
        <x14:conditionalFormatting xmlns:xm="http://schemas.microsoft.com/office/excel/2006/main">
          <x14:cfRule type="containsText" priority="6347" operator="containsText" id="{489771DE-7802-46ED-93CD-5A781F3C1E85}">
            <xm:f>NOT(ISERROR(SEARCH("SM-2024/",K410)))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K410</xm:sqref>
        </x14:conditionalFormatting>
        <x14:conditionalFormatting xmlns:xm="http://schemas.microsoft.com/office/excel/2006/main">
          <x14:cfRule type="containsText" priority="6335" operator="containsText" id="{60C911E7-BE69-4745-9E9A-09831DC7B7C8}">
            <xm:f>NOT(ISERROR(SEARCH("SM-2024/",J409)))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J409</xm:sqref>
        </x14:conditionalFormatting>
        <x14:conditionalFormatting xmlns:xm="http://schemas.microsoft.com/office/excel/2006/main">
          <x14:cfRule type="containsText" priority="6332" operator="containsText" id="{D7751E91-C11D-4151-84DE-321E7172A7E8}">
            <xm:f>NOT(ISERROR(SEARCH("SM-2024/",K409)))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K409</xm:sqref>
        </x14:conditionalFormatting>
        <x14:conditionalFormatting xmlns:xm="http://schemas.microsoft.com/office/excel/2006/main">
          <x14:cfRule type="containsText" priority="6320" operator="containsText" id="{A69CD11A-DE89-4C35-9A7E-C980C6854DA8}">
            <xm:f>NOT(ISERROR(SEARCH("SM-2024/",J408)))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J408</xm:sqref>
        </x14:conditionalFormatting>
        <x14:conditionalFormatting xmlns:xm="http://schemas.microsoft.com/office/excel/2006/main">
          <x14:cfRule type="containsText" priority="6317" operator="containsText" id="{D11FBC44-CF1F-4BBC-A6C2-621B4EE8C420}">
            <xm:f>NOT(ISERROR(SEARCH("SM-2024/",K408)))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K408</xm:sqref>
        </x14:conditionalFormatting>
        <x14:conditionalFormatting xmlns:xm="http://schemas.microsoft.com/office/excel/2006/main">
          <x14:cfRule type="containsText" priority="6305" operator="containsText" id="{27CE1767-C164-4582-947A-C2F17622D11F}">
            <xm:f>NOT(ISERROR(SEARCH("SM-2024/",J407)))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J407</xm:sqref>
        </x14:conditionalFormatting>
        <x14:conditionalFormatting xmlns:xm="http://schemas.microsoft.com/office/excel/2006/main">
          <x14:cfRule type="containsText" priority="6302" operator="containsText" id="{6B7D9F66-ADD5-4301-9647-B780D5F77D2E}">
            <xm:f>NOT(ISERROR(SEARCH("SM-2024/",K407)))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K407</xm:sqref>
        </x14:conditionalFormatting>
        <x14:conditionalFormatting xmlns:xm="http://schemas.microsoft.com/office/excel/2006/main">
          <x14:cfRule type="containsText" priority="6290" operator="containsText" id="{37EFF4F1-25E4-4178-8731-DD5CE3809862}">
            <xm:f>NOT(ISERROR(SEARCH("SM-2024/",J406)))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J406</xm:sqref>
        </x14:conditionalFormatting>
        <x14:conditionalFormatting xmlns:xm="http://schemas.microsoft.com/office/excel/2006/main">
          <x14:cfRule type="containsText" priority="6287" operator="containsText" id="{CC5D719F-2DD2-4661-A772-0693D1EA4AD1}">
            <xm:f>NOT(ISERROR(SEARCH("SM-2024/",K406)))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K406</xm:sqref>
        </x14:conditionalFormatting>
        <x14:conditionalFormatting xmlns:xm="http://schemas.microsoft.com/office/excel/2006/main">
          <x14:cfRule type="containsText" priority="6275" operator="containsText" id="{235E3A34-ECC1-4386-9F7D-31D20C53FAE9}">
            <xm:f>NOT(ISERROR(SEARCH("SM-2024/",J405)))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J405</xm:sqref>
        </x14:conditionalFormatting>
        <x14:conditionalFormatting xmlns:xm="http://schemas.microsoft.com/office/excel/2006/main">
          <x14:cfRule type="containsText" priority="6272" operator="containsText" id="{E1ABC7C2-7ED7-42BD-8259-8672F7E1CB3F}">
            <xm:f>NOT(ISERROR(SEARCH("SM-2024/",K405)))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K405</xm:sqref>
        </x14:conditionalFormatting>
        <x14:conditionalFormatting xmlns:xm="http://schemas.microsoft.com/office/excel/2006/main">
          <x14:cfRule type="containsText" priority="6260" operator="containsText" id="{7A268C85-6098-4292-BA22-6F27E256245C}">
            <xm:f>NOT(ISERROR(SEARCH("SM-2024/",J404)))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J404</xm:sqref>
        </x14:conditionalFormatting>
        <x14:conditionalFormatting xmlns:xm="http://schemas.microsoft.com/office/excel/2006/main">
          <x14:cfRule type="containsText" priority="6257" operator="containsText" id="{3B4D6D50-1131-4D89-8365-C337B88F119F}">
            <xm:f>NOT(ISERROR(SEARCH("SM-2024/",K404)))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K404</xm:sqref>
        </x14:conditionalFormatting>
        <x14:conditionalFormatting xmlns:xm="http://schemas.microsoft.com/office/excel/2006/main">
          <x14:cfRule type="containsText" priority="6245" operator="containsText" id="{0CAED3D6-B567-47DD-A5CF-070B95D94FE0}">
            <xm:f>NOT(ISERROR(SEARCH("SM-2024/",J403)))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J403</xm:sqref>
        </x14:conditionalFormatting>
        <x14:conditionalFormatting xmlns:xm="http://schemas.microsoft.com/office/excel/2006/main">
          <x14:cfRule type="containsText" priority="6242" operator="containsText" id="{667ED587-BD04-4DC1-9C7F-F13589F61F5A}">
            <xm:f>NOT(ISERROR(SEARCH("SM-2024/",K403)))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K403</xm:sqref>
        </x14:conditionalFormatting>
        <x14:conditionalFormatting xmlns:xm="http://schemas.microsoft.com/office/excel/2006/main">
          <x14:cfRule type="containsText" priority="6230" operator="containsText" id="{82D7A985-CE14-41DB-B7B1-FB03329AEFC9}">
            <xm:f>NOT(ISERROR(SEARCH("SM-2024/",J402)))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J402</xm:sqref>
        </x14:conditionalFormatting>
        <x14:conditionalFormatting xmlns:xm="http://schemas.microsoft.com/office/excel/2006/main">
          <x14:cfRule type="containsText" priority="6227" operator="containsText" id="{7A1ACCA4-A2E6-42BD-82EC-E2D39F9B52A4}">
            <xm:f>NOT(ISERROR(SEARCH("SM-2024/",K402)))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K402</xm:sqref>
        </x14:conditionalFormatting>
        <x14:conditionalFormatting xmlns:xm="http://schemas.microsoft.com/office/excel/2006/main">
          <x14:cfRule type="containsText" priority="6215" operator="containsText" id="{6615A696-275B-48A6-9CB6-CEAA167C8C82}">
            <xm:f>NOT(ISERROR(SEARCH("SM-2024/",J401)))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J401</xm:sqref>
        </x14:conditionalFormatting>
        <x14:conditionalFormatting xmlns:xm="http://schemas.microsoft.com/office/excel/2006/main">
          <x14:cfRule type="containsText" priority="6212" operator="containsText" id="{05B54C9F-339D-4BBD-8152-CC8E225390C3}">
            <xm:f>NOT(ISERROR(SEARCH("SM-2024/",K401)))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K401</xm:sqref>
        </x14:conditionalFormatting>
        <x14:conditionalFormatting xmlns:xm="http://schemas.microsoft.com/office/excel/2006/main">
          <x14:cfRule type="containsText" priority="6200" operator="containsText" id="{7BB92EBE-3C2A-46A9-BFA9-100E31747DC9}">
            <xm:f>NOT(ISERROR(SEARCH("SM-2024/",J400)))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J400</xm:sqref>
        </x14:conditionalFormatting>
        <x14:conditionalFormatting xmlns:xm="http://schemas.microsoft.com/office/excel/2006/main">
          <x14:cfRule type="containsText" priority="6197" operator="containsText" id="{1D6355A2-C690-4F05-BC23-EDC08E30755D}">
            <xm:f>NOT(ISERROR(SEARCH("SM-2024/",K400)))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K400</xm:sqref>
        </x14:conditionalFormatting>
        <x14:conditionalFormatting xmlns:xm="http://schemas.microsoft.com/office/excel/2006/main">
          <x14:cfRule type="containsText" priority="6185" operator="containsText" id="{FB702117-2996-42D1-AF0B-CE4F9E6D3ADF}">
            <xm:f>NOT(ISERROR(SEARCH("SM-2024/",J399)))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J399</xm:sqref>
        </x14:conditionalFormatting>
        <x14:conditionalFormatting xmlns:xm="http://schemas.microsoft.com/office/excel/2006/main">
          <x14:cfRule type="containsText" priority="6182" operator="containsText" id="{E6627641-755E-4492-8C8C-BCA2156123DC}">
            <xm:f>NOT(ISERROR(SEARCH("SM-2024/",K399)))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K399</xm:sqref>
        </x14:conditionalFormatting>
        <x14:conditionalFormatting xmlns:xm="http://schemas.microsoft.com/office/excel/2006/main">
          <x14:cfRule type="containsText" priority="6170" operator="containsText" id="{BC5BBB57-9F36-410D-8D4C-7C37DC4EB2BA}">
            <xm:f>NOT(ISERROR(SEARCH("SM-2024/",J398)))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J398</xm:sqref>
        </x14:conditionalFormatting>
        <x14:conditionalFormatting xmlns:xm="http://schemas.microsoft.com/office/excel/2006/main">
          <x14:cfRule type="containsText" priority="6167" operator="containsText" id="{00C4B216-9032-4522-AA96-09BD060AE0E3}">
            <xm:f>NOT(ISERROR(SEARCH("SM-2024/",K398)))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K398</xm:sqref>
        </x14:conditionalFormatting>
        <x14:conditionalFormatting xmlns:xm="http://schemas.microsoft.com/office/excel/2006/main">
          <x14:cfRule type="containsText" priority="6155" operator="containsText" id="{9D30779C-F09F-4FB8-99FD-40C04388D692}">
            <xm:f>NOT(ISERROR(SEARCH("SM-2024/",J397)))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J397</xm:sqref>
        </x14:conditionalFormatting>
        <x14:conditionalFormatting xmlns:xm="http://schemas.microsoft.com/office/excel/2006/main">
          <x14:cfRule type="containsText" priority="6152" operator="containsText" id="{3B24F3B9-F79B-431E-9398-5075F7606591}">
            <xm:f>NOT(ISERROR(SEARCH("SM-2024/",K397)))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K397</xm:sqref>
        </x14:conditionalFormatting>
        <x14:conditionalFormatting xmlns:xm="http://schemas.microsoft.com/office/excel/2006/main">
          <x14:cfRule type="containsText" priority="6140" operator="containsText" id="{C1589609-DC6A-4EC3-9559-E911699330FF}">
            <xm:f>NOT(ISERROR(SEARCH("SM-2024/",J396)))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J396</xm:sqref>
        </x14:conditionalFormatting>
        <x14:conditionalFormatting xmlns:xm="http://schemas.microsoft.com/office/excel/2006/main">
          <x14:cfRule type="containsText" priority="6137" operator="containsText" id="{E589B8A1-080B-4A94-B764-A1408510A8ED}">
            <xm:f>NOT(ISERROR(SEARCH("SM-2024/",K396)))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K396</xm:sqref>
        </x14:conditionalFormatting>
        <x14:conditionalFormatting xmlns:xm="http://schemas.microsoft.com/office/excel/2006/main">
          <x14:cfRule type="containsText" priority="6125" operator="containsText" id="{ED25C420-A6ED-4B2B-BCCC-A25321E7897E}">
            <xm:f>NOT(ISERROR(SEARCH("SM-2024/",J395)))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J395</xm:sqref>
        </x14:conditionalFormatting>
        <x14:conditionalFormatting xmlns:xm="http://schemas.microsoft.com/office/excel/2006/main">
          <x14:cfRule type="containsText" priority="6122" operator="containsText" id="{9840956A-F43F-4D31-A410-6F4ADA8FCED7}">
            <xm:f>NOT(ISERROR(SEARCH("SM-2024/",K395)))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K395</xm:sqref>
        </x14:conditionalFormatting>
        <x14:conditionalFormatting xmlns:xm="http://schemas.microsoft.com/office/excel/2006/main">
          <x14:cfRule type="containsText" priority="6110" operator="containsText" id="{7419FD5D-CDFD-43B9-A67C-6C5DD5F7ABB4}">
            <xm:f>NOT(ISERROR(SEARCH("SM-2024/",J394)))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J394</xm:sqref>
        </x14:conditionalFormatting>
        <x14:conditionalFormatting xmlns:xm="http://schemas.microsoft.com/office/excel/2006/main">
          <x14:cfRule type="containsText" priority="6107" operator="containsText" id="{29472148-5DF4-4730-8808-33C3AE6159A3}">
            <xm:f>NOT(ISERROR(SEARCH("SM-2024/",K394)))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K394</xm:sqref>
        </x14:conditionalFormatting>
        <x14:conditionalFormatting xmlns:xm="http://schemas.microsoft.com/office/excel/2006/main">
          <x14:cfRule type="containsText" priority="6095" operator="containsText" id="{0E7CC43F-D207-46F6-9CEC-28675CD93FD1}">
            <xm:f>NOT(ISERROR(SEARCH("SM-2024/",J393)))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J393</xm:sqref>
        </x14:conditionalFormatting>
        <x14:conditionalFormatting xmlns:xm="http://schemas.microsoft.com/office/excel/2006/main">
          <x14:cfRule type="containsText" priority="6092" operator="containsText" id="{830C63B1-89F0-4EBE-AA73-7372EEE6F286}">
            <xm:f>NOT(ISERROR(SEARCH("SM-2024/",K393)))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K393</xm:sqref>
        </x14:conditionalFormatting>
        <x14:conditionalFormatting xmlns:xm="http://schemas.microsoft.com/office/excel/2006/main">
          <x14:cfRule type="containsText" priority="6080" operator="containsText" id="{FAF98EAC-C9E9-4AF8-BF57-D8857A258379}">
            <xm:f>NOT(ISERROR(SEARCH("SM-2024/",J392)))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J392</xm:sqref>
        </x14:conditionalFormatting>
        <x14:conditionalFormatting xmlns:xm="http://schemas.microsoft.com/office/excel/2006/main">
          <x14:cfRule type="containsText" priority="6077" operator="containsText" id="{EF5BA4FB-5B16-46E0-B08C-E76BAFF7753D}">
            <xm:f>NOT(ISERROR(SEARCH("SM-2024/",K392)))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K392</xm:sqref>
        </x14:conditionalFormatting>
        <x14:conditionalFormatting xmlns:xm="http://schemas.microsoft.com/office/excel/2006/main">
          <x14:cfRule type="containsText" priority="6065" operator="containsText" id="{90C98BBF-58C8-4D68-99A5-6BEDF659375E}">
            <xm:f>NOT(ISERROR(SEARCH("SM-2024/",J391)))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J391</xm:sqref>
        </x14:conditionalFormatting>
        <x14:conditionalFormatting xmlns:xm="http://schemas.microsoft.com/office/excel/2006/main">
          <x14:cfRule type="containsText" priority="6062" operator="containsText" id="{EB920691-185C-402F-9D4A-E0FCAA58C079}">
            <xm:f>NOT(ISERROR(SEARCH("SM-2024/",K391)))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K391</xm:sqref>
        </x14:conditionalFormatting>
        <x14:conditionalFormatting xmlns:xm="http://schemas.microsoft.com/office/excel/2006/main">
          <x14:cfRule type="containsText" priority="6050" operator="containsText" id="{5579CAA0-D552-4A95-8D10-91CF390BA9EF}">
            <xm:f>NOT(ISERROR(SEARCH("SM-2024/",J390)))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J390</xm:sqref>
        </x14:conditionalFormatting>
        <x14:conditionalFormatting xmlns:xm="http://schemas.microsoft.com/office/excel/2006/main">
          <x14:cfRule type="containsText" priority="6047" operator="containsText" id="{2F311AB3-D265-4BD5-A609-3A2A2D150BCD}">
            <xm:f>NOT(ISERROR(SEARCH("SM-2024/",K390)))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K390</xm:sqref>
        </x14:conditionalFormatting>
        <x14:conditionalFormatting xmlns:xm="http://schemas.microsoft.com/office/excel/2006/main">
          <x14:cfRule type="containsText" priority="6020" operator="containsText" id="{52ABE0BD-B1A9-42D2-99C0-5C3C8645839D}">
            <xm:f>NOT(ISERROR(SEARCH("SM-2024/",J389)))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J389</xm:sqref>
        </x14:conditionalFormatting>
        <x14:conditionalFormatting xmlns:xm="http://schemas.microsoft.com/office/excel/2006/main">
          <x14:cfRule type="containsText" priority="6017" operator="containsText" id="{C12C4EAA-D663-4604-B930-217CF182464E}">
            <xm:f>NOT(ISERROR(SEARCH("SM-2024/",K389)))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K389</xm:sqref>
        </x14:conditionalFormatting>
        <x14:conditionalFormatting xmlns:xm="http://schemas.microsoft.com/office/excel/2006/main">
          <x14:cfRule type="containsText" priority="6005" operator="containsText" id="{AC4E0C7E-C6CD-4EFD-883B-0ACF402EEDDA}">
            <xm:f>NOT(ISERROR(SEARCH("SM-2024/",J388)))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J388</xm:sqref>
        </x14:conditionalFormatting>
        <x14:conditionalFormatting xmlns:xm="http://schemas.microsoft.com/office/excel/2006/main">
          <x14:cfRule type="containsText" priority="6002" operator="containsText" id="{0B106B57-6679-4363-B10D-1873FC731462}">
            <xm:f>NOT(ISERROR(SEARCH("SM-2024/",K388)))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K388</xm:sqref>
        </x14:conditionalFormatting>
        <x14:conditionalFormatting xmlns:xm="http://schemas.microsoft.com/office/excel/2006/main">
          <x14:cfRule type="containsText" priority="5990" operator="containsText" id="{B78CF0EC-E05A-42A1-A941-BCC6BEDE1207}">
            <xm:f>NOT(ISERROR(SEARCH("SM-2024/",J387)))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J387</xm:sqref>
        </x14:conditionalFormatting>
        <x14:conditionalFormatting xmlns:xm="http://schemas.microsoft.com/office/excel/2006/main">
          <x14:cfRule type="containsText" priority="5987" operator="containsText" id="{5233120A-DF23-414F-8DFD-DCB1B0F95F0F}">
            <xm:f>NOT(ISERROR(SEARCH("SM-2024/",K387)))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K387</xm:sqref>
        </x14:conditionalFormatting>
        <x14:conditionalFormatting xmlns:xm="http://schemas.microsoft.com/office/excel/2006/main">
          <x14:cfRule type="containsText" priority="5975" operator="containsText" id="{0E65FE5F-1D3D-4B9C-9DFA-DDFDF697F066}">
            <xm:f>NOT(ISERROR(SEARCH("SM-2024/",J386)))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J386</xm:sqref>
        </x14:conditionalFormatting>
        <x14:conditionalFormatting xmlns:xm="http://schemas.microsoft.com/office/excel/2006/main">
          <x14:cfRule type="containsText" priority="5972" operator="containsText" id="{64ACC0E7-587B-4894-9F75-89B203D38050}">
            <xm:f>NOT(ISERROR(SEARCH("SM-2024/",K386)))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K386</xm:sqref>
        </x14:conditionalFormatting>
        <x14:conditionalFormatting xmlns:xm="http://schemas.microsoft.com/office/excel/2006/main">
          <x14:cfRule type="containsText" priority="5960" operator="containsText" id="{AA1206F2-ABE4-403B-A07F-0FD588B2D166}">
            <xm:f>NOT(ISERROR(SEARCH("SM-2024/",J385)))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J385</xm:sqref>
        </x14:conditionalFormatting>
        <x14:conditionalFormatting xmlns:xm="http://schemas.microsoft.com/office/excel/2006/main">
          <x14:cfRule type="containsText" priority="5957" operator="containsText" id="{4A5C80A1-9CAE-4710-855B-48A40345EC40}">
            <xm:f>NOT(ISERROR(SEARCH("SM-2024/",K385)))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K385</xm:sqref>
        </x14:conditionalFormatting>
        <x14:conditionalFormatting xmlns:xm="http://schemas.microsoft.com/office/excel/2006/main">
          <x14:cfRule type="containsText" priority="5945" operator="containsText" id="{15CA4772-F081-40D5-8AD9-97C3C6582082}">
            <xm:f>NOT(ISERROR(SEARCH("SM-2024/",J384)))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J384</xm:sqref>
        </x14:conditionalFormatting>
        <x14:conditionalFormatting xmlns:xm="http://schemas.microsoft.com/office/excel/2006/main">
          <x14:cfRule type="containsText" priority="5942" operator="containsText" id="{2808584A-1467-45BD-9155-C9F32F8E923D}">
            <xm:f>NOT(ISERROR(SEARCH("SM-2024/",K384)))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K384</xm:sqref>
        </x14:conditionalFormatting>
        <x14:conditionalFormatting xmlns:xm="http://schemas.microsoft.com/office/excel/2006/main">
          <x14:cfRule type="containsText" priority="5930" operator="containsText" id="{8D518547-80FA-45DE-9BD0-67E01795D510}">
            <xm:f>NOT(ISERROR(SEARCH("SM-2024/",J383)))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J383</xm:sqref>
        </x14:conditionalFormatting>
        <x14:conditionalFormatting xmlns:xm="http://schemas.microsoft.com/office/excel/2006/main">
          <x14:cfRule type="containsText" priority="5927" operator="containsText" id="{4184881D-DBA6-4182-8C66-D0AE07869906}">
            <xm:f>NOT(ISERROR(SEARCH("SM-2024/",K383)))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K383</xm:sqref>
        </x14:conditionalFormatting>
        <x14:conditionalFormatting xmlns:xm="http://schemas.microsoft.com/office/excel/2006/main">
          <x14:cfRule type="containsText" priority="5915" operator="containsText" id="{3FD583EC-6CEE-40CA-BCA3-A89E8D99C59F}">
            <xm:f>NOT(ISERROR(SEARCH("SM-2024/",J382)))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J382</xm:sqref>
        </x14:conditionalFormatting>
        <x14:conditionalFormatting xmlns:xm="http://schemas.microsoft.com/office/excel/2006/main">
          <x14:cfRule type="containsText" priority="5912" operator="containsText" id="{F8498F62-66BB-4D85-A983-870597816B3B}">
            <xm:f>NOT(ISERROR(SEARCH("SM-2024/",K382)))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K382</xm:sqref>
        </x14:conditionalFormatting>
        <x14:conditionalFormatting xmlns:xm="http://schemas.microsoft.com/office/excel/2006/main">
          <x14:cfRule type="containsText" priority="5900" operator="containsText" id="{C9746772-5207-4DBC-8E3F-60D9AA757BCA}">
            <xm:f>NOT(ISERROR(SEARCH("SM-2024/",J381)))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J381</xm:sqref>
        </x14:conditionalFormatting>
        <x14:conditionalFormatting xmlns:xm="http://schemas.microsoft.com/office/excel/2006/main">
          <x14:cfRule type="containsText" priority="5897" operator="containsText" id="{8A2CE35B-515D-46F4-8CF8-D26BCF6FD87F}">
            <xm:f>NOT(ISERROR(SEARCH("SM-2024/",K381)))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K381</xm:sqref>
        </x14:conditionalFormatting>
        <x14:conditionalFormatting xmlns:xm="http://schemas.microsoft.com/office/excel/2006/main">
          <x14:cfRule type="containsText" priority="5885" operator="containsText" id="{2A795F45-529B-4954-9022-5C893A43BC8B}">
            <xm:f>NOT(ISERROR(SEARCH("SM-2024/",J380)))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J380</xm:sqref>
        </x14:conditionalFormatting>
        <x14:conditionalFormatting xmlns:xm="http://schemas.microsoft.com/office/excel/2006/main">
          <x14:cfRule type="containsText" priority="5882" operator="containsText" id="{CC2A73C8-A8E5-42F8-9883-91D298F225AD}">
            <xm:f>NOT(ISERROR(SEARCH("SM-2024/",K380)))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K380</xm:sqref>
        </x14:conditionalFormatting>
        <x14:conditionalFormatting xmlns:xm="http://schemas.microsoft.com/office/excel/2006/main">
          <x14:cfRule type="containsText" priority="5870" operator="containsText" id="{82525498-FA25-4FCF-981A-C0B13B35CFEE}">
            <xm:f>NOT(ISERROR(SEARCH("SM-2024/",J379)))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J379</xm:sqref>
        </x14:conditionalFormatting>
        <x14:conditionalFormatting xmlns:xm="http://schemas.microsoft.com/office/excel/2006/main">
          <x14:cfRule type="containsText" priority="5855" operator="containsText" id="{22E5ED35-7DD9-4098-A00F-77458652C37B}">
            <xm:f>NOT(ISERROR(SEARCH("SM-2024/",J378)))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J378</xm:sqref>
        </x14:conditionalFormatting>
        <x14:conditionalFormatting xmlns:xm="http://schemas.microsoft.com/office/excel/2006/main">
          <x14:cfRule type="containsText" priority="5852" operator="containsText" id="{ADDAFA2A-B88F-4834-828B-BF71D908F3FE}">
            <xm:f>NOT(ISERROR(SEARCH("SM-2024/",K378)))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K378</xm:sqref>
        </x14:conditionalFormatting>
        <x14:conditionalFormatting xmlns:xm="http://schemas.microsoft.com/office/excel/2006/main">
          <x14:cfRule type="containsText" priority="5840" operator="containsText" id="{9E2B8138-AA78-4348-B907-EF030A5E14FB}">
            <xm:f>NOT(ISERROR(SEARCH("SM-2024/",J377)))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J377</xm:sqref>
        </x14:conditionalFormatting>
        <x14:conditionalFormatting xmlns:xm="http://schemas.microsoft.com/office/excel/2006/main">
          <x14:cfRule type="containsText" priority="5837" operator="containsText" id="{A43FFB56-8E7D-4A84-AA93-CB247DFE15BF}">
            <xm:f>NOT(ISERROR(SEARCH("SM-2024/",K377)))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K377</xm:sqref>
        </x14:conditionalFormatting>
        <x14:conditionalFormatting xmlns:xm="http://schemas.microsoft.com/office/excel/2006/main">
          <x14:cfRule type="containsText" priority="5825" operator="containsText" id="{C05BCFA3-0654-4CE0-9801-F52B75BDEA2E}">
            <xm:f>NOT(ISERROR(SEARCH("SM-2024/",J376)))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J376</xm:sqref>
        </x14:conditionalFormatting>
        <x14:conditionalFormatting xmlns:xm="http://schemas.microsoft.com/office/excel/2006/main">
          <x14:cfRule type="containsText" priority="5822" operator="containsText" id="{B60C27FC-3813-4A81-9B21-CC66EBB4C703}">
            <xm:f>NOT(ISERROR(SEARCH("SM-2024/",K376)))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K376</xm:sqref>
        </x14:conditionalFormatting>
        <x14:conditionalFormatting xmlns:xm="http://schemas.microsoft.com/office/excel/2006/main">
          <x14:cfRule type="containsText" priority="5810" operator="containsText" id="{43A1B683-84D4-4ECD-B8EF-B1D66DB3641E}">
            <xm:f>NOT(ISERROR(SEARCH("SM-2024/",J375)))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J375</xm:sqref>
        </x14:conditionalFormatting>
        <x14:conditionalFormatting xmlns:xm="http://schemas.microsoft.com/office/excel/2006/main">
          <x14:cfRule type="containsText" priority="5807" operator="containsText" id="{9CC3E7FF-BBB6-4AE1-9747-9645A37AB85B}">
            <xm:f>NOT(ISERROR(SEARCH("SM-2024/",K375)))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K375</xm:sqref>
        </x14:conditionalFormatting>
        <x14:conditionalFormatting xmlns:xm="http://schemas.microsoft.com/office/excel/2006/main">
          <x14:cfRule type="containsText" priority="5795" operator="containsText" id="{1E003BC4-69B2-4E0C-94CD-A28EC410EF89}">
            <xm:f>NOT(ISERROR(SEARCH("SM-2024/",J374)))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J374</xm:sqref>
        </x14:conditionalFormatting>
        <x14:conditionalFormatting xmlns:xm="http://schemas.microsoft.com/office/excel/2006/main">
          <x14:cfRule type="containsText" priority="5792" operator="containsText" id="{1565A321-CB6E-46D7-B8E1-78B0BB47494F}">
            <xm:f>NOT(ISERROR(SEARCH("SM-2024/",K374)))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K374</xm:sqref>
        </x14:conditionalFormatting>
        <x14:conditionalFormatting xmlns:xm="http://schemas.microsoft.com/office/excel/2006/main">
          <x14:cfRule type="containsText" priority="5780" operator="containsText" id="{CE99A598-78DE-464F-A9B6-05F74C2A7BA5}">
            <xm:f>NOT(ISERROR(SEARCH("SM-2024/",J373)))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J373</xm:sqref>
        </x14:conditionalFormatting>
        <x14:conditionalFormatting xmlns:xm="http://schemas.microsoft.com/office/excel/2006/main">
          <x14:cfRule type="containsText" priority="5777" operator="containsText" id="{B8B61D7F-D85D-490B-84D3-B860C472269D}">
            <xm:f>NOT(ISERROR(SEARCH("SM-2024/",K373)))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K373</xm:sqref>
        </x14:conditionalFormatting>
        <x14:conditionalFormatting xmlns:xm="http://schemas.microsoft.com/office/excel/2006/main">
          <x14:cfRule type="containsText" priority="5765" operator="containsText" id="{A83913AC-9E68-4A3C-BD8A-95F84F75322E}">
            <xm:f>NOT(ISERROR(SEARCH("SM-2024/",J372)))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J372</xm:sqref>
        </x14:conditionalFormatting>
        <x14:conditionalFormatting xmlns:xm="http://schemas.microsoft.com/office/excel/2006/main">
          <x14:cfRule type="containsText" priority="5762" operator="containsText" id="{50955F55-1020-42B7-A560-A50E8FCAB4B1}">
            <xm:f>NOT(ISERROR(SEARCH("SM-2024/",K372)))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K372</xm:sqref>
        </x14:conditionalFormatting>
        <x14:conditionalFormatting xmlns:xm="http://schemas.microsoft.com/office/excel/2006/main">
          <x14:cfRule type="containsText" priority="5750" operator="containsText" id="{E60A1D49-83BF-43F7-94F6-4EA0BAE6CE30}">
            <xm:f>NOT(ISERROR(SEARCH("SM-2024/",J371)))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J371</xm:sqref>
        </x14:conditionalFormatting>
        <x14:conditionalFormatting xmlns:xm="http://schemas.microsoft.com/office/excel/2006/main">
          <x14:cfRule type="containsText" priority="5747" operator="containsText" id="{8A1EBE60-D3BE-45D9-8F8A-2539CC032405}">
            <xm:f>NOT(ISERROR(SEARCH("SM-2024/",K371)))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K371</xm:sqref>
        </x14:conditionalFormatting>
        <x14:conditionalFormatting xmlns:xm="http://schemas.microsoft.com/office/excel/2006/main">
          <x14:cfRule type="containsText" priority="5735" operator="containsText" id="{757F9692-4533-4D41-8AB4-76407FF61BA1}">
            <xm:f>NOT(ISERROR(SEARCH("SM-2024/",J370)))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J370</xm:sqref>
        </x14:conditionalFormatting>
        <x14:conditionalFormatting xmlns:xm="http://schemas.microsoft.com/office/excel/2006/main">
          <x14:cfRule type="containsText" priority="5732" operator="containsText" id="{171E81F0-596B-4C79-BE2B-E7C80CB82441}">
            <xm:f>NOT(ISERROR(SEARCH("SM-2024/",K370)))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K370</xm:sqref>
        </x14:conditionalFormatting>
        <x14:conditionalFormatting xmlns:xm="http://schemas.microsoft.com/office/excel/2006/main">
          <x14:cfRule type="containsText" priority="5720" operator="containsText" id="{602788FC-4100-4E69-96C7-B27FEF31762D}">
            <xm:f>NOT(ISERROR(SEARCH("SM-2024/",J369)))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J369</xm:sqref>
        </x14:conditionalFormatting>
        <x14:conditionalFormatting xmlns:xm="http://schemas.microsoft.com/office/excel/2006/main">
          <x14:cfRule type="containsText" priority="5717" operator="containsText" id="{3C3F57D7-A605-4E8C-9BE5-C2098DE0F117}">
            <xm:f>NOT(ISERROR(SEARCH("SM-2024/",K369)))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K369</xm:sqref>
        </x14:conditionalFormatting>
        <x14:conditionalFormatting xmlns:xm="http://schemas.microsoft.com/office/excel/2006/main">
          <x14:cfRule type="containsText" priority="5705" operator="containsText" id="{2233A877-A637-4D96-95B6-4EB085CA4BDD}">
            <xm:f>NOT(ISERROR(SEARCH("SM-2024/",J368)))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J368</xm:sqref>
        </x14:conditionalFormatting>
        <x14:conditionalFormatting xmlns:xm="http://schemas.microsoft.com/office/excel/2006/main">
          <x14:cfRule type="containsText" priority="5702" operator="containsText" id="{8D6A98CD-E3BC-46F8-9677-2857CA98775E}">
            <xm:f>NOT(ISERROR(SEARCH("SM-2024/",K368)))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K368</xm:sqref>
        </x14:conditionalFormatting>
        <x14:conditionalFormatting xmlns:xm="http://schemas.microsoft.com/office/excel/2006/main">
          <x14:cfRule type="containsText" priority="5690" operator="containsText" id="{18F562D6-7DF2-430F-92E3-0D263D196F7C}">
            <xm:f>NOT(ISERROR(SEARCH("SM-2024/",J367)))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J367</xm:sqref>
        </x14:conditionalFormatting>
        <x14:conditionalFormatting xmlns:xm="http://schemas.microsoft.com/office/excel/2006/main">
          <x14:cfRule type="containsText" priority="5687" operator="containsText" id="{BAE2BB3A-0EC0-4542-BFD2-E2717850620F}">
            <xm:f>NOT(ISERROR(SEARCH("SM-2024/",K367)))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K367</xm:sqref>
        </x14:conditionalFormatting>
        <x14:conditionalFormatting xmlns:xm="http://schemas.microsoft.com/office/excel/2006/main">
          <x14:cfRule type="containsText" priority="5675" operator="containsText" id="{4ED3FA1B-C81F-4ED5-AAC8-E50B61FF0136}">
            <xm:f>NOT(ISERROR(SEARCH("SM-2024/",J366)))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J366</xm:sqref>
        </x14:conditionalFormatting>
        <x14:conditionalFormatting xmlns:xm="http://schemas.microsoft.com/office/excel/2006/main">
          <x14:cfRule type="containsText" priority="5672" operator="containsText" id="{89FCAE64-E344-4EAA-9AC6-F3584413DDC1}">
            <xm:f>NOT(ISERROR(SEARCH("SM-2024/",K366)))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K366</xm:sqref>
        </x14:conditionalFormatting>
        <x14:conditionalFormatting xmlns:xm="http://schemas.microsoft.com/office/excel/2006/main">
          <x14:cfRule type="containsText" priority="5660" operator="containsText" id="{EF8A5235-8054-4F92-96F3-AEE84B7DDEE8}">
            <xm:f>NOT(ISERROR(SEARCH("SM-2024/",J365)))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J365</xm:sqref>
        </x14:conditionalFormatting>
        <x14:conditionalFormatting xmlns:xm="http://schemas.microsoft.com/office/excel/2006/main">
          <x14:cfRule type="containsText" priority="5657" operator="containsText" id="{959B3DD9-7F8A-4BD5-965A-064AA0980B64}">
            <xm:f>NOT(ISERROR(SEARCH("SM-2024/",K365)))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K365</xm:sqref>
        </x14:conditionalFormatting>
        <x14:conditionalFormatting xmlns:xm="http://schemas.microsoft.com/office/excel/2006/main">
          <x14:cfRule type="containsText" priority="5645" operator="containsText" id="{003BD484-C307-4CE5-8CDB-3E5072C194FC}">
            <xm:f>NOT(ISERROR(SEARCH("SM-2024/",J364)))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J364</xm:sqref>
        </x14:conditionalFormatting>
        <x14:conditionalFormatting xmlns:xm="http://schemas.microsoft.com/office/excel/2006/main">
          <x14:cfRule type="containsText" priority="5642" operator="containsText" id="{435CB827-387D-4318-8A8D-00E428F8540F}">
            <xm:f>NOT(ISERROR(SEARCH("SM-2024/",K364)))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K364</xm:sqref>
        </x14:conditionalFormatting>
        <x14:conditionalFormatting xmlns:xm="http://schemas.microsoft.com/office/excel/2006/main">
          <x14:cfRule type="containsText" priority="5630" operator="containsText" id="{1D3C344F-FE51-49B5-8F76-05F00E7864AA}">
            <xm:f>NOT(ISERROR(SEARCH("SM-2024/",J363)))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J363</xm:sqref>
        </x14:conditionalFormatting>
        <x14:conditionalFormatting xmlns:xm="http://schemas.microsoft.com/office/excel/2006/main">
          <x14:cfRule type="containsText" priority="5627" operator="containsText" id="{B387FF89-8253-4CBF-855E-8BB63EEBB7F4}">
            <xm:f>NOT(ISERROR(SEARCH("SM-2024/",K363)))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K363</xm:sqref>
        </x14:conditionalFormatting>
        <x14:conditionalFormatting xmlns:xm="http://schemas.microsoft.com/office/excel/2006/main">
          <x14:cfRule type="containsText" priority="5615" operator="containsText" id="{DA4BE27A-F8E8-483A-8D86-73E4B8373C13}">
            <xm:f>NOT(ISERROR(SEARCH("SM-2024/",J362)))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J362</xm:sqref>
        </x14:conditionalFormatting>
        <x14:conditionalFormatting xmlns:xm="http://schemas.microsoft.com/office/excel/2006/main">
          <x14:cfRule type="containsText" priority="5612" operator="containsText" id="{BDB25F21-206C-4EDD-B4F0-B925F177EF76}">
            <xm:f>NOT(ISERROR(SEARCH("SM-2024/",K362)))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K362</xm:sqref>
        </x14:conditionalFormatting>
        <x14:conditionalFormatting xmlns:xm="http://schemas.microsoft.com/office/excel/2006/main">
          <x14:cfRule type="containsText" priority="5600" operator="containsText" id="{B8E5BEA0-CB04-4F29-BA66-38E62E11F98B}">
            <xm:f>NOT(ISERROR(SEARCH("SM-2024/",J361)))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J361</xm:sqref>
        </x14:conditionalFormatting>
        <x14:conditionalFormatting xmlns:xm="http://schemas.microsoft.com/office/excel/2006/main">
          <x14:cfRule type="containsText" priority="5597" operator="containsText" id="{97864496-49AC-4F4E-8964-C95BDBEE1275}">
            <xm:f>NOT(ISERROR(SEARCH("SM-2024/",K361)))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K361</xm:sqref>
        </x14:conditionalFormatting>
        <x14:conditionalFormatting xmlns:xm="http://schemas.microsoft.com/office/excel/2006/main">
          <x14:cfRule type="containsText" priority="5585" operator="containsText" id="{68947F9C-8B1F-4E5E-A0D3-3BA64BDE32A6}">
            <xm:f>NOT(ISERROR(SEARCH("SM-2024/",J360)))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J360</xm:sqref>
        </x14:conditionalFormatting>
        <x14:conditionalFormatting xmlns:xm="http://schemas.microsoft.com/office/excel/2006/main">
          <x14:cfRule type="containsText" priority="5582" operator="containsText" id="{A65EDF8B-ADAF-4674-A1B5-84011918949A}">
            <xm:f>NOT(ISERROR(SEARCH("SM-2024/",K360)))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K360</xm:sqref>
        </x14:conditionalFormatting>
        <x14:conditionalFormatting xmlns:xm="http://schemas.microsoft.com/office/excel/2006/main">
          <x14:cfRule type="containsText" priority="5553" operator="containsText" id="{E9903AC3-AFCA-47B8-BDC3-11F48C1F66C7}">
            <xm:f>NOT(ISERROR(SEARCH("SM-2024/",J359)))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J359</xm:sqref>
        </x14:conditionalFormatting>
        <x14:conditionalFormatting xmlns:xm="http://schemas.microsoft.com/office/excel/2006/main">
          <x14:cfRule type="containsText" priority="5550" operator="containsText" id="{4F36A378-0318-492F-9032-C87FB0274EF5}">
            <xm:f>NOT(ISERROR(SEARCH("SM-2024/",K359)))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K359</xm:sqref>
        </x14:conditionalFormatting>
        <x14:conditionalFormatting xmlns:xm="http://schemas.microsoft.com/office/excel/2006/main">
          <x14:cfRule type="containsText" priority="5538" operator="containsText" id="{67F2333C-A085-4AD9-BB1B-2CF3AF2FC620}">
            <xm:f>NOT(ISERROR(SEARCH("SM-2024/",J358)))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J358</xm:sqref>
        </x14:conditionalFormatting>
        <x14:conditionalFormatting xmlns:xm="http://schemas.microsoft.com/office/excel/2006/main">
          <x14:cfRule type="containsText" priority="5535" operator="containsText" id="{3CE04371-D3A7-4BA4-A6DD-48C2BE8D0E6F}">
            <xm:f>NOT(ISERROR(SEARCH("SM-2024/",K358)))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K358</xm:sqref>
        </x14:conditionalFormatting>
        <x14:conditionalFormatting xmlns:xm="http://schemas.microsoft.com/office/excel/2006/main">
          <x14:cfRule type="containsText" priority="5491" operator="containsText" id="{720B9D5C-1BC6-4547-8955-3841038D253A}">
            <xm:f>NOT(ISERROR(SEARCH("SM-2024/",J357)))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J357</xm:sqref>
        </x14:conditionalFormatting>
        <x14:conditionalFormatting xmlns:xm="http://schemas.microsoft.com/office/excel/2006/main">
          <x14:cfRule type="containsText" priority="5488" operator="containsText" id="{5A3C4956-F8C9-4D68-8D80-678B387DEED1}">
            <xm:f>NOT(ISERROR(SEARCH("SM-2024/",K357)))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K357</xm:sqref>
        </x14:conditionalFormatting>
        <x14:conditionalFormatting xmlns:xm="http://schemas.microsoft.com/office/excel/2006/main">
          <x14:cfRule type="containsText" priority="5464" operator="containsText" id="{00E139A5-50FC-4B97-BA6B-903613F830AC}">
            <xm:f>NOT(ISERROR(SEARCH("SM-2024/",J356)))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J356</xm:sqref>
        </x14:conditionalFormatting>
        <x14:conditionalFormatting xmlns:xm="http://schemas.microsoft.com/office/excel/2006/main">
          <x14:cfRule type="containsText" priority="5461" operator="containsText" id="{2B35D949-3C7D-462F-B690-9255ED4175B1}">
            <xm:f>NOT(ISERROR(SEARCH("SM-2024/",K356)))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K356</xm:sqref>
        </x14:conditionalFormatting>
        <x14:conditionalFormatting xmlns:xm="http://schemas.microsoft.com/office/excel/2006/main">
          <x14:cfRule type="containsText" priority="5434" operator="containsText" id="{339CE71A-E145-40FB-975C-06046B136CFB}">
            <xm:f>NOT(ISERROR(SEARCH("SM-2024/",J355)))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J355</xm:sqref>
        </x14:conditionalFormatting>
        <x14:conditionalFormatting xmlns:xm="http://schemas.microsoft.com/office/excel/2006/main">
          <x14:cfRule type="containsText" priority="5431" operator="containsText" id="{AFCF888D-ADE5-4879-BEB9-25D0C0424C99}">
            <xm:f>NOT(ISERROR(SEARCH("SM-2024/",K355)))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K355</xm:sqref>
        </x14:conditionalFormatting>
        <x14:conditionalFormatting xmlns:xm="http://schemas.microsoft.com/office/excel/2006/main">
          <x14:cfRule type="containsText" priority="5419" operator="containsText" id="{5F582777-2975-46A4-A680-EF4AD2DC9F52}">
            <xm:f>NOT(ISERROR(SEARCH("SM-2024/",J354)))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J354</xm:sqref>
        </x14:conditionalFormatting>
        <x14:conditionalFormatting xmlns:xm="http://schemas.microsoft.com/office/excel/2006/main">
          <x14:cfRule type="containsText" priority="5416" operator="containsText" id="{20EADF4E-EBB5-4895-B4B8-987AE1AD699C}">
            <xm:f>NOT(ISERROR(SEARCH("SM-2024/",K354)))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5404" operator="containsText" id="{4F5E6526-7883-4942-86A7-3611FC247F09}">
            <xm:f>NOT(ISERROR(SEARCH("SM-2024/",J353)))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J353</xm:sqref>
        </x14:conditionalFormatting>
        <x14:conditionalFormatting xmlns:xm="http://schemas.microsoft.com/office/excel/2006/main">
          <x14:cfRule type="containsText" priority="5401" operator="containsText" id="{AFC9346F-8EC3-4721-A18B-7ABA97DA5F61}">
            <xm:f>NOT(ISERROR(SEARCH("SM-2024/",K353)))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K353</xm:sqref>
        </x14:conditionalFormatting>
        <x14:conditionalFormatting xmlns:xm="http://schemas.microsoft.com/office/excel/2006/main">
          <x14:cfRule type="containsText" priority="5389" operator="containsText" id="{DD0C6D88-7F7C-49E0-A1F3-A21B05CA02EC}">
            <xm:f>NOT(ISERROR(SEARCH("SM-2024/",J352)))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J352</xm:sqref>
        </x14:conditionalFormatting>
        <x14:conditionalFormatting xmlns:xm="http://schemas.microsoft.com/office/excel/2006/main">
          <x14:cfRule type="containsText" priority="5386" operator="containsText" id="{86A51079-62D8-459E-B895-7CF8A3782945}">
            <xm:f>NOT(ISERROR(SEARCH("SM-2024/",K352)))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5374" operator="containsText" id="{185DEEAF-3E30-4CF7-83D6-C0A89DF8AB86}">
            <xm:f>NOT(ISERROR(SEARCH("SM-2024/",J351)))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J351</xm:sqref>
        </x14:conditionalFormatting>
        <x14:conditionalFormatting xmlns:xm="http://schemas.microsoft.com/office/excel/2006/main">
          <x14:cfRule type="containsText" priority="5371" operator="containsText" id="{83C628B3-B359-43D2-8154-44C3C12B49DF}">
            <xm:f>NOT(ISERROR(SEARCH("SM-2024/",K351)))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K351</xm:sqref>
        </x14:conditionalFormatting>
        <x14:conditionalFormatting xmlns:xm="http://schemas.microsoft.com/office/excel/2006/main">
          <x14:cfRule type="containsText" priority="5359" operator="containsText" id="{8D4B8ACF-84E7-4285-9C02-A979C45FD9F0}">
            <xm:f>NOT(ISERROR(SEARCH("SM-2024/",J350)))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J350</xm:sqref>
        </x14:conditionalFormatting>
        <x14:conditionalFormatting xmlns:xm="http://schemas.microsoft.com/office/excel/2006/main">
          <x14:cfRule type="containsText" priority="5356" operator="containsText" id="{5575FB4A-ECAF-4828-A0A9-C741C7DCDC4D}">
            <xm:f>NOT(ISERROR(SEARCH("SM-2024/",K350)))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K350</xm:sqref>
        </x14:conditionalFormatting>
        <x14:conditionalFormatting xmlns:xm="http://schemas.microsoft.com/office/excel/2006/main">
          <x14:cfRule type="containsText" priority="5344" operator="containsText" id="{100E9C8F-94DA-4BCF-A679-877B35F057A8}">
            <xm:f>NOT(ISERROR(SEARCH("SM-2024/",J349)))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J349</xm:sqref>
        </x14:conditionalFormatting>
        <x14:conditionalFormatting xmlns:xm="http://schemas.microsoft.com/office/excel/2006/main">
          <x14:cfRule type="containsText" priority="5341" operator="containsText" id="{995A0A5E-7BB2-4017-B44D-D9581625DDF4}">
            <xm:f>NOT(ISERROR(SEARCH("SM-2024/",K349)))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K349</xm:sqref>
        </x14:conditionalFormatting>
        <x14:conditionalFormatting xmlns:xm="http://schemas.microsoft.com/office/excel/2006/main">
          <x14:cfRule type="containsText" priority="5329" operator="containsText" id="{373C2238-A6F4-41D6-8D15-4B2884FE6907}">
            <xm:f>NOT(ISERROR(SEARCH("SM-2024/",J348)))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J348</xm:sqref>
        </x14:conditionalFormatting>
        <x14:conditionalFormatting xmlns:xm="http://schemas.microsoft.com/office/excel/2006/main">
          <x14:cfRule type="containsText" priority="5326" operator="containsText" id="{9296B7E7-5C2A-48D7-8736-F17039C4F7FC}">
            <xm:f>NOT(ISERROR(SEARCH("SM-2024/",K348)))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K348</xm:sqref>
        </x14:conditionalFormatting>
        <x14:conditionalFormatting xmlns:xm="http://schemas.microsoft.com/office/excel/2006/main">
          <x14:cfRule type="containsText" priority="5314" operator="containsText" id="{3CDB0DF5-1034-48E8-B825-E4BE6EA39B4B}">
            <xm:f>NOT(ISERROR(SEARCH("SM-2024/",J347)))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J347</xm:sqref>
        </x14:conditionalFormatting>
        <x14:conditionalFormatting xmlns:xm="http://schemas.microsoft.com/office/excel/2006/main">
          <x14:cfRule type="containsText" priority="5311" operator="containsText" id="{C448D74E-1AD0-4375-BEED-7E2B41B3C505}">
            <xm:f>NOT(ISERROR(SEARCH("SM-2024/",K347)))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5299" operator="containsText" id="{3A72EC67-D7BE-48E7-B038-D8CAE99E1348}">
            <xm:f>NOT(ISERROR(SEARCH("SM-2024/",J346)))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J346</xm:sqref>
        </x14:conditionalFormatting>
        <x14:conditionalFormatting xmlns:xm="http://schemas.microsoft.com/office/excel/2006/main">
          <x14:cfRule type="containsText" priority="5296" operator="containsText" id="{955A16E8-AAF9-4596-ABDD-C6342E9DD049}">
            <xm:f>NOT(ISERROR(SEARCH("SM-2024/",K346)))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K346</xm:sqref>
        </x14:conditionalFormatting>
        <x14:conditionalFormatting xmlns:xm="http://schemas.microsoft.com/office/excel/2006/main">
          <x14:cfRule type="containsText" priority="5284" operator="containsText" id="{F0C420F0-E27A-492D-9EF3-5A13553F4D00}">
            <xm:f>NOT(ISERROR(SEARCH("SM-2024/",J345)))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5281" operator="containsText" id="{6A05275A-F391-418B-9E92-4088D27454C7}">
            <xm:f>NOT(ISERROR(SEARCH("SM-2024/",K345)))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K345</xm:sqref>
        </x14:conditionalFormatting>
        <x14:conditionalFormatting xmlns:xm="http://schemas.microsoft.com/office/excel/2006/main">
          <x14:cfRule type="containsText" priority="5269" operator="containsText" id="{3317C6DA-73F5-4012-9DB0-D42A471FFD5C}">
            <xm:f>NOT(ISERROR(SEARCH("SM-2024/",J344)))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J344</xm:sqref>
        </x14:conditionalFormatting>
        <x14:conditionalFormatting xmlns:xm="http://schemas.microsoft.com/office/excel/2006/main">
          <x14:cfRule type="containsText" priority="5266" operator="containsText" id="{51D80BEE-9FCA-488A-8C7A-6ADE2B0E6972}">
            <xm:f>NOT(ISERROR(SEARCH("SM-2024/",K344)))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5254" operator="containsText" id="{43D05EB2-3580-446F-8460-B88DADFE4E5D}">
            <xm:f>NOT(ISERROR(SEARCH("SM-2024/",J343)))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J343</xm:sqref>
        </x14:conditionalFormatting>
        <x14:conditionalFormatting xmlns:xm="http://schemas.microsoft.com/office/excel/2006/main">
          <x14:cfRule type="containsText" priority="5251" operator="containsText" id="{263A5954-157B-42F9-AF14-CD797BEDA92B}">
            <xm:f>NOT(ISERROR(SEARCH("SM-2024/",K343)))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K343</xm:sqref>
        </x14:conditionalFormatting>
        <x14:conditionalFormatting xmlns:xm="http://schemas.microsoft.com/office/excel/2006/main">
          <x14:cfRule type="containsText" priority="5239" operator="containsText" id="{79453414-988B-4B9C-8375-3FD05A544A18}">
            <xm:f>NOT(ISERROR(SEARCH("SM-2024/",J342)))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5236" operator="containsText" id="{8BBD2161-0711-4893-8850-79BB7340AFB1}">
            <xm:f>NOT(ISERROR(SEARCH("SM-2024/",K342)))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K342</xm:sqref>
        </x14:conditionalFormatting>
        <x14:conditionalFormatting xmlns:xm="http://schemas.microsoft.com/office/excel/2006/main">
          <x14:cfRule type="containsText" priority="5209" operator="containsText" id="{73B2F05A-CCA7-4A36-B8B9-879594EBEDC2}">
            <xm:f>NOT(ISERROR(SEARCH("SM-2024/",J341)))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J341</xm:sqref>
        </x14:conditionalFormatting>
        <x14:conditionalFormatting xmlns:xm="http://schemas.microsoft.com/office/excel/2006/main">
          <x14:cfRule type="containsText" priority="5206" operator="containsText" id="{2AB1F31A-0302-4048-BDCA-CC538245530F}">
            <xm:f>NOT(ISERROR(SEARCH("SM-2024/",K341)))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K341</xm:sqref>
        </x14:conditionalFormatting>
        <x14:conditionalFormatting xmlns:xm="http://schemas.microsoft.com/office/excel/2006/main">
          <x14:cfRule type="containsText" priority="5194" operator="containsText" id="{62AF0D68-F1A5-4A08-9A4E-FC558012D2F6}">
            <xm:f>NOT(ISERROR(SEARCH("SM-2024/",J340)))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J340</xm:sqref>
        </x14:conditionalFormatting>
        <x14:conditionalFormatting xmlns:xm="http://schemas.microsoft.com/office/excel/2006/main">
          <x14:cfRule type="containsText" priority="5191" operator="containsText" id="{CA2F879C-0C09-49A1-A439-BF51C7395870}">
            <xm:f>NOT(ISERROR(SEARCH("SM-2024/",K340)))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K340</xm:sqref>
        </x14:conditionalFormatting>
        <x14:conditionalFormatting xmlns:xm="http://schemas.microsoft.com/office/excel/2006/main">
          <x14:cfRule type="containsText" priority="5179" operator="containsText" id="{1B677B2F-88CA-4AE4-932E-F35534C671D6}">
            <xm:f>NOT(ISERROR(SEARCH("SM-2024/",J339)))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J339</xm:sqref>
        </x14:conditionalFormatting>
        <x14:conditionalFormatting xmlns:xm="http://schemas.microsoft.com/office/excel/2006/main">
          <x14:cfRule type="containsText" priority="5176" operator="containsText" id="{7A041C56-A273-43C5-8191-3EADC225D591}">
            <xm:f>NOT(ISERROR(SEARCH("SM-2024/",K339)))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K339</xm:sqref>
        </x14:conditionalFormatting>
        <x14:conditionalFormatting xmlns:xm="http://schemas.microsoft.com/office/excel/2006/main">
          <x14:cfRule type="containsText" priority="5164" operator="containsText" id="{6B3E82FA-C9C4-4853-ABA3-A4141094AE12}">
            <xm:f>NOT(ISERROR(SEARCH("SM-2024/",J338)))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J338</xm:sqref>
        </x14:conditionalFormatting>
        <x14:conditionalFormatting xmlns:xm="http://schemas.microsoft.com/office/excel/2006/main">
          <x14:cfRule type="containsText" priority="5161" operator="containsText" id="{251B7149-2D18-4918-B83D-D435D0216DDE}">
            <xm:f>NOT(ISERROR(SEARCH("SM-2024/",K338)))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K338</xm:sqref>
        </x14:conditionalFormatting>
        <x14:conditionalFormatting xmlns:xm="http://schemas.microsoft.com/office/excel/2006/main">
          <x14:cfRule type="containsText" priority="5149" operator="containsText" id="{57AD440D-8824-403A-8120-364398436DD1}">
            <xm:f>NOT(ISERROR(SEARCH("SM-2024/",J337)))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J337</xm:sqref>
        </x14:conditionalFormatting>
        <x14:conditionalFormatting xmlns:xm="http://schemas.microsoft.com/office/excel/2006/main">
          <x14:cfRule type="containsText" priority="5146" operator="containsText" id="{DF0E83FC-8179-4DCE-81E0-C252BB20586E}">
            <xm:f>NOT(ISERROR(SEARCH("SM-2024/",K337)))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K337</xm:sqref>
        </x14:conditionalFormatting>
        <x14:conditionalFormatting xmlns:xm="http://schemas.microsoft.com/office/excel/2006/main">
          <x14:cfRule type="containsText" priority="5134" operator="containsText" id="{E78D0F88-1CCE-49DF-9066-1F8FFA8C9AD7}">
            <xm:f>NOT(ISERROR(SEARCH("SM-2024/",J336)))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J336</xm:sqref>
        </x14:conditionalFormatting>
        <x14:conditionalFormatting xmlns:xm="http://schemas.microsoft.com/office/excel/2006/main">
          <x14:cfRule type="containsText" priority="5131" operator="containsText" id="{D2BE3139-1EBF-4AE9-B4C4-8BEFE3EFA917}">
            <xm:f>NOT(ISERROR(SEARCH("SM-2024/",K336)))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K336</xm:sqref>
        </x14:conditionalFormatting>
        <x14:conditionalFormatting xmlns:xm="http://schemas.microsoft.com/office/excel/2006/main">
          <x14:cfRule type="containsText" priority="5119" operator="containsText" id="{839F9E8A-C68B-4D94-8397-CCB2B32C07D1}">
            <xm:f>NOT(ISERROR(SEARCH("SM-2024/",J335)))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J335</xm:sqref>
        </x14:conditionalFormatting>
        <x14:conditionalFormatting xmlns:xm="http://schemas.microsoft.com/office/excel/2006/main">
          <x14:cfRule type="containsText" priority="5116" operator="containsText" id="{F7B8A8BF-531D-475E-ADC2-05CE136C23D6}">
            <xm:f>NOT(ISERROR(SEARCH("SM-2024/",K335)))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K335</xm:sqref>
        </x14:conditionalFormatting>
        <x14:conditionalFormatting xmlns:xm="http://schemas.microsoft.com/office/excel/2006/main">
          <x14:cfRule type="containsText" priority="5104" operator="containsText" id="{5BF26BB2-6CCB-4B27-9E77-AF7CFC34B85C}">
            <xm:f>NOT(ISERROR(SEARCH("SM-2024/",J334)))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J334</xm:sqref>
        </x14:conditionalFormatting>
        <x14:conditionalFormatting xmlns:xm="http://schemas.microsoft.com/office/excel/2006/main">
          <x14:cfRule type="containsText" priority="5101" operator="containsText" id="{2843549C-3B1B-41AA-946C-035D08858A24}">
            <xm:f>NOT(ISERROR(SEARCH("SM-2024/",K334)))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K334</xm:sqref>
        </x14:conditionalFormatting>
        <x14:conditionalFormatting xmlns:xm="http://schemas.microsoft.com/office/excel/2006/main">
          <x14:cfRule type="containsText" priority="5089" operator="containsText" id="{04B14956-0DD4-4691-A5F5-372EFEE46E4B}">
            <xm:f>NOT(ISERROR(SEARCH("SM-2024/",J333)))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J333</xm:sqref>
        </x14:conditionalFormatting>
        <x14:conditionalFormatting xmlns:xm="http://schemas.microsoft.com/office/excel/2006/main">
          <x14:cfRule type="containsText" priority="5086" operator="containsText" id="{AD9E159F-5F1B-4150-B072-33513128954A}">
            <xm:f>NOT(ISERROR(SEARCH("SM-2024/",K333)))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K333</xm:sqref>
        </x14:conditionalFormatting>
        <x14:conditionalFormatting xmlns:xm="http://schemas.microsoft.com/office/excel/2006/main">
          <x14:cfRule type="containsText" priority="5074" operator="containsText" id="{098B17E3-EA7D-4A2B-BC9E-680EA82FCECC}">
            <xm:f>NOT(ISERROR(SEARCH("SM-2024/",J332)))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J332</xm:sqref>
        </x14:conditionalFormatting>
        <x14:conditionalFormatting xmlns:xm="http://schemas.microsoft.com/office/excel/2006/main">
          <x14:cfRule type="containsText" priority="5071" operator="containsText" id="{1696749B-72EF-4A3A-B92E-9935B63A69C9}">
            <xm:f>NOT(ISERROR(SEARCH("SM-2024/",K332)))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K332</xm:sqref>
        </x14:conditionalFormatting>
        <x14:conditionalFormatting xmlns:xm="http://schemas.microsoft.com/office/excel/2006/main">
          <x14:cfRule type="containsText" priority="5059" operator="containsText" id="{00CB4FA3-BB6E-4F83-A0D4-2503FE7BC37A}">
            <xm:f>NOT(ISERROR(SEARCH("SM-2024/",J331)))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J331</xm:sqref>
        </x14:conditionalFormatting>
        <x14:conditionalFormatting xmlns:xm="http://schemas.microsoft.com/office/excel/2006/main">
          <x14:cfRule type="containsText" priority="5056" operator="containsText" id="{1ACF3794-7E9A-4DE0-B652-AD3CC5720B5A}">
            <xm:f>NOT(ISERROR(SEARCH("SM-2024/",K331)))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K331</xm:sqref>
        </x14:conditionalFormatting>
        <x14:conditionalFormatting xmlns:xm="http://schemas.microsoft.com/office/excel/2006/main">
          <x14:cfRule type="containsText" priority="5044" operator="containsText" id="{1235B6DB-5B03-45B5-9850-7E56A3F44D76}">
            <xm:f>NOT(ISERROR(SEARCH("SM-2024/",J330)))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J330</xm:sqref>
        </x14:conditionalFormatting>
        <x14:conditionalFormatting xmlns:xm="http://schemas.microsoft.com/office/excel/2006/main">
          <x14:cfRule type="containsText" priority="5041" operator="containsText" id="{C2348298-320B-4BAD-9EED-47E162E7A153}">
            <xm:f>NOT(ISERROR(SEARCH("SM-2024/",K330)))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K330</xm:sqref>
        </x14:conditionalFormatting>
        <x14:conditionalFormatting xmlns:xm="http://schemas.microsoft.com/office/excel/2006/main">
          <x14:cfRule type="containsText" priority="5029" operator="containsText" id="{6B258FAC-718C-4FB3-A26A-C756F4F32176}">
            <xm:f>NOT(ISERROR(SEARCH("SM-2024/",J329)))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J329</xm:sqref>
        </x14:conditionalFormatting>
        <x14:conditionalFormatting xmlns:xm="http://schemas.microsoft.com/office/excel/2006/main">
          <x14:cfRule type="containsText" priority="5026" operator="containsText" id="{37EAFF36-5A99-43B9-B029-CFD376B74764}">
            <xm:f>NOT(ISERROR(SEARCH("SM-2024/",K329)))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K329</xm:sqref>
        </x14:conditionalFormatting>
        <x14:conditionalFormatting xmlns:xm="http://schemas.microsoft.com/office/excel/2006/main">
          <x14:cfRule type="containsText" priority="5014" operator="containsText" id="{8C30DC0C-2700-48FC-A11A-591F22865176}">
            <xm:f>NOT(ISERROR(SEARCH("SM-2024/",J328)))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J328</xm:sqref>
        </x14:conditionalFormatting>
        <x14:conditionalFormatting xmlns:xm="http://schemas.microsoft.com/office/excel/2006/main">
          <x14:cfRule type="containsText" priority="5011" operator="containsText" id="{A420A808-2E08-4B9F-BE0D-63F48AF5D22C}">
            <xm:f>NOT(ISERROR(SEARCH("SM-2024/",K328)))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K328</xm:sqref>
        </x14:conditionalFormatting>
        <x14:conditionalFormatting xmlns:xm="http://schemas.microsoft.com/office/excel/2006/main">
          <x14:cfRule type="containsText" priority="4999" operator="containsText" id="{D182FA77-399E-45A1-A3FC-CAAEA08F9B47}">
            <xm:f>NOT(ISERROR(SEARCH("SM-2024/",J327)))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J327</xm:sqref>
        </x14:conditionalFormatting>
        <x14:conditionalFormatting xmlns:xm="http://schemas.microsoft.com/office/excel/2006/main">
          <x14:cfRule type="containsText" priority="4996" operator="containsText" id="{1EBC7F5D-2EF0-48D7-8795-73A96629CB3C}">
            <xm:f>NOT(ISERROR(SEARCH("SM-2024/",K327)))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K327</xm:sqref>
        </x14:conditionalFormatting>
        <x14:conditionalFormatting xmlns:xm="http://schemas.microsoft.com/office/excel/2006/main">
          <x14:cfRule type="containsText" priority="4984" operator="containsText" id="{2EB183A8-A51D-4E17-95F6-24EF1B652F3B}">
            <xm:f>NOT(ISERROR(SEARCH("SM-2024/",J326)))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J326</xm:sqref>
        </x14:conditionalFormatting>
        <x14:conditionalFormatting xmlns:xm="http://schemas.microsoft.com/office/excel/2006/main">
          <x14:cfRule type="containsText" priority="4981" operator="containsText" id="{4C938AB8-0203-43D1-8A70-D50AB41B7201}">
            <xm:f>NOT(ISERROR(SEARCH("SM-2024/",K326)))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K326</xm:sqref>
        </x14:conditionalFormatting>
        <x14:conditionalFormatting xmlns:xm="http://schemas.microsoft.com/office/excel/2006/main">
          <x14:cfRule type="containsText" priority="4969" operator="containsText" id="{0C884E2D-77B1-4687-B7B5-803A231850DD}">
            <xm:f>NOT(ISERROR(SEARCH("SM-2024/",J325)))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J325</xm:sqref>
        </x14:conditionalFormatting>
        <x14:conditionalFormatting xmlns:xm="http://schemas.microsoft.com/office/excel/2006/main">
          <x14:cfRule type="containsText" priority="4966" operator="containsText" id="{AEEAF00E-29C6-4571-A84A-CC9E26C95B56}">
            <xm:f>NOT(ISERROR(SEARCH("SM-2024/",K325)))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K325</xm:sqref>
        </x14:conditionalFormatting>
        <x14:conditionalFormatting xmlns:xm="http://schemas.microsoft.com/office/excel/2006/main">
          <x14:cfRule type="containsText" priority="4954" operator="containsText" id="{E8C4D11B-71DC-4A39-BEFE-4903BF3A747B}">
            <xm:f>NOT(ISERROR(SEARCH("SM-2024/",J324)))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J324</xm:sqref>
        </x14:conditionalFormatting>
        <x14:conditionalFormatting xmlns:xm="http://schemas.microsoft.com/office/excel/2006/main">
          <x14:cfRule type="containsText" priority="4951" operator="containsText" id="{214BCC48-DD3C-4CD7-97D0-BDB6AC4E466B}">
            <xm:f>NOT(ISERROR(SEARCH("SM-2024/",K324)))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K324</xm:sqref>
        </x14:conditionalFormatting>
        <x14:conditionalFormatting xmlns:xm="http://schemas.microsoft.com/office/excel/2006/main">
          <x14:cfRule type="containsText" priority="4939" operator="containsText" id="{28F77ABC-2768-4D59-9F0C-54DC4E258439}">
            <xm:f>NOT(ISERROR(SEARCH("SM-2024/",J323)))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J323</xm:sqref>
        </x14:conditionalFormatting>
        <x14:conditionalFormatting xmlns:xm="http://schemas.microsoft.com/office/excel/2006/main">
          <x14:cfRule type="containsText" priority="4924" operator="containsText" id="{FAF1936E-FDC0-4724-8BEA-39049D22D1B2}">
            <xm:f>NOT(ISERROR(SEARCH("SM-2024/",J322)))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J322</xm:sqref>
        </x14:conditionalFormatting>
        <x14:conditionalFormatting xmlns:xm="http://schemas.microsoft.com/office/excel/2006/main">
          <x14:cfRule type="containsText" priority="4921" operator="containsText" id="{40FB1EEA-A6F5-4FEF-A74A-4374CD4F8A38}">
            <xm:f>NOT(ISERROR(SEARCH("SM-2024/",K322)))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K322</xm:sqref>
        </x14:conditionalFormatting>
        <x14:conditionalFormatting xmlns:xm="http://schemas.microsoft.com/office/excel/2006/main">
          <x14:cfRule type="containsText" priority="4909" operator="containsText" id="{E8725D55-7820-4FAB-A514-446ADF9FDE35}">
            <xm:f>NOT(ISERROR(SEARCH("SM-2024/",J321)))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J321</xm:sqref>
        </x14:conditionalFormatting>
        <x14:conditionalFormatting xmlns:xm="http://schemas.microsoft.com/office/excel/2006/main">
          <x14:cfRule type="containsText" priority="4906" operator="containsText" id="{79758BB6-5ABD-4615-AB6B-A3121725DD99}">
            <xm:f>NOT(ISERROR(SEARCH("SM-2024/",K321)))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K321</xm:sqref>
        </x14:conditionalFormatting>
        <x14:conditionalFormatting xmlns:xm="http://schemas.microsoft.com/office/excel/2006/main">
          <x14:cfRule type="containsText" priority="4894" operator="containsText" id="{90F3D210-4B92-4C0B-B1B7-183827C325A8}">
            <xm:f>NOT(ISERROR(SEARCH("SM-2024/",J320)))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J320</xm:sqref>
        </x14:conditionalFormatting>
        <x14:conditionalFormatting xmlns:xm="http://schemas.microsoft.com/office/excel/2006/main">
          <x14:cfRule type="containsText" priority="4891" operator="containsText" id="{C53C9254-D458-4E31-A0DE-823AA657AB87}">
            <xm:f>NOT(ISERROR(SEARCH("SM-2024/",K320)))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K320</xm:sqref>
        </x14:conditionalFormatting>
        <x14:conditionalFormatting xmlns:xm="http://schemas.microsoft.com/office/excel/2006/main">
          <x14:cfRule type="containsText" priority="4879" operator="containsText" id="{72EB0030-A737-4101-994B-8AF2D7F4A96F}">
            <xm:f>NOT(ISERROR(SEARCH("SM-2024/",J319)))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J319</xm:sqref>
        </x14:conditionalFormatting>
        <x14:conditionalFormatting xmlns:xm="http://schemas.microsoft.com/office/excel/2006/main">
          <x14:cfRule type="containsText" priority="4876" operator="containsText" id="{ECF1D06B-9DFD-45C5-A311-254517C8994B}">
            <xm:f>NOT(ISERROR(SEARCH("SM-2024/",K319)))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K319</xm:sqref>
        </x14:conditionalFormatting>
        <x14:conditionalFormatting xmlns:xm="http://schemas.microsoft.com/office/excel/2006/main">
          <x14:cfRule type="containsText" priority="4864" operator="containsText" id="{FBC6B65F-B592-420F-A857-849024589C86}">
            <xm:f>NOT(ISERROR(SEARCH("SM-2024/",J318)))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J318</xm:sqref>
        </x14:conditionalFormatting>
        <x14:conditionalFormatting xmlns:xm="http://schemas.microsoft.com/office/excel/2006/main">
          <x14:cfRule type="containsText" priority="4861" operator="containsText" id="{2A28DD3B-C02A-4840-9D44-BA3A56137289}">
            <xm:f>NOT(ISERROR(SEARCH("SM-2024/",K318)))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K318</xm:sqref>
        </x14:conditionalFormatting>
        <x14:conditionalFormatting xmlns:xm="http://schemas.microsoft.com/office/excel/2006/main">
          <x14:cfRule type="containsText" priority="4849" operator="containsText" id="{49BD3F5D-49FF-432E-A5C1-F02E470059E1}">
            <xm:f>NOT(ISERROR(SEARCH("SM-2024/",J317)))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J317</xm:sqref>
        </x14:conditionalFormatting>
        <x14:conditionalFormatting xmlns:xm="http://schemas.microsoft.com/office/excel/2006/main">
          <x14:cfRule type="containsText" priority="4846" operator="containsText" id="{BEAE4D07-DC5F-4DEA-86F7-FAE2013E3DCD}">
            <xm:f>NOT(ISERROR(SEARCH("SM-2024/",K317)))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K317</xm:sqref>
        </x14:conditionalFormatting>
        <x14:conditionalFormatting xmlns:xm="http://schemas.microsoft.com/office/excel/2006/main">
          <x14:cfRule type="containsText" priority="4834" operator="containsText" id="{B4C27879-986F-4718-9B00-4D890F67F721}">
            <xm:f>NOT(ISERROR(SEARCH("SM-2024/",J316)))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J316</xm:sqref>
        </x14:conditionalFormatting>
        <x14:conditionalFormatting xmlns:xm="http://schemas.microsoft.com/office/excel/2006/main">
          <x14:cfRule type="containsText" priority="4831" operator="containsText" id="{9EE25778-9D5F-43E5-9E9E-0FC856FBCB55}">
            <xm:f>NOT(ISERROR(SEARCH("SM-2024/",K316)))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K316</xm:sqref>
        </x14:conditionalFormatting>
        <x14:conditionalFormatting xmlns:xm="http://schemas.microsoft.com/office/excel/2006/main">
          <x14:cfRule type="containsText" priority="4819" operator="containsText" id="{6FF1055A-E5C7-4617-A663-0BE0BF1ABAC7}">
            <xm:f>NOT(ISERROR(SEARCH("SM-2024/",J315)))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J315</xm:sqref>
        </x14:conditionalFormatting>
        <x14:conditionalFormatting xmlns:xm="http://schemas.microsoft.com/office/excel/2006/main">
          <x14:cfRule type="containsText" priority="4816" operator="containsText" id="{F3202D14-295D-4EF6-B629-0BE9FA727FE1}">
            <xm:f>NOT(ISERROR(SEARCH("SM-2024/",K315)))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K315</xm:sqref>
        </x14:conditionalFormatting>
        <x14:conditionalFormatting xmlns:xm="http://schemas.microsoft.com/office/excel/2006/main">
          <x14:cfRule type="containsText" priority="4804" operator="containsText" id="{4EF87109-960E-45A2-B4F5-FBC88BECCFC1}">
            <xm:f>NOT(ISERROR(SEARCH("SM-2024/",J314)))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J314</xm:sqref>
        </x14:conditionalFormatting>
        <x14:conditionalFormatting xmlns:xm="http://schemas.microsoft.com/office/excel/2006/main">
          <x14:cfRule type="containsText" priority="4801" operator="containsText" id="{9A9A58C6-7F31-4081-A352-BB54AF0E4A10}">
            <xm:f>NOT(ISERROR(SEARCH("SM-2024/",K314)))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K314</xm:sqref>
        </x14:conditionalFormatting>
        <x14:conditionalFormatting xmlns:xm="http://schemas.microsoft.com/office/excel/2006/main">
          <x14:cfRule type="containsText" priority="4789" operator="containsText" id="{E9098433-C5E6-4F87-B434-369117111782}">
            <xm:f>NOT(ISERROR(SEARCH("SM-2024/",J313)))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J313</xm:sqref>
        </x14:conditionalFormatting>
        <x14:conditionalFormatting xmlns:xm="http://schemas.microsoft.com/office/excel/2006/main">
          <x14:cfRule type="containsText" priority="4786" operator="containsText" id="{D8A82F3A-0A0C-45DD-8D68-F89903FA2902}">
            <xm:f>NOT(ISERROR(SEARCH("SM-2024/",K313)))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K313</xm:sqref>
        </x14:conditionalFormatting>
        <x14:conditionalFormatting xmlns:xm="http://schemas.microsoft.com/office/excel/2006/main">
          <x14:cfRule type="containsText" priority="4774" operator="containsText" id="{949CEEE5-AD6D-4401-9A3A-47E9BD1E5D2A}">
            <xm:f>NOT(ISERROR(SEARCH("SM-2024/",J312)))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J312</xm:sqref>
        </x14:conditionalFormatting>
        <x14:conditionalFormatting xmlns:xm="http://schemas.microsoft.com/office/excel/2006/main">
          <x14:cfRule type="containsText" priority="4771" operator="containsText" id="{9951D072-30BC-454A-B94B-12F480723229}">
            <xm:f>NOT(ISERROR(SEARCH("SM-2024/",K312)))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K312</xm:sqref>
        </x14:conditionalFormatting>
        <x14:conditionalFormatting xmlns:xm="http://schemas.microsoft.com/office/excel/2006/main">
          <x14:cfRule type="containsText" priority="4759" operator="containsText" id="{8694A2B1-F017-466F-BE88-E6F6474E859E}">
            <xm:f>NOT(ISERROR(SEARCH("SM-2024/",J311)))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J311</xm:sqref>
        </x14:conditionalFormatting>
        <x14:conditionalFormatting xmlns:xm="http://schemas.microsoft.com/office/excel/2006/main">
          <x14:cfRule type="containsText" priority="4756" operator="containsText" id="{9825E5FA-4BE1-43FF-B88E-742CF6DD5C72}">
            <xm:f>NOT(ISERROR(SEARCH("SM-2024/",K311)))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K311</xm:sqref>
        </x14:conditionalFormatting>
        <x14:conditionalFormatting xmlns:xm="http://schemas.microsoft.com/office/excel/2006/main">
          <x14:cfRule type="containsText" priority="4744" operator="containsText" id="{4C388F26-5B6D-4484-80A6-E30ABA5F4D03}">
            <xm:f>NOT(ISERROR(SEARCH("SM-2024/",J310)))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J310</xm:sqref>
        </x14:conditionalFormatting>
        <x14:conditionalFormatting xmlns:xm="http://schemas.microsoft.com/office/excel/2006/main">
          <x14:cfRule type="containsText" priority="4741" operator="containsText" id="{25DA0EBC-3668-41E1-A2DB-E4070505E24C}">
            <xm:f>NOT(ISERROR(SEARCH("SM-2024/",K310)))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K310</xm:sqref>
        </x14:conditionalFormatting>
        <x14:conditionalFormatting xmlns:xm="http://schemas.microsoft.com/office/excel/2006/main">
          <x14:cfRule type="containsText" priority="4729" operator="containsText" id="{E33E1BB6-2F90-4698-81D9-9F3B3CA35330}">
            <xm:f>NOT(ISERROR(SEARCH("SM-2024/",J309)))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J309</xm:sqref>
        </x14:conditionalFormatting>
        <x14:conditionalFormatting xmlns:xm="http://schemas.microsoft.com/office/excel/2006/main">
          <x14:cfRule type="containsText" priority="4726" operator="containsText" id="{094B81CA-E46F-4AA1-907E-5C6DF6C2DFFC}">
            <xm:f>NOT(ISERROR(SEARCH("SM-2024/",K309)))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K309</xm:sqref>
        </x14:conditionalFormatting>
        <x14:conditionalFormatting xmlns:xm="http://schemas.microsoft.com/office/excel/2006/main">
          <x14:cfRule type="containsText" priority="4714" operator="containsText" id="{EAA7AE89-1F82-49F6-8A8C-A50A28BCEB5E}">
            <xm:f>NOT(ISERROR(SEARCH("SM-2024/",J308)))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J308</xm:sqref>
        </x14:conditionalFormatting>
        <x14:conditionalFormatting xmlns:xm="http://schemas.microsoft.com/office/excel/2006/main">
          <x14:cfRule type="containsText" priority="4711" operator="containsText" id="{AB927B7E-8074-45B2-8002-13B25BC40515}">
            <xm:f>NOT(ISERROR(SEARCH("SM-2024/",K308)))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K308</xm:sqref>
        </x14:conditionalFormatting>
        <x14:conditionalFormatting xmlns:xm="http://schemas.microsoft.com/office/excel/2006/main">
          <x14:cfRule type="containsText" priority="4699" operator="containsText" id="{3B3C29F9-980D-4797-B923-52ADE9FAC942}">
            <xm:f>NOT(ISERROR(SEARCH("SM-2024/",J307)))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J307</xm:sqref>
        </x14:conditionalFormatting>
        <x14:conditionalFormatting xmlns:xm="http://schemas.microsoft.com/office/excel/2006/main">
          <x14:cfRule type="containsText" priority="4696" operator="containsText" id="{59ACBA6E-852A-46DE-ABA1-886D45BECDCD}">
            <xm:f>NOT(ISERROR(SEARCH("SM-2024/",K307)))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K307</xm:sqref>
        </x14:conditionalFormatting>
        <x14:conditionalFormatting xmlns:xm="http://schemas.microsoft.com/office/excel/2006/main">
          <x14:cfRule type="containsText" priority="4684" operator="containsText" id="{1460FFB1-8C61-4269-A9D0-4261764A145C}">
            <xm:f>NOT(ISERROR(SEARCH("SM-2024/",J306)))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J306</xm:sqref>
        </x14:conditionalFormatting>
        <x14:conditionalFormatting xmlns:xm="http://schemas.microsoft.com/office/excel/2006/main">
          <x14:cfRule type="containsText" priority="4681" operator="containsText" id="{CFB833F0-86AF-40F8-8120-627C74565BE3}">
            <xm:f>NOT(ISERROR(SEARCH("SM-2024/",K306)))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K306</xm:sqref>
        </x14:conditionalFormatting>
        <x14:conditionalFormatting xmlns:xm="http://schemas.microsoft.com/office/excel/2006/main">
          <x14:cfRule type="containsText" priority="4669" operator="containsText" id="{94E59045-AD08-4AEF-9358-919F151DB200}">
            <xm:f>NOT(ISERROR(SEARCH("SM-2024/",J305)))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J305</xm:sqref>
        </x14:conditionalFormatting>
        <x14:conditionalFormatting xmlns:xm="http://schemas.microsoft.com/office/excel/2006/main">
          <x14:cfRule type="containsText" priority="4666" operator="containsText" id="{463920AB-64EC-449D-9A41-97062293BF41}">
            <xm:f>NOT(ISERROR(SEARCH("SM-2024/",K305)))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K305</xm:sqref>
        </x14:conditionalFormatting>
        <x14:conditionalFormatting xmlns:xm="http://schemas.microsoft.com/office/excel/2006/main">
          <x14:cfRule type="containsText" priority="4654" operator="containsText" id="{F595E106-FD26-4748-850F-66E26C4B68AD}">
            <xm:f>NOT(ISERROR(SEARCH("SM-2024/",J304)))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J304</xm:sqref>
        </x14:conditionalFormatting>
        <x14:conditionalFormatting xmlns:xm="http://schemas.microsoft.com/office/excel/2006/main">
          <x14:cfRule type="containsText" priority="4651" operator="containsText" id="{E5F0DFBD-5467-48E2-82D0-1492857863EC}">
            <xm:f>NOT(ISERROR(SEARCH("SM-2024/",K304)))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K304</xm:sqref>
        </x14:conditionalFormatting>
        <x14:conditionalFormatting xmlns:xm="http://schemas.microsoft.com/office/excel/2006/main">
          <x14:cfRule type="containsText" priority="4639" operator="containsText" id="{773DCC06-D688-4417-BA61-F4FC0AC8E315}">
            <xm:f>NOT(ISERROR(SEARCH("SM-2024/",J303)))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J303</xm:sqref>
        </x14:conditionalFormatting>
        <x14:conditionalFormatting xmlns:xm="http://schemas.microsoft.com/office/excel/2006/main">
          <x14:cfRule type="containsText" priority="4636" operator="containsText" id="{5A2567BC-06AA-4769-A5F5-32EA4399ED46}">
            <xm:f>NOT(ISERROR(SEARCH("SM-2024/",K303)))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K303</xm:sqref>
        </x14:conditionalFormatting>
        <x14:conditionalFormatting xmlns:xm="http://schemas.microsoft.com/office/excel/2006/main">
          <x14:cfRule type="containsText" priority="4624" operator="containsText" id="{4F34A57B-EBBC-40F0-95E0-A0E5E0D17B6A}">
            <xm:f>NOT(ISERROR(SEARCH("SM-2024/",J302)))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J302</xm:sqref>
        </x14:conditionalFormatting>
        <x14:conditionalFormatting xmlns:xm="http://schemas.microsoft.com/office/excel/2006/main">
          <x14:cfRule type="containsText" priority="4621" operator="containsText" id="{F68CDE43-2EFC-4162-8EB5-E4475BB297C9}">
            <xm:f>NOT(ISERROR(SEARCH("SM-2024/",K302)))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K302</xm:sqref>
        </x14:conditionalFormatting>
        <x14:conditionalFormatting xmlns:xm="http://schemas.microsoft.com/office/excel/2006/main">
          <x14:cfRule type="containsText" priority="4609" operator="containsText" id="{E1673050-8A8F-4D8C-BC78-B5983587B8A6}">
            <xm:f>NOT(ISERROR(SEARCH("SM-2024/",J301)))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J301</xm:sqref>
        </x14:conditionalFormatting>
        <x14:conditionalFormatting xmlns:xm="http://schemas.microsoft.com/office/excel/2006/main">
          <x14:cfRule type="containsText" priority="4606" operator="containsText" id="{9D419868-4847-4B50-9E07-5AB7E90F2311}">
            <xm:f>NOT(ISERROR(SEARCH("SM-2024/",K301)))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K301</xm:sqref>
        </x14:conditionalFormatting>
        <x14:conditionalFormatting xmlns:xm="http://schemas.microsoft.com/office/excel/2006/main">
          <x14:cfRule type="containsText" priority="4594" operator="containsText" id="{657D8009-A2FC-491D-83CA-6C8F01C80EFC}">
            <xm:f>NOT(ISERROR(SEARCH("SM-2024/",J300)))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J300</xm:sqref>
        </x14:conditionalFormatting>
        <x14:conditionalFormatting xmlns:xm="http://schemas.microsoft.com/office/excel/2006/main">
          <x14:cfRule type="containsText" priority="4591" operator="containsText" id="{1C288BB0-81A0-4A2D-A0EB-64A06DDC05BF}">
            <xm:f>NOT(ISERROR(SEARCH("SM-2024/",K300)))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K300</xm:sqref>
        </x14:conditionalFormatting>
        <x14:conditionalFormatting xmlns:xm="http://schemas.microsoft.com/office/excel/2006/main">
          <x14:cfRule type="containsText" priority="4579" operator="containsText" id="{5DCE35DF-A395-4712-BACC-76C5FD3B3D52}">
            <xm:f>NOT(ISERROR(SEARCH("SM-2024/",J299)))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J299</xm:sqref>
        </x14:conditionalFormatting>
        <x14:conditionalFormatting xmlns:xm="http://schemas.microsoft.com/office/excel/2006/main">
          <x14:cfRule type="containsText" priority="4576" operator="containsText" id="{299A07DD-3606-40F8-9D70-920A0509A5AB}">
            <xm:f>NOT(ISERROR(SEARCH("SM-2024/",K299)))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K299</xm:sqref>
        </x14:conditionalFormatting>
        <x14:conditionalFormatting xmlns:xm="http://schemas.microsoft.com/office/excel/2006/main">
          <x14:cfRule type="containsText" priority="4564" operator="containsText" id="{93F03E56-596E-43F4-B628-DDC2F75EEDDA}">
            <xm:f>NOT(ISERROR(SEARCH("SM-2024/",J298)))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J298</xm:sqref>
        </x14:conditionalFormatting>
        <x14:conditionalFormatting xmlns:xm="http://schemas.microsoft.com/office/excel/2006/main">
          <x14:cfRule type="containsText" priority="4561" operator="containsText" id="{FA6B14CB-6DFF-48B9-9E26-A58B8A06B55B}">
            <xm:f>NOT(ISERROR(SEARCH("SM-2024/",K298)))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K298</xm:sqref>
        </x14:conditionalFormatting>
        <x14:conditionalFormatting xmlns:xm="http://schemas.microsoft.com/office/excel/2006/main">
          <x14:cfRule type="containsText" priority="4549" operator="containsText" id="{F081F96B-3AE9-4F0F-9BFC-D13BE5C3C766}">
            <xm:f>NOT(ISERROR(SEARCH("SM-2024/",J297)))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J297</xm:sqref>
        </x14:conditionalFormatting>
        <x14:conditionalFormatting xmlns:xm="http://schemas.microsoft.com/office/excel/2006/main">
          <x14:cfRule type="containsText" priority="4546" operator="containsText" id="{74E2FA47-C894-4762-A6AC-F4043CA71C19}">
            <xm:f>NOT(ISERROR(SEARCH("SM-2024/",K297)))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K297</xm:sqref>
        </x14:conditionalFormatting>
        <x14:conditionalFormatting xmlns:xm="http://schemas.microsoft.com/office/excel/2006/main">
          <x14:cfRule type="containsText" priority="4534" operator="containsText" id="{B0CA5C80-6AD3-47D8-B07D-1250C6BAD098}">
            <xm:f>NOT(ISERROR(SEARCH("SM-2024/",J296)))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J296</xm:sqref>
        </x14:conditionalFormatting>
        <x14:conditionalFormatting xmlns:xm="http://schemas.microsoft.com/office/excel/2006/main">
          <x14:cfRule type="containsText" priority="4531" operator="containsText" id="{EFEDE492-2F9F-4843-A1EF-3250FC08AD61}">
            <xm:f>NOT(ISERROR(SEARCH("SM-2024/",K296)))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K296</xm:sqref>
        </x14:conditionalFormatting>
        <x14:conditionalFormatting xmlns:xm="http://schemas.microsoft.com/office/excel/2006/main">
          <x14:cfRule type="containsText" priority="4519" operator="containsText" id="{766E6E78-5C0B-4CE4-BB95-F55077F4F01B}">
            <xm:f>NOT(ISERROR(SEARCH("SM-2024/",J295)))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J295</xm:sqref>
        </x14:conditionalFormatting>
        <x14:conditionalFormatting xmlns:xm="http://schemas.microsoft.com/office/excel/2006/main">
          <x14:cfRule type="containsText" priority="4516" operator="containsText" id="{E4C5D993-9F43-43AB-8BE0-9B87288C34BA}">
            <xm:f>NOT(ISERROR(SEARCH("SM-2024/",K295)))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K295</xm:sqref>
        </x14:conditionalFormatting>
        <x14:conditionalFormatting xmlns:xm="http://schemas.microsoft.com/office/excel/2006/main">
          <x14:cfRule type="containsText" priority="4504" operator="containsText" id="{C16BE831-CC30-4081-BC22-3C47B84435C1}">
            <xm:f>NOT(ISERROR(SEARCH("SM-2024/",J294)))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J294</xm:sqref>
        </x14:conditionalFormatting>
        <x14:conditionalFormatting xmlns:xm="http://schemas.microsoft.com/office/excel/2006/main">
          <x14:cfRule type="containsText" priority="4501" operator="containsText" id="{BD29EA6B-FD9A-49F5-B582-E016D070AA68}">
            <xm:f>NOT(ISERROR(SEARCH("SM-2024/",K294)))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K294</xm:sqref>
        </x14:conditionalFormatting>
        <x14:conditionalFormatting xmlns:xm="http://schemas.microsoft.com/office/excel/2006/main">
          <x14:cfRule type="containsText" priority="4489" operator="containsText" id="{CA8236A2-B973-4AFC-9776-C05B016692D2}">
            <xm:f>NOT(ISERROR(SEARCH("SM-2024/",J293)))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J293</xm:sqref>
        </x14:conditionalFormatting>
        <x14:conditionalFormatting xmlns:xm="http://schemas.microsoft.com/office/excel/2006/main">
          <x14:cfRule type="containsText" priority="4486" operator="containsText" id="{8BEF8E0A-D5A6-457E-94BF-32ABCE1BC7E0}">
            <xm:f>NOT(ISERROR(SEARCH("SM-2024/",K293)))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K293</xm:sqref>
        </x14:conditionalFormatting>
        <x14:conditionalFormatting xmlns:xm="http://schemas.microsoft.com/office/excel/2006/main">
          <x14:cfRule type="containsText" priority="4474" operator="containsText" id="{59F98F9F-1C77-4B04-B40C-B11347924F0F}">
            <xm:f>NOT(ISERROR(SEARCH("SM-2024/",J292)))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J292</xm:sqref>
        </x14:conditionalFormatting>
        <x14:conditionalFormatting xmlns:xm="http://schemas.microsoft.com/office/excel/2006/main">
          <x14:cfRule type="containsText" priority="4471" operator="containsText" id="{5DB4C0E3-BBC9-427E-9310-2A3DACB361B0}">
            <xm:f>NOT(ISERROR(SEARCH("SM-2024/",K292)))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K292</xm:sqref>
        </x14:conditionalFormatting>
        <x14:conditionalFormatting xmlns:xm="http://schemas.microsoft.com/office/excel/2006/main">
          <x14:cfRule type="containsText" priority="4459" operator="containsText" id="{1C2002C2-31D2-4FBD-87CA-937A0078B650}">
            <xm:f>NOT(ISERROR(SEARCH("SM-2024/",J291)))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J291</xm:sqref>
        </x14:conditionalFormatting>
        <x14:conditionalFormatting xmlns:xm="http://schemas.microsoft.com/office/excel/2006/main">
          <x14:cfRule type="containsText" priority="4456" operator="containsText" id="{32C4BACB-F196-425A-8527-B12AE8B97E07}">
            <xm:f>NOT(ISERROR(SEARCH("SM-2024/",K291)))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K291</xm:sqref>
        </x14:conditionalFormatting>
        <x14:conditionalFormatting xmlns:xm="http://schemas.microsoft.com/office/excel/2006/main">
          <x14:cfRule type="containsText" priority="4444" operator="containsText" id="{B04F6F74-F060-4B1F-B561-00871ABCE154}">
            <xm:f>NOT(ISERROR(SEARCH("SM-2024/",J290)))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J290</xm:sqref>
        </x14:conditionalFormatting>
        <x14:conditionalFormatting xmlns:xm="http://schemas.microsoft.com/office/excel/2006/main">
          <x14:cfRule type="containsText" priority="4441" operator="containsText" id="{3C3D8EEA-FB58-4F4C-8BAD-DE7732BAAE6B}">
            <xm:f>NOT(ISERROR(SEARCH("SM-2024/",K290)))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K290</xm:sqref>
        </x14:conditionalFormatting>
        <x14:conditionalFormatting xmlns:xm="http://schemas.microsoft.com/office/excel/2006/main">
          <x14:cfRule type="containsText" priority="4429" operator="containsText" id="{C8FE2CAC-709F-4A74-9DAF-8418F30029AD}">
            <xm:f>NOT(ISERROR(SEARCH("SM-2024/",J289)))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4426" operator="containsText" id="{1847AE93-53B2-4DA7-AF1C-9F2C5B6E53A2}">
            <xm:f>NOT(ISERROR(SEARCH("SM-2024/",K289)))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K289</xm:sqref>
        </x14:conditionalFormatting>
        <x14:conditionalFormatting xmlns:xm="http://schemas.microsoft.com/office/excel/2006/main">
          <x14:cfRule type="containsText" priority="4414" operator="containsText" id="{824840B4-69C8-4456-9971-AFF4963C13F0}">
            <xm:f>NOT(ISERROR(SEARCH("SM-2024/",J288)))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J288</xm:sqref>
        </x14:conditionalFormatting>
        <x14:conditionalFormatting xmlns:xm="http://schemas.microsoft.com/office/excel/2006/main">
          <x14:cfRule type="containsText" priority="4411" operator="containsText" id="{58F242F3-1FF5-470D-85C8-AF76EE358663}">
            <xm:f>NOT(ISERROR(SEARCH("SM-2024/",K288)))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K288</xm:sqref>
        </x14:conditionalFormatting>
        <x14:conditionalFormatting xmlns:xm="http://schemas.microsoft.com/office/excel/2006/main">
          <x14:cfRule type="containsText" priority="4399" operator="containsText" id="{8A044D08-1049-4217-9D41-A9AB594D1988}">
            <xm:f>NOT(ISERROR(SEARCH("SM-2024/",J287)))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J287</xm:sqref>
        </x14:conditionalFormatting>
        <x14:conditionalFormatting xmlns:xm="http://schemas.microsoft.com/office/excel/2006/main">
          <x14:cfRule type="containsText" priority="4396" operator="containsText" id="{41BAF434-C9F7-4976-89D7-FB0AE67258FA}">
            <xm:f>NOT(ISERROR(SEARCH("SM-2024/",K287)))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K287</xm:sqref>
        </x14:conditionalFormatting>
        <x14:conditionalFormatting xmlns:xm="http://schemas.microsoft.com/office/excel/2006/main">
          <x14:cfRule type="containsText" priority="4384" operator="containsText" id="{A850CFED-19CB-4B20-84FA-9FB3920D8D98}">
            <xm:f>NOT(ISERROR(SEARCH("SM-2024/",J286)))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4381" operator="containsText" id="{EC30A12C-AA93-4399-BE47-D16B30C2A6E5}">
            <xm:f>NOT(ISERROR(SEARCH("SM-2024/",K286)))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K286</xm:sqref>
        </x14:conditionalFormatting>
        <x14:conditionalFormatting xmlns:xm="http://schemas.microsoft.com/office/excel/2006/main">
          <x14:cfRule type="containsText" priority="4369" operator="containsText" id="{79A44C92-D552-4566-ACE3-AE25ED5A7009}">
            <xm:f>NOT(ISERROR(SEARCH("SM-2024/",J285)))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J285</xm:sqref>
        </x14:conditionalFormatting>
        <x14:conditionalFormatting xmlns:xm="http://schemas.microsoft.com/office/excel/2006/main">
          <x14:cfRule type="containsText" priority="4366" operator="containsText" id="{9D0B14D9-D4D7-469B-AC49-D621BFBCBE08}">
            <xm:f>NOT(ISERROR(SEARCH("SM-2024/",K285)))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K285</xm:sqref>
        </x14:conditionalFormatting>
        <x14:conditionalFormatting xmlns:xm="http://schemas.microsoft.com/office/excel/2006/main">
          <x14:cfRule type="containsText" priority="4354" operator="containsText" id="{CF0A60E8-79CC-4659-85E1-837072896093}">
            <xm:f>NOT(ISERROR(SEARCH("SM-2024/",J284)))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J284</xm:sqref>
        </x14:conditionalFormatting>
        <x14:conditionalFormatting xmlns:xm="http://schemas.microsoft.com/office/excel/2006/main">
          <x14:cfRule type="containsText" priority="4351" operator="containsText" id="{2C1ADE57-EFCC-4DFD-B69F-BFC52DA4486F}">
            <xm:f>NOT(ISERROR(SEARCH("SM-2024/",K284)))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K284</xm:sqref>
        </x14:conditionalFormatting>
        <x14:conditionalFormatting xmlns:xm="http://schemas.microsoft.com/office/excel/2006/main">
          <x14:cfRule type="containsText" priority="4339" operator="containsText" id="{559A9DD2-032B-4C13-9DAC-B8B7395D6C87}">
            <xm:f>NOT(ISERROR(SEARCH("SM-2024/",J283)))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J283</xm:sqref>
        </x14:conditionalFormatting>
        <x14:conditionalFormatting xmlns:xm="http://schemas.microsoft.com/office/excel/2006/main">
          <x14:cfRule type="containsText" priority="4336" operator="containsText" id="{7FFF4C42-BF20-44E4-8EE4-E69E56492D29}">
            <xm:f>NOT(ISERROR(SEARCH("SM-2024/",K283)))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K283</xm:sqref>
        </x14:conditionalFormatting>
        <x14:conditionalFormatting xmlns:xm="http://schemas.microsoft.com/office/excel/2006/main">
          <x14:cfRule type="containsText" priority="4324" operator="containsText" id="{02F93D6D-F360-497D-B843-AB4155087270}">
            <xm:f>NOT(ISERROR(SEARCH("SM-2024/",J282)))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J282</xm:sqref>
        </x14:conditionalFormatting>
        <x14:conditionalFormatting xmlns:xm="http://schemas.microsoft.com/office/excel/2006/main">
          <x14:cfRule type="containsText" priority="4321" operator="containsText" id="{0C299DE9-DDA7-4646-8F84-C2852618AFF8}">
            <xm:f>NOT(ISERROR(SEARCH("SM-2024/",K282)))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K282</xm:sqref>
        </x14:conditionalFormatting>
        <x14:conditionalFormatting xmlns:xm="http://schemas.microsoft.com/office/excel/2006/main">
          <x14:cfRule type="containsText" priority="4309" operator="containsText" id="{6A84463D-7BC6-49A1-95E1-164133B8FFCF}">
            <xm:f>NOT(ISERROR(SEARCH("SM-2024/",J281)))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J281</xm:sqref>
        </x14:conditionalFormatting>
        <x14:conditionalFormatting xmlns:xm="http://schemas.microsoft.com/office/excel/2006/main">
          <x14:cfRule type="containsText" priority="4306" operator="containsText" id="{F6A42C7A-9D8A-4D4D-991A-80D35B8A158C}">
            <xm:f>NOT(ISERROR(SEARCH("SM-2024/",K281)))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K281</xm:sqref>
        </x14:conditionalFormatting>
        <x14:conditionalFormatting xmlns:xm="http://schemas.microsoft.com/office/excel/2006/main">
          <x14:cfRule type="containsText" priority="4294" operator="containsText" id="{FB40FA81-9FB8-41BA-9D31-77E49DF490D1}">
            <xm:f>NOT(ISERROR(SEARCH("SM-2024/",J280)))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J280</xm:sqref>
        </x14:conditionalFormatting>
        <x14:conditionalFormatting xmlns:xm="http://schemas.microsoft.com/office/excel/2006/main">
          <x14:cfRule type="containsText" priority="4291" operator="containsText" id="{05153882-9443-43ED-A8BA-D0233FE88DA9}">
            <xm:f>NOT(ISERROR(SEARCH("SM-2024/",K280)))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K280</xm:sqref>
        </x14:conditionalFormatting>
        <x14:conditionalFormatting xmlns:xm="http://schemas.microsoft.com/office/excel/2006/main">
          <x14:cfRule type="containsText" priority="4279" operator="containsText" id="{F5D6C733-702A-470B-9E01-75C4FE2E5781}">
            <xm:f>NOT(ISERROR(SEARCH("SM-2024/",J279)))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J279</xm:sqref>
        </x14:conditionalFormatting>
        <x14:conditionalFormatting xmlns:xm="http://schemas.microsoft.com/office/excel/2006/main">
          <x14:cfRule type="containsText" priority="4276" operator="containsText" id="{258653E3-76C8-43CE-8B24-CFEDE2826E14}">
            <xm:f>NOT(ISERROR(SEARCH("SM-2024/",K279)))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K279</xm:sqref>
        </x14:conditionalFormatting>
        <x14:conditionalFormatting xmlns:xm="http://schemas.microsoft.com/office/excel/2006/main">
          <x14:cfRule type="containsText" priority="4264" operator="containsText" id="{5B40B210-608A-4412-BEBE-F30672819637}">
            <xm:f>NOT(ISERROR(SEARCH("SM-2024/",J278)))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J278</xm:sqref>
        </x14:conditionalFormatting>
        <x14:conditionalFormatting xmlns:xm="http://schemas.microsoft.com/office/excel/2006/main">
          <x14:cfRule type="containsText" priority="4261" operator="containsText" id="{C63F677E-9AF0-437E-B418-BF01814BB3DE}">
            <xm:f>NOT(ISERROR(SEARCH("SM-2024/",K278)))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K278</xm:sqref>
        </x14:conditionalFormatting>
        <x14:conditionalFormatting xmlns:xm="http://schemas.microsoft.com/office/excel/2006/main">
          <x14:cfRule type="containsText" priority="4249" operator="containsText" id="{7C7A143E-0FD8-4C7D-A30E-103F6188A36C}">
            <xm:f>NOT(ISERROR(SEARCH("SM-2024/",J277)))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J277</xm:sqref>
        </x14:conditionalFormatting>
        <x14:conditionalFormatting xmlns:xm="http://schemas.microsoft.com/office/excel/2006/main">
          <x14:cfRule type="containsText" priority="4246" operator="containsText" id="{50EE4406-68C1-4026-9D64-67036E65E94B}">
            <xm:f>NOT(ISERROR(SEARCH("SM-2024/",K277)))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K277</xm:sqref>
        </x14:conditionalFormatting>
        <x14:conditionalFormatting xmlns:xm="http://schemas.microsoft.com/office/excel/2006/main">
          <x14:cfRule type="containsText" priority="4234" operator="containsText" id="{C79F08D3-82D8-4B75-8006-3C2D1490D1B2}">
            <xm:f>NOT(ISERROR(SEARCH("SM-2024/",J276)))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J276</xm:sqref>
        </x14:conditionalFormatting>
        <x14:conditionalFormatting xmlns:xm="http://schemas.microsoft.com/office/excel/2006/main">
          <x14:cfRule type="containsText" priority="4231" operator="containsText" id="{1A1AC600-1558-43AB-905F-154429697E01}">
            <xm:f>NOT(ISERROR(SEARCH("SM-2024/",K276)))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K276</xm:sqref>
        </x14:conditionalFormatting>
        <x14:conditionalFormatting xmlns:xm="http://schemas.microsoft.com/office/excel/2006/main">
          <x14:cfRule type="containsText" priority="4219" operator="containsText" id="{9ACC2CB6-960A-47D2-8E27-DB361F2CB98D}">
            <xm:f>NOT(ISERROR(SEARCH("SM-2024/",J275)))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J275</xm:sqref>
        </x14:conditionalFormatting>
        <x14:conditionalFormatting xmlns:xm="http://schemas.microsoft.com/office/excel/2006/main">
          <x14:cfRule type="containsText" priority="4216" operator="containsText" id="{FC6E52DB-99F6-4508-BBE3-3C9AF60F774A}">
            <xm:f>NOT(ISERROR(SEARCH("SM-2024/",K275)))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K275</xm:sqref>
        </x14:conditionalFormatting>
        <x14:conditionalFormatting xmlns:xm="http://schemas.microsoft.com/office/excel/2006/main">
          <x14:cfRule type="containsText" priority="4204" operator="containsText" id="{8152FDF4-7C8E-4B92-B226-59569AF304A3}">
            <xm:f>NOT(ISERROR(SEARCH("SM-2024/",J274)))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J274</xm:sqref>
        </x14:conditionalFormatting>
        <x14:conditionalFormatting xmlns:xm="http://schemas.microsoft.com/office/excel/2006/main">
          <x14:cfRule type="containsText" priority="4201" operator="containsText" id="{C2FFED19-57C3-4352-AF50-25E40BA97027}">
            <xm:f>NOT(ISERROR(SEARCH("SM-2024/",K274)))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K274</xm:sqref>
        </x14:conditionalFormatting>
        <x14:conditionalFormatting xmlns:xm="http://schemas.microsoft.com/office/excel/2006/main">
          <x14:cfRule type="containsText" priority="4174" operator="containsText" id="{36D9EAFD-76EE-4CD1-A795-EBA314BE8358}">
            <xm:f>NOT(ISERROR(SEARCH("SM-2024/",J273)))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J273</xm:sqref>
        </x14:conditionalFormatting>
        <x14:conditionalFormatting xmlns:xm="http://schemas.microsoft.com/office/excel/2006/main">
          <x14:cfRule type="containsText" priority="4171" operator="containsText" id="{99599585-CE36-4609-A85F-644C2E93CA0A}">
            <xm:f>NOT(ISERROR(SEARCH("SM-2024/",K273)))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K273</xm:sqref>
        </x14:conditionalFormatting>
        <x14:conditionalFormatting xmlns:xm="http://schemas.microsoft.com/office/excel/2006/main">
          <x14:cfRule type="containsText" priority="4159" operator="containsText" id="{9B455323-EECC-4FF4-8B3E-FFD54433409C}">
            <xm:f>NOT(ISERROR(SEARCH("SM-2024/",J272)))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J272</xm:sqref>
        </x14:conditionalFormatting>
        <x14:conditionalFormatting xmlns:xm="http://schemas.microsoft.com/office/excel/2006/main">
          <x14:cfRule type="containsText" priority="4156" operator="containsText" id="{84CF19B9-0DE2-41E5-9037-956F94FC5ACE}">
            <xm:f>NOT(ISERROR(SEARCH("SM-2024/",K272)))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K272</xm:sqref>
        </x14:conditionalFormatting>
        <x14:conditionalFormatting xmlns:xm="http://schemas.microsoft.com/office/excel/2006/main">
          <x14:cfRule type="containsText" priority="4144" operator="containsText" id="{CBB7CB7C-25AC-4A49-A04F-425FC42EA0C9}">
            <xm:f>NOT(ISERROR(SEARCH("SM-2024/",J271)))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J271</xm:sqref>
        </x14:conditionalFormatting>
        <x14:conditionalFormatting xmlns:xm="http://schemas.microsoft.com/office/excel/2006/main">
          <x14:cfRule type="containsText" priority="4141" operator="containsText" id="{05ED301F-5D27-438F-9307-2F063EAECABD}">
            <xm:f>NOT(ISERROR(SEARCH("SM-2024/",K271)))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K271</xm:sqref>
        </x14:conditionalFormatting>
        <x14:conditionalFormatting xmlns:xm="http://schemas.microsoft.com/office/excel/2006/main">
          <x14:cfRule type="containsText" priority="4129" operator="containsText" id="{2A9E1BAF-B364-45A5-A7C6-EB9B7A90B58E}">
            <xm:f>NOT(ISERROR(SEARCH("SM-2024/",J270)))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J270</xm:sqref>
        </x14:conditionalFormatting>
        <x14:conditionalFormatting xmlns:xm="http://schemas.microsoft.com/office/excel/2006/main">
          <x14:cfRule type="containsText" priority="4126" operator="containsText" id="{0DD2B7EB-E534-4202-89D1-948FA2F89A58}">
            <xm:f>NOT(ISERROR(SEARCH("SM-2024/",K270)))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K270</xm:sqref>
        </x14:conditionalFormatting>
        <x14:conditionalFormatting xmlns:xm="http://schemas.microsoft.com/office/excel/2006/main">
          <x14:cfRule type="containsText" priority="4114" operator="containsText" id="{36B6A33A-13B5-4C4B-929D-DEC9BC37792F}">
            <xm:f>NOT(ISERROR(SEARCH("SM-2024/",J269)))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J269</xm:sqref>
        </x14:conditionalFormatting>
        <x14:conditionalFormatting xmlns:xm="http://schemas.microsoft.com/office/excel/2006/main">
          <x14:cfRule type="containsText" priority="4111" operator="containsText" id="{69BA6511-3E4C-49E7-B574-80CE96DFCFB2}">
            <xm:f>NOT(ISERROR(SEARCH("SM-2024/",K269)))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K269</xm:sqref>
        </x14:conditionalFormatting>
        <x14:conditionalFormatting xmlns:xm="http://schemas.microsoft.com/office/excel/2006/main">
          <x14:cfRule type="containsText" priority="4099" operator="containsText" id="{080B4008-CF1C-43D8-8A73-D6E484E84095}">
            <xm:f>NOT(ISERROR(SEARCH("SM-2024/",J268)))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J268</xm:sqref>
        </x14:conditionalFormatting>
        <x14:conditionalFormatting xmlns:xm="http://schemas.microsoft.com/office/excel/2006/main">
          <x14:cfRule type="containsText" priority="4096" operator="containsText" id="{88A49B25-F141-4647-B327-27B616BE5B7E}">
            <xm:f>NOT(ISERROR(SEARCH("SM-2024/",K268)))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K268</xm:sqref>
        </x14:conditionalFormatting>
        <x14:conditionalFormatting xmlns:xm="http://schemas.microsoft.com/office/excel/2006/main">
          <x14:cfRule type="containsText" priority="4084" operator="containsText" id="{39DAA4FF-B3D9-45B3-8DAC-C56DC03EA0DE}">
            <xm:f>NOT(ISERROR(SEARCH("SM-2024/",J267)))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J267</xm:sqref>
        </x14:conditionalFormatting>
        <x14:conditionalFormatting xmlns:xm="http://schemas.microsoft.com/office/excel/2006/main">
          <x14:cfRule type="containsText" priority="4081" operator="containsText" id="{E374D6E8-7756-4D7F-81DF-C8EE16A853DD}">
            <xm:f>NOT(ISERROR(SEARCH("SM-2024/",K267)))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K267</xm:sqref>
        </x14:conditionalFormatting>
        <x14:conditionalFormatting xmlns:xm="http://schemas.microsoft.com/office/excel/2006/main">
          <x14:cfRule type="containsText" priority="4069" operator="containsText" id="{D6607CA5-0151-4EA6-88E7-328B3B0B8E7E}">
            <xm:f>NOT(ISERROR(SEARCH("SM-2024/",J266)))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J266</xm:sqref>
        </x14:conditionalFormatting>
        <x14:conditionalFormatting xmlns:xm="http://schemas.microsoft.com/office/excel/2006/main">
          <x14:cfRule type="containsText" priority="4066" operator="containsText" id="{222B70C7-A946-4C58-A8D8-D4157FCEF855}">
            <xm:f>NOT(ISERROR(SEARCH("SM-2024/",K266)))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K266</xm:sqref>
        </x14:conditionalFormatting>
        <x14:conditionalFormatting xmlns:xm="http://schemas.microsoft.com/office/excel/2006/main">
          <x14:cfRule type="containsText" priority="4054" operator="containsText" id="{A7BBB1F5-BA32-4264-A7F1-4EE52DDAABB4}">
            <xm:f>NOT(ISERROR(SEARCH("SM-2024/",J265)))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J265</xm:sqref>
        </x14:conditionalFormatting>
        <x14:conditionalFormatting xmlns:xm="http://schemas.microsoft.com/office/excel/2006/main">
          <x14:cfRule type="containsText" priority="4051" operator="containsText" id="{27F90A0F-7CCE-49B5-885B-4239CCBB3C32}">
            <xm:f>NOT(ISERROR(SEARCH("SM-2024/",K265)))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K265</xm:sqref>
        </x14:conditionalFormatting>
        <x14:conditionalFormatting xmlns:xm="http://schemas.microsoft.com/office/excel/2006/main">
          <x14:cfRule type="containsText" priority="4039" operator="containsText" id="{8A520B8B-6579-4997-9180-C0A147822340}">
            <xm:f>NOT(ISERROR(SEARCH("SM-2024/",J264)))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J264</xm:sqref>
        </x14:conditionalFormatting>
        <x14:conditionalFormatting xmlns:xm="http://schemas.microsoft.com/office/excel/2006/main">
          <x14:cfRule type="containsText" priority="4036" operator="containsText" id="{BE3CB874-AA69-44E8-B46C-BC5F8CDF896C}">
            <xm:f>NOT(ISERROR(SEARCH("SM-2024/",K264)))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K264</xm:sqref>
        </x14:conditionalFormatting>
        <x14:conditionalFormatting xmlns:xm="http://schemas.microsoft.com/office/excel/2006/main">
          <x14:cfRule type="containsText" priority="4024" operator="containsText" id="{3BDCF580-19B2-4343-BD4A-63E21A4392C1}">
            <xm:f>NOT(ISERROR(SEARCH("SM-2024/",J263)))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J263</xm:sqref>
        </x14:conditionalFormatting>
        <x14:conditionalFormatting xmlns:xm="http://schemas.microsoft.com/office/excel/2006/main">
          <x14:cfRule type="containsText" priority="4021" operator="containsText" id="{9E122E5E-363A-4330-BCC7-D346BF8CFACC}">
            <xm:f>NOT(ISERROR(SEARCH("SM-2024/",K263)))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K263</xm:sqref>
        </x14:conditionalFormatting>
        <x14:conditionalFormatting xmlns:xm="http://schemas.microsoft.com/office/excel/2006/main">
          <x14:cfRule type="containsText" priority="4009" operator="containsText" id="{2E666D72-6495-456A-85B5-50825EA6B818}">
            <xm:f>NOT(ISERROR(SEARCH("SM-2024/",J262)))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J262</xm:sqref>
        </x14:conditionalFormatting>
        <x14:conditionalFormatting xmlns:xm="http://schemas.microsoft.com/office/excel/2006/main">
          <x14:cfRule type="containsText" priority="4006" operator="containsText" id="{C6F42633-BCDB-4C78-9875-84F00B22771E}">
            <xm:f>NOT(ISERROR(SEARCH("SM-2024/",K262)))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K262</xm:sqref>
        </x14:conditionalFormatting>
        <x14:conditionalFormatting xmlns:xm="http://schemas.microsoft.com/office/excel/2006/main">
          <x14:cfRule type="containsText" priority="3994" operator="containsText" id="{6392CD6B-7BD1-4B34-9DD8-D6C8C0AE8CA5}">
            <xm:f>NOT(ISERROR(SEARCH("SM-2024/",J261)))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J261</xm:sqref>
        </x14:conditionalFormatting>
        <x14:conditionalFormatting xmlns:xm="http://schemas.microsoft.com/office/excel/2006/main">
          <x14:cfRule type="containsText" priority="3991" operator="containsText" id="{F00CE2B4-256B-4836-B9A6-38A3CC153D8D}">
            <xm:f>NOT(ISERROR(SEARCH("SM-2024/",K261)))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K261</xm:sqref>
        </x14:conditionalFormatting>
        <x14:conditionalFormatting xmlns:xm="http://schemas.microsoft.com/office/excel/2006/main">
          <x14:cfRule type="containsText" priority="3979" operator="containsText" id="{AAE116B9-DFEB-438B-BBB1-EF9DE0D13986}">
            <xm:f>NOT(ISERROR(SEARCH("SM-2024/",J260)))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J260</xm:sqref>
        </x14:conditionalFormatting>
        <x14:conditionalFormatting xmlns:xm="http://schemas.microsoft.com/office/excel/2006/main">
          <x14:cfRule type="containsText" priority="3976" operator="containsText" id="{7B8A7CE0-DA95-4703-8B9C-AA9E237C9E6E}">
            <xm:f>NOT(ISERROR(SEARCH("SM-2024/",K260)))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K260</xm:sqref>
        </x14:conditionalFormatting>
        <x14:conditionalFormatting xmlns:xm="http://schemas.microsoft.com/office/excel/2006/main">
          <x14:cfRule type="containsText" priority="3964" operator="containsText" id="{634198E7-67A0-4B90-AF59-C5EC9832314A}">
            <xm:f>NOT(ISERROR(SEARCH("SM-2024/",J259)))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J259</xm:sqref>
        </x14:conditionalFormatting>
        <x14:conditionalFormatting xmlns:xm="http://schemas.microsoft.com/office/excel/2006/main">
          <x14:cfRule type="containsText" priority="3961" operator="containsText" id="{27144D8A-03B4-4E7F-A5F0-894C024D267C}">
            <xm:f>NOT(ISERROR(SEARCH("SM-2024/",K259)))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K259</xm:sqref>
        </x14:conditionalFormatting>
        <x14:conditionalFormatting xmlns:xm="http://schemas.microsoft.com/office/excel/2006/main">
          <x14:cfRule type="containsText" priority="3949" operator="containsText" id="{06CB0B01-0D61-4119-A251-0B7474068C29}">
            <xm:f>NOT(ISERROR(SEARCH("SM-2024/",J258)))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J258</xm:sqref>
        </x14:conditionalFormatting>
        <x14:conditionalFormatting xmlns:xm="http://schemas.microsoft.com/office/excel/2006/main">
          <x14:cfRule type="containsText" priority="3946" operator="containsText" id="{BC7CFBDF-D76E-414F-9F23-28C92C6CCEA0}">
            <xm:f>NOT(ISERROR(SEARCH("SM-2024/",K258)))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K258</xm:sqref>
        </x14:conditionalFormatting>
        <x14:conditionalFormatting xmlns:xm="http://schemas.microsoft.com/office/excel/2006/main">
          <x14:cfRule type="containsText" priority="3934" operator="containsText" id="{72DA38B5-619C-4FA6-955D-52073C4060BA}">
            <xm:f>NOT(ISERROR(SEARCH("SM-2024/",J257)))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J257</xm:sqref>
        </x14:conditionalFormatting>
        <x14:conditionalFormatting xmlns:xm="http://schemas.microsoft.com/office/excel/2006/main">
          <x14:cfRule type="containsText" priority="3931" operator="containsText" id="{BF12CEE2-4615-49BB-A3E6-17956371FFA9}">
            <xm:f>NOT(ISERROR(SEARCH("SM-2024/",K257)))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K257</xm:sqref>
        </x14:conditionalFormatting>
        <x14:conditionalFormatting xmlns:xm="http://schemas.microsoft.com/office/excel/2006/main">
          <x14:cfRule type="containsText" priority="3919" operator="containsText" id="{836F947F-BA0C-4341-8E77-7F26E2551481}">
            <xm:f>NOT(ISERROR(SEARCH("SM-2024/",J256)))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J256</xm:sqref>
        </x14:conditionalFormatting>
        <x14:conditionalFormatting xmlns:xm="http://schemas.microsoft.com/office/excel/2006/main">
          <x14:cfRule type="containsText" priority="3916" operator="containsText" id="{325A0031-5BD9-474A-B1C6-944B8DA455A5}">
            <xm:f>NOT(ISERROR(SEARCH("SM-2024/",K256)))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K256</xm:sqref>
        </x14:conditionalFormatting>
        <x14:conditionalFormatting xmlns:xm="http://schemas.microsoft.com/office/excel/2006/main">
          <x14:cfRule type="containsText" priority="3904" operator="containsText" id="{DC01D4AD-97A3-47C3-BBBA-5D746A07BDEF}">
            <xm:f>NOT(ISERROR(SEARCH("SM-2024/",J255)))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J255</xm:sqref>
        </x14:conditionalFormatting>
        <x14:conditionalFormatting xmlns:xm="http://schemas.microsoft.com/office/excel/2006/main">
          <x14:cfRule type="containsText" priority="3901" operator="containsText" id="{C45F1F7D-D565-4BCD-89AF-53239107779B}">
            <xm:f>NOT(ISERROR(SEARCH("SM-2024/",K255)))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K255</xm:sqref>
        </x14:conditionalFormatting>
        <x14:conditionalFormatting xmlns:xm="http://schemas.microsoft.com/office/excel/2006/main">
          <x14:cfRule type="containsText" priority="3889" operator="containsText" id="{3C2A6602-5395-4419-9350-ED1D5B329A9E}">
            <xm:f>NOT(ISERROR(SEARCH("SM-2024/",J254)))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J254</xm:sqref>
        </x14:conditionalFormatting>
        <x14:conditionalFormatting xmlns:xm="http://schemas.microsoft.com/office/excel/2006/main">
          <x14:cfRule type="containsText" priority="3886" operator="containsText" id="{D0434FB8-DA9C-45B6-A218-F591E78FDA50}">
            <xm:f>NOT(ISERROR(SEARCH("SM-2024/",K254)))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K254</xm:sqref>
        </x14:conditionalFormatting>
        <x14:conditionalFormatting xmlns:xm="http://schemas.microsoft.com/office/excel/2006/main">
          <x14:cfRule type="containsText" priority="3874" operator="containsText" id="{211C229D-47D1-48D4-912A-DCFFD079B1EF}">
            <xm:f>NOT(ISERROR(SEARCH("SM-2024/",J253)))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J253</xm:sqref>
        </x14:conditionalFormatting>
        <x14:conditionalFormatting xmlns:xm="http://schemas.microsoft.com/office/excel/2006/main">
          <x14:cfRule type="containsText" priority="3871" operator="containsText" id="{15E271B5-23BF-4940-9C27-F1DB2EDEF261}">
            <xm:f>NOT(ISERROR(SEARCH("SM-2024/",K253)))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K253</xm:sqref>
        </x14:conditionalFormatting>
        <x14:conditionalFormatting xmlns:xm="http://schemas.microsoft.com/office/excel/2006/main">
          <x14:cfRule type="containsText" priority="3859" operator="containsText" id="{13D638C3-A458-48FA-B0DC-24F2EF6B6167}">
            <xm:f>NOT(ISERROR(SEARCH("SM-2024/",J252)))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J252</xm:sqref>
        </x14:conditionalFormatting>
        <x14:conditionalFormatting xmlns:xm="http://schemas.microsoft.com/office/excel/2006/main">
          <x14:cfRule type="containsText" priority="3856" operator="containsText" id="{E309D06C-D7C3-4DCE-BA04-84558BF31E00}">
            <xm:f>NOT(ISERROR(SEARCH("SM-2024/",K252)))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K252</xm:sqref>
        </x14:conditionalFormatting>
        <x14:conditionalFormatting xmlns:xm="http://schemas.microsoft.com/office/excel/2006/main">
          <x14:cfRule type="containsText" priority="3844" operator="containsText" id="{EE8B09F8-0C87-459A-AE17-D0B288620958}">
            <xm:f>NOT(ISERROR(SEARCH("SM-2024/",J251)))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J251</xm:sqref>
        </x14:conditionalFormatting>
        <x14:conditionalFormatting xmlns:xm="http://schemas.microsoft.com/office/excel/2006/main">
          <x14:cfRule type="containsText" priority="3841" operator="containsText" id="{EAFDF437-C003-48DB-ACAC-454E0B967CEC}">
            <xm:f>NOT(ISERROR(SEARCH("SM-2024/",K251)))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K251</xm:sqref>
        </x14:conditionalFormatting>
        <x14:conditionalFormatting xmlns:xm="http://schemas.microsoft.com/office/excel/2006/main">
          <x14:cfRule type="containsText" priority="3829" operator="containsText" id="{A8B853F2-9F70-4814-92F7-84872182022F}">
            <xm:f>NOT(ISERROR(SEARCH("SM-2024/",J250)))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J250</xm:sqref>
        </x14:conditionalFormatting>
        <x14:conditionalFormatting xmlns:xm="http://schemas.microsoft.com/office/excel/2006/main">
          <x14:cfRule type="containsText" priority="3826" operator="containsText" id="{64ACBBA8-2F5A-4B5E-BADE-FDEA77DE6371}">
            <xm:f>NOT(ISERROR(SEARCH("SM-2024/",K250)))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K250</xm:sqref>
        </x14:conditionalFormatting>
        <x14:conditionalFormatting xmlns:xm="http://schemas.microsoft.com/office/excel/2006/main">
          <x14:cfRule type="containsText" priority="3814" operator="containsText" id="{E6383C68-7955-49EB-A999-DB353C7B96D7}">
            <xm:f>NOT(ISERROR(SEARCH("SM-2024/",J249)))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J249</xm:sqref>
        </x14:conditionalFormatting>
        <x14:conditionalFormatting xmlns:xm="http://schemas.microsoft.com/office/excel/2006/main">
          <x14:cfRule type="containsText" priority="3811" operator="containsText" id="{0184FA71-B773-42AB-B649-F76E6E0D967F}">
            <xm:f>NOT(ISERROR(SEARCH("SM-2024/",K249)))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K249</xm:sqref>
        </x14:conditionalFormatting>
        <x14:conditionalFormatting xmlns:xm="http://schemas.microsoft.com/office/excel/2006/main">
          <x14:cfRule type="containsText" priority="3799" operator="containsText" id="{5CB3BFBD-50CC-4D3F-97A5-17B80EBA25F1}">
            <xm:f>NOT(ISERROR(SEARCH("SM-2024/",J248)))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J248</xm:sqref>
        </x14:conditionalFormatting>
        <x14:conditionalFormatting xmlns:xm="http://schemas.microsoft.com/office/excel/2006/main">
          <x14:cfRule type="containsText" priority="3796" operator="containsText" id="{23AE64D6-88B7-48CE-93B2-A15722411DCD}">
            <xm:f>NOT(ISERROR(SEARCH("SM-2024/",K248)))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K248</xm:sqref>
        </x14:conditionalFormatting>
        <x14:conditionalFormatting xmlns:xm="http://schemas.microsoft.com/office/excel/2006/main">
          <x14:cfRule type="containsText" priority="3784" operator="containsText" id="{D9C2E574-968B-4EFE-8FE5-85586B5EC9DB}">
            <xm:f>NOT(ISERROR(SEARCH("SM-2024/",J247)))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J247</xm:sqref>
        </x14:conditionalFormatting>
        <x14:conditionalFormatting xmlns:xm="http://schemas.microsoft.com/office/excel/2006/main">
          <x14:cfRule type="containsText" priority="3781" operator="containsText" id="{1B1FA5CA-FF18-4A0D-A49A-7B2ED70551BA}">
            <xm:f>NOT(ISERROR(SEARCH("SM-2024/",K247)))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K247</xm:sqref>
        </x14:conditionalFormatting>
        <x14:conditionalFormatting xmlns:xm="http://schemas.microsoft.com/office/excel/2006/main">
          <x14:cfRule type="containsText" priority="3769" operator="containsText" id="{68A21632-9C28-426A-9E7F-D9A2FAAA1F10}">
            <xm:f>NOT(ISERROR(SEARCH("SM-2024/",J246)))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J246</xm:sqref>
        </x14:conditionalFormatting>
        <x14:conditionalFormatting xmlns:xm="http://schemas.microsoft.com/office/excel/2006/main">
          <x14:cfRule type="containsText" priority="3766" operator="containsText" id="{F38530CE-4608-4A50-B952-CF5F5E2019D2}">
            <xm:f>NOT(ISERROR(SEARCH("SM-2024/",K246)))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K246</xm:sqref>
        </x14:conditionalFormatting>
        <x14:conditionalFormatting xmlns:xm="http://schemas.microsoft.com/office/excel/2006/main">
          <x14:cfRule type="containsText" priority="3754" operator="containsText" id="{33451979-13DD-42A9-905E-D24984868CA1}">
            <xm:f>NOT(ISERROR(SEARCH("SM-2024/",J245)))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J245</xm:sqref>
        </x14:conditionalFormatting>
        <x14:conditionalFormatting xmlns:xm="http://schemas.microsoft.com/office/excel/2006/main">
          <x14:cfRule type="containsText" priority="3751" operator="containsText" id="{8B2D5FFA-7DCA-4306-BD5F-4CCA4699F420}">
            <xm:f>NOT(ISERROR(SEARCH("SM-2024/",K245)))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K245</xm:sqref>
        </x14:conditionalFormatting>
        <x14:conditionalFormatting xmlns:xm="http://schemas.microsoft.com/office/excel/2006/main">
          <x14:cfRule type="containsText" priority="3739" operator="containsText" id="{7E202A34-56F6-4BBC-9B69-9F99ED83A099}">
            <xm:f>NOT(ISERROR(SEARCH("SM-2024/",J244)))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J244</xm:sqref>
        </x14:conditionalFormatting>
        <x14:conditionalFormatting xmlns:xm="http://schemas.microsoft.com/office/excel/2006/main">
          <x14:cfRule type="containsText" priority="3736" operator="containsText" id="{9006D4E2-4CAB-4E15-AAB4-3737FAECF561}">
            <xm:f>NOT(ISERROR(SEARCH("SM-2024/",K244)))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K244</xm:sqref>
        </x14:conditionalFormatting>
        <x14:conditionalFormatting xmlns:xm="http://schemas.microsoft.com/office/excel/2006/main">
          <x14:cfRule type="containsText" priority="3724" operator="containsText" id="{00A38CAC-D32A-4053-A878-1B651418259E}">
            <xm:f>NOT(ISERROR(SEARCH("SM-2024/",J243)))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J243</xm:sqref>
        </x14:conditionalFormatting>
        <x14:conditionalFormatting xmlns:xm="http://schemas.microsoft.com/office/excel/2006/main">
          <x14:cfRule type="containsText" priority="3721" operator="containsText" id="{2DE22591-B875-45FC-8F38-EDCD4A72F90F}">
            <xm:f>NOT(ISERROR(SEARCH("SM-2024/",K243)))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K243</xm:sqref>
        </x14:conditionalFormatting>
        <x14:conditionalFormatting xmlns:xm="http://schemas.microsoft.com/office/excel/2006/main">
          <x14:cfRule type="containsText" priority="3709" operator="containsText" id="{42B0D662-A1B7-4B67-A9D2-96D5C6B1976B}">
            <xm:f>NOT(ISERROR(SEARCH("SM-2024/",J242)))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J242</xm:sqref>
        </x14:conditionalFormatting>
        <x14:conditionalFormatting xmlns:xm="http://schemas.microsoft.com/office/excel/2006/main">
          <x14:cfRule type="containsText" priority="3706" operator="containsText" id="{68E839D4-4789-4648-A408-6FA2CE0DD7B7}">
            <xm:f>NOT(ISERROR(SEARCH("SM-2024/",K242)))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K242</xm:sqref>
        </x14:conditionalFormatting>
        <x14:conditionalFormatting xmlns:xm="http://schemas.microsoft.com/office/excel/2006/main">
          <x14:cfRule type="containsText" priority="3694" operator="containsText" id="{8965EEFD-F0D5-4884-A81A-103E762BF77D}">
            <xm:f>NOT(ISERROR(SEARCH("SM-2024/",J241)))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J241</xm:sqref>
        </x14:conditionalFormatting>
        <x14:conditionalFormatting xmlns:xm="http://schemas.microsoft.com/office/excel/2006/main">
          <x14:cfRule type="containsText" priority="3691" operator="containsText" id="{ED2169C9-39C1-432E-96E1-CCE4093DF310}">
            <xm:f>NOT(ISERROR(SEARCH("SM-2024/",K241)))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K241</xm:sqref>
        </x14:conditionalFormatting>
        <x14:conditionalFormatting xmlns:xm="http://schemas.microsoft.com/office/excel/2006/main">
          <x14:cfRule type="containsText" priority="3679" operator="containsText" id="{58B74811-EFCB-4E1A-AF03-9B3D08132D92}">
            <xm:f>NOT(ISERROR(SEARCH("SM-2024/",J240)))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J240</xm:sqref>
        </x14:conditionalFormatting>
        <x14:conditionalFormatting xmlns:xm="http://schemas.microsoft.com/office/excel/2006/main">
          <x14:cfRule type="containsText" priority="3676" operator="containsText" id="{5AAD1C22-2617-4526-8373-310916878FE2}">
            <xm:f>NOT(ISERROR(SEARCH("SM-2024/",K240)))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K240</xm:sqref>
        </x14:conditionalFormatting>
        <x14:conditionalFormatting xmlns:xm="http://schemas.microsoft.com/office/excel/2006/main">
          <x14:cfRule type="containsText" priority="3664" operator="containsText" id="{17618662-460D-4AAA-9B28-BA7506C0CCE5}">
            <xm:f>NOT(ISERROR(SEARCH("SM-2024/",J239)))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J239</xm:sqref>
        </x14:conditionalFormatting>
        <x14:conditionalFormatting xmlns:xm="http://schemas.microsoft.com/office/excel/2006/main">
          <x14:cfRule type="containsText" priority="3661" operator="containsText" id="{DF17524C-6F4E-4201-9FD9-C0AE93C4FA9C}">
            <xm:f>NOT(ISERROR(SEARCH("SM-2024/",K239)))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K239</xm:sqref>
        </x14:conditionalFormatting>
        <x14:conditionalFormatting xmlns:xm="http://schemas.microsoft.com/office/excel/2006/main">
          <x14:cfRule type="containsText" priority="3649" operator="containsText" id="{74BDAB68-AE4E-47BD-9472-7F605E27D1B2}">
            <xm:f>NOT(ISERROR(SEARCH("SM-2024/",J238)))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J238</xm:sqref>
        </x14:conditionalFormatting>
        <x14:conditionalFormatting xmlns:xm="http://schemas.microsoft.com/office/excel/2006/main">
          <x14:cfRule type="containsText" priority="3646" operator="containsText" id="{5E1BC1F0-DDC0-499B-9B97-2B8C201F48B1}">
            <xm:f>NOT(ISERROR(SEARCH("SM-2024/",K238)))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K238</xm:sqref>
        </x14:conditionalFormatting>
        <x14:conditionalFormatting xmlns:xm="http://schemas.microsoft.com/office/excel/2006/main">
          <x14:cfRule type="containsText" priority="3634" operator="containsText" id="{8F16C909-5D1A-486A-BA37-CCD779E8A620}">
            <xm:f>NOT(ISERROR(SEARCH("SM-2024/",J237)))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J237</xm:sqref>
        </x14:conditionalFormatting>
        <x14:conditionalFormatting xmlns:xm="http://schemas.microsoft.com/office/excel/2006/main">
          <x14:cfRule type="containsText" priority="3631" operator="containsText" id="{FF58663C-1639-4B11-B50A-F70EF58768D4}">
            <xm:f>NOT(ISERROR(SEARCH("SM-2024/",K237)))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K237</xm:sqref>
        </x14:conditionalFormatting>
        <x14:conditionalFormatting xmlns:xm="http://schemas.microsoft.com/office/excel/2006/main">
          <x14:cfRule type="containsText" priority="3619" operator="containsText" id="{0DC11BFC-60EB-46A0-A7B3-B144067B5BE3}">
            <xm:f>NOT(ISERROR(SEARCH("SM-2024/",J236)))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J236</xm:sqref>
        </x14:conditionalFormatting>
        <x14:conditionalFormatting xmlns:xm="http://schemas.microsoft.com/office/excel/2006/main">
          <x14:cfRule type="containsText" priority="3616" operator="containsText" id="{E1643A16-903F-4875-A46B-D2B8F5368CBF}">
            <xm:f>NOT(ISERROR(SEARCH("SM-2024/",K236)))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K236</xm:sqref>
        </x14:conditionalFormatting>
        <x14:conditionalFormatting xmlns:xm="http://schemas.microsoft.com/office/excel/2006/main">
          <x14:cfRule type="containsText" priority="3604" operator="containsText" id="{40BD4B56-8B17-4E7C-9B53-E382FE733D16}">
            <xm:f>NOT(ISERROR(SEARCH("SM-2024/",J235)))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J235</xm:sqref>
        </x14:conditionalFormatting>
        <x14:conditionalFormatting xmlns:xm="http://schemas.microsoft.com/office/excel/2006/main">
          <x14:cfRule type="containsText" priority="3601" operator="containsText" id="{8E0AEBB9-B1A0-4365-8D2C-DA45A0A5190A}">
            <xm:f>NOT(ISERROR(SEARCH("SM-2024/",K235)))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K235</xm:sqref>
        </x14:conditionalFormatting>
        <x14:conditionalFormatting xmlns:xm="http://schemas.microsoft.com/office/excel/2006/main">
          <x14:cfRule type="containsText" priority="3589" operator="containsText" id="{E8325887-FC17-471B-A1E8-9348B3F64B0E}">
            <xm:f>NOT(ISERROR(SEARCH("SM-2024/",J234)))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J234</xm:sqref>
        </x14:conditionalFormatting>
        <x14:conditionalFormatting xmlns:xm="http://schemas.microsoft.com/office/excel/2006/main">
          <x14:cfRule type="containsText" priority="3586" operator="containsText" id="{B92AE715-331A-4F0B-BE8D-07B6061A0BB6}">
            <xm:f>NOT(ISERROR(SEARCH("SM-2024/",K234)))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K234</xm:sqref>
        </x14:conditionalFormatting>
        <x14:conditionalFormatting xmlns:xm="http://schemas.microsoft.com/office/excel/2006/main">
          <x14:cfRule type="containsText" priority="3574" operator="containsText" id="{D7469745-CA69-4E42-80EB-ED850EB1ADC0}">
            <xm:f>NOT(ISERROR(SEARCH("SM-2024/",J233)))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J233</xm:sqref>
        </x14:conditionalFormatting>
        <x14:conditionalFormatting xmlns:xm="http://schemas.microsoft.com/office/excel/2006/main">
          <x14:cfRule type="containsText" priority="3571" operator="containsText" id="{BA0FBD3B-7025-47E5-B0F5-C8B19B1EB805}">
            <xm:f>NOT(ISERROR(SEARCH("SM-2024/",K233)))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K233</xm:sqref>
        </x14:conditionalFormatting>
        <x14:conditionalFormatting xmlns:xm="http://schemas.microsoft.com/office/excel/2006/main">
          <x14:cfRule type="containsText" priority="3559" operator="containsText" id="{CD4EB0FF-B1A4-4231-AE32-102748596374}">
            <xm:f>NOT(ISERROR(SEARCH("SM-2024/",J232)))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J232</xm:sqref>
        </x14:conditionalFormatting>
        <x14:conditionalFormatting xmlns:xm="http://schemas.microsoft.com/office/excel/2006/main">
          <x14:cfRule type="containsText" priority="3556" operator="containsText" id="{C29B6B40-8A43-4AAB-A352-939F3E21CE51}">
            <xm:f>NOT(ISERROR(SEARCH("SM-2024/",K232)))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K232</xm:sqref>
        </x14:conditionalFormatting>
        <x14:conditionalFormatting xmlns:xm="http://schemas.microsoft.com/office/excel/2006/main">
          <x14:cfRule type="containsText" priority="3544" operator="containsText" id="{A8DB2F9A-B20A-426E-AC04-BC815B96C95B}">
            <xm:f>NOT(ISERROR(SEARCH("SM-2024/",J231)))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J231</xm:sqref>
        </x14:conditionalFormatting>
        <x14:conditionalFormatting xmlns:xm="http://schemas.microsoft.com/office/excel/2006/main">
          <x14:cfRule type="containsText" priority="3541" operator="containsText" id="{C63C8178-3DE3-4EE0-BA9F-75A4551A213B}">
            <xm:f>NOT(ISERROR(SEARCH("SM-2024/",K231)))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K231</xm:sqref>
        </x14:conditionalFormatting>
        <x14:conditionalFormatting xmlns:xm="http://schemas.microsoft.com/office/excel/2006/main">
          <x14:cfRule type="containsText" priority="3529" operator="containsText" id="{BBD1C296-0568-4620-9034-1885231845F6}">
            <xm:f>NOT(ISERROR(SEARCH("SM-2024/",J230)))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J230</xm:sqref>
        </x14:conditionalFormatting>
        <x14:conditionalFormatting xmlns:xm="http://schemas.microsoft.com/office/excel/2006/main">
          <x14:cfRule type="containsText" priority="3526" operator="containsText" id="{2AEBB008-1D7B-4413-949C-B11B01AE73B9}">
            <xm:f>NOT(ISERROR(SEARCH("SM-2024/",K230)))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K230</xm:sqref>
        </x14:conditionalFormatting>
        <x14:conditionalFormatting xmlns:xm="http://schemas.microsoft.com/office/excel/2006/main">
          <x14:cfRule type="containsText" priority="3514" operator="containsText" id="{E975F4C9-2BB0-41AB-808F-3E052E3AF67C}">
            <xm:f>NOT(ISERROR(SEARCH("SM-2024/",J229)))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J229</xm:sqref>
        </x14:conditionalFormatting>
        <x14:conditionalFormatting xmlns:xm="http://schemas.microsoft.com/office/excel/2006/main">
          <x14:cfRule type="containsText" priority="3511" operator="containsText" id="{7CAF928B-9014-4FA6-9596-6608E1561441}">
            <xm:f>NOT(ISERROR(SEARCH("SM-2024/",K229)))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K229</xm:sqref>
        </x14:conditionalFormatting>
        <x14:conditionalFormatting xmlns:xm="http://schemas.microsoft.com/office/excel/2006/main">
          <x14:cfRule type="containsText" priority="3499" operator="containsText" id="{7B5D4AD9-8038-469B-B8A8-A9ADD76D638F}">
            <xm:f>NOT(ISERROR(SEARCH("SM-2024/",J228)))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J228</xm:sqref>
        </x14:conditionalFormatting>
        <x14:conditionalFormatting xmlns:xm="http://schemas.microsoft.com/office/excel/2006/main">
          <x14:cfRule type="containsText" priority="3496" operator="containsText" id="{334D6356-673E-4E02-B9FC-020EB591A250}">
            <xm:f>NOT(ISERROR(SEARCH("SM-2024/",K228)))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K228</xm:sqref>
        </x14:conditionalFormatting>
        <x14:conditionalFormatting xmlns:xm="http://schemas.microsoft.com/office/excel/2006/main">
          <x14:cfRule type="containsText" priority="3484" operator="containsText" id="{8EAC1A3B-84B7-4221-BD79-EC2D0657FD9B}">
            <xm:f>NOT(ISERROR(SEARCH("SM-2024/",J227)))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J227</xm:sqref>
        </x14:conditionalFormatting>
        <x14:conditionalFormatting xmlns:xm="http://schemas.microsoft.com/office/excel/2006/main">
          <x14:cfRule type="containsText" priority="3481" operator="containsText" id="{E480C638-84B8-4182-A112-E881391CC16A}">
            <xm:f>NOT(ISERROR(SEARCH("SM-2024/",K227)))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K227</xm:sqref>
        </x14:conditionalFormatting>
        <x14:conditionalFormatting xmlns:xm="http://schemas.microsoft.com/office/excel/2006/main">
          <x14:cfRule type="containsText" priority="3469" operator="containsText" id="{006F73DE-A3A9-4048-9498-B97AEBB32A17}">
            <xm:f>NOT(ISERROR(SEARCH("SM-2024/",J226)))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J226</xm:sqref>
        </x14:conditionalFormatting>
        <x14:conditionalFormatting xmlns:xm="http://schemas.microsoft.com/office/excel/2006/main">
          <x14:cfRule type="containsText" priority="3466" operator="containsText" id="{5C1C5778-A156-4B69-A345-6538B8543BAC}">
            <xm:f>NOT(ISERROR(SEARCH("SM-2024/",K226)))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K226</xm:sqref>
        </x14:conditionalFormatting>
        <x14:conditionalFormatting xmlns:xm="http://schemas.microsoft.com/office/excel/2006/main">
          <x14:cfRule type="containsText" priority="3454" operator="containsText" id="{55515D29-D9FC-4F9A-BFB7-F2D960C98CE6}">
            <xm:f>NOT(ISERROR(SEARCH("SM-2024/",J225)))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J225</xm:sqref>
        </x14:conditionalFormatting>
        <x14:conditionalFormatting xmlns:xm="http://schemas.microsoft.com/office/excel/2006/main">
          <x14:cfRule type="containsText" priority="3451" operator="containsText" id="{152A1D19-E86C-4EDB-8650-AA31B7598F85}">
            <xm:f>NOT(ISERROR(SEARCH("SM-2024/",K225)))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K225</xm:sqref>
        </x14:conditionalFormatting>
        <x14:conditionalFormatting xmlns:xm="http://schemas.microsoft.com/office/excel/2006/main">
          <x14:cfRule type="containsText" priority="3439" operator="containsText" id="{2C875544-F0EF-4B03-94C2-7C236FC2747D}">
            <xm:f>NOT(ISERROR(SEARCH("SM-2024/",J224)))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J224</xm:sqref>
        </x14:conditionalFormatting>
        <x14:conditionalFormatting xmlns:xm="http://schemas.microsoft.com/office/excel/2006/main">
          <x14:cfRule type="containsText" priority="3436" operator="containsText" id="{AFF45F52-145C-4EDB-9CF9-E5BF04A6F3AD}">
            <xm:f>NOT(ISERROR(SEARCH("SM-2024/",K224)))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K224</xm:sqref>
        </x14:conditionalFormatting>
        <x14:conditionalFormatting xmlns:xm="http://schemas.microsoft.com/office/excel/2006/main">
          <x14:cfRule type="containsText" priority="3424" operator="containsText" id="{6C1DD3B8-5776-4810-AC83-A67DC3B882A5}">
            <xm:f>NOT(ISERROR(SEARCH("SM-2024/",J223)))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J223</xm:sqref>
        </x14:conditionalFormatting>
        <x14:conditionalFormatting xmlns:xm="http://schemas.microsoft.com/office/excel/2006/main">
          <x14:cfRule type="containsText" priority="3421" operator="containsText" id="{6CA79935-267A-497F-A387-FEBBDE545CDA}">
            <xm:f>NOT(ISERROR(SEARCH("SM-2024/",K223)))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K223</xm:sqref>
        </x14:conditionalFormatting>
        <x14:conditionalFormatting xmlns:xm="http://schemas.microsoft.com/office/excel/2006/main">
          <x14:cfRule type="containsText" priority="3409" operator="containsText" id="{C2EA03F4-DA52-4563-92F1-53FC2B0DCA3C}">
            <xm:f>NOT(ISERROR(SEARCH("SM-2024/",J222)))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J222</xm:sqref>
        </x14:conditionalFormatting>
        <x14:conditionalFormatting xmlns:xm="http://schemas.microsoft.com/office/excel/2006/main">
          <x14:cfRule type="containsText" priority="3406" operator="containsText" id="{A3A5CA20-B785-4670-BD4C-628D1AA8F5D3}">
            <xm:f>NOT(ISERROR(SEARCH("SM-2024/",K222)))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K222</xm:sqref>
        </x14:conditionalFormatting>
        <x14:conditionalFormatting xmlns:xm="http://schemas.microsoft.com/office/excel/2006/main">
          <x14:cfRule type="containsText" priority="3394" operator="containsText" id="{F8BF73D2-58A6-48E4-A8BB-F088A720C85F}">
            <xm:f>NOT(ISERROR(SEARCH("SM-2024/",J221)))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J221</xm:sqref>
        </x14:conditionalFormatting>
        <x14:conditionalFormatting xmlns:xm="http://schemas.microsoft.com/office/excel/2006/main">
          <x14:cfRule type="containsText" priority="3391" operator="containsText" id="{B89FF671-6867-47F3-83CF-BFCE47848DF6}">
            <xm:f>NOT(ISERROR(SEARCH("SM-2024/",K221)))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K221</xm:sqref>
        </x14:conditionalFormatting>
        <x14:conditionalFormatting xmlns:xm="http://schemas.microsoft.com/office/excel/2006/main">
          <x14:cfRule type="containsText" priority="3379" operator="containsText" id="{144B161A-75CC-40D7-A59C-C33BF842C089}">
            <xm:f>NOT(ISERROR(SEARCH("SM-2024/",J220)))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J220</xm:sqref>
        </x14:conditionalFormatting>
        <x14:conditionalFormatting xmlns:xm="http://schemas.microsoft.com/office/excel/2006/main">
          <x14:cfRule type="containsText" priority="3376" operator="containsText" id="{05BAA8C2-0701-4C2E-83E0-FFAF08963838}">
            <xm:f>NOT(ISERROR(SEARCH("SM-2024/",K220)))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K220</xm:sqref>
        </x14:conditionalFormatting>
        <x14:conditionalFormatting xmlns:xm="http://schemas.microsoft.com/office/excel/2006/main">
          <x14:cfRule type="containsText" priority="3364" operator="containsText" id="{0532734B-F303-447B-BCDB-1B425D6B7DE5}">
            <xm:f>NOT(ISERROR(SEARCH("SM-2024/",J219)))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J219</xm:sqref>
        </x14:conditionalFormatting>
        <x14:conditionalFormatting xmlns:xm="http://schemas.microsoft.com/office/excel/2006/main">
          <x14:cfRule type="containsText" priority="3361" operator="containsText" id="{1A9BA5F7-204A-4AE7-B12E-66763283747E}">
            <xm:f>NOT(ISERROR(SEARCH("SM-2024/",K219)))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K219</xm:sqref>
        </x14:conditionalFormatting>
        <x14:conditionalFormatting xmlns:xm="http://schemas.microsoft.com/office/excel/2006/main">
          <x14:cfRule type="containsText" priority="3349" operator="containsText" id="{F671700C-D08E-40FB-B421-D782972F4542}">
            <xm:f>NOT(ISERROR(SEARCH("SM-2024/",J218)))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J218</xm:sqref>
        </x14:conditionalFormatting>
        <x14:conditionalFormatting xmlns:xm="http://schemas.microsoft.com/office/excel/2006/main">
          <x14:cfRule type="containsText" priority="3346" operator="containsText" id="{06C35807-52AE-493D-84CF-AB457E739F73}">
            <xm:f>NOT(ISERROR(SEARCH("SM-2024/",K218)))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K218</xm:sqref>
        </x14:conditionalFormatting>
        <x14:conditionalFormatting xmlns:xm="http://schemas.microsoft.com/office/excel/2006/main">
          <x14:cfRule type="containsText" priority="3334" operator="containsText" id="{F34ADAF1-14CA-45DB-A956-E3ECF4B8E3EE}">
            <xm:f>NOT(ISERROR(SEARCH("SM-2024/",J217)))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J217</xm:sqref>
        </x14:conditionalFormatting>
        <x14:conditionalFormatting xmlns:xm="http://schemas.microsoft.com/office/excel/2006/main">
          <x14:cfRule type="containsText" priority="3331" operator="containsText" id="{4AA90B2F-543C-4B40-A721-986E562AF1B6}">
            <xm:f>NOT(ISERROR(SEARCH("SM-2024/",K217)))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K217</xm:sqref>
        </x14:conditionalFormatting>
        <x14:conditionalFormatting xmlns:xm="http://schemas.microsoft.com/office/excel/2006/main">
          <x14:cfRule type="containsText" priority="3319" operator="containsText" id="{D4CCDBC6-A11D-4FF6-8DE8-5F321C40772C}">
            <xm:f>NOT(ISERROR(SEARCH("SM-2024/",J216)))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J216</xm:sqref>
        </x14:conditionalFormatting>
        <x14:conditionalFormatting xmlns:xm="http://schemas.microsoft.com/office/excel/2006/main">
          <x14:cfRule type="containsText" priority="3316" operator="containsText" id="{2C437ACD-6856-4269-BD27-9702B85CD8AE}">
            <xm:f>NOT(ISERROR(SEARCH("SM-2024/",K216)))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K216</xm:sqref>
        </x14:conditionalFormatting>
        <x14:conditionalFormatting xmlns:xm="http://schemas.microsoft.com/office/excel/2006/main">
          <x14:cfRule type="containsText" priority="3304" operator="containsText" id="{B43B2128-4E55-4AE8-8AF7-79071AC08D69}">
            <xm:f>NOT(ISERROR(SEARCH("SM-2024/",J215)))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J215</xm:sqref>
        </x14:conditionalFormatting>
        <x14:conditionalFormatting xmlns:xm="http://schemas.microsoft.com/office/excel/2006/main">
          <x14:cfRule type="containsText" priority="3301" operator="containsText" id="{718B2ABF-0ACB-41A8-ADB6-D497940D67D2}">
            <xm:f>NOT(ISERROR(SEARCH("SM-2024/",K215)))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K215</xm:sqref>
        </x14:conditionalFormatting>
        <x14:conditionalFormatting xmlns:xm="http://schemas.microsoft.com/office/excel/2006/main">
          <x14:cfRule type="containsText" priority="3289" operator="containsText" id="{4A1EC8F5-64BF-4FAC-AFD7-E38322ACE6B8}">
            <xm:f>NOT(ISERROR(SEARCH("SM-2024/",J214)))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J214</xm:sqref>
        </x14:conditionalFormatting>
        <x14:conditionalFormatting xmlns:xm="http://schemas.microsoft.com/office/excel/2006/main">
          <x14:cfRule type="containsText" priority="3286" operator="containsText" id="{12CD9F2C-4FD0-4814-93DB-9239D8C7E739}">
            <xm:f>NOT(ISERROR(SEARCH("SM-2024/",K214)))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K214</xm:sqref>
        </x14:conditionalFormatting>
        <x14:conditionalFormatting xmlns:xm="http://schemas.microsoft.com/office/excel/2006/main">
          <x14:cfRule type="containsText" priority="3259" operator="containsText" id="{37189FA7-8A11-4D0F-B81F-52E607457309}">
            <xm:f>NOT(ISERROR(SEARCH("SM-2024/",J213)))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J213</xm:sqref>
        </x14:conditionalFormatting>
        <x14:conditionalFormatting xmlns:xm="http://schemas.microsoft.com/office/excel/2006/main">
          <x14:cfRule type="containsText" priority="3256" operator="containsText" id="{78FB1540-50F2-4BEB-9E3C-4D41741AC318}">
            <xm:f>NOT(ISERROR(SEARCH("SM-2024/",K213)))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K213</xm:sqref>
        </x14:conditionalFormatting>
        <x14:conditionalFormatting xmlns:xm="http://schemas.microsoft.com/office/excel/2006/main">
          <x14:cfRule type="containsText" priority="3244" operator="containsText" id="{798E009E-F6FD-4B63-98EA-A0F0129BB52E}">
            <xm:f>NOT(ISERROR(SEARCH("SM-2024/",J212)))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J212</xm:sqref>
        </x14:conditionalFormatting>
        <x14:conditionalFormatting xmlns:xm="http://schemas.microsoft.com/office/excel/2006/main">
          <x14:cfRule type="containsText" priority="3241" operator="containsText" id="{57A1660C-C1CC-4CE5-AA1D-C624C692C082}">
            <xm:f>NOT(ISERROR(SEARCH("SM-2024/",K212)))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K212</xm:sqref>
        </x14:conditionalFormatting>
        <x14:conditionalFormatting xmlns:xm="http://schemas.microsoft.com/office/excel/2006/main">
          <x14:cfRule type="containsText" priority="3229" operator="containsText" id="{36F01100-615F-4633-A1D4-1508F75D153D}">
            <xm:f>NOT(ISERROR(SEARCH("SM-2024/",J211)))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J211</xm:sqref>
        </x14:conditionalFormatting>
        <x14:conditionalFormatting xmlns:xm="http://schemas.microsoft.com/office/excel/2006/main">
          <x14:cfRule type="containsText" priority="3226" operator="containsText" id="{E8ECDD5E-51F3-4D8E-BEEA-0FD11DA4E885}">
            <xm:f>NOT(ISERROR(SEARCH("SM-2024/",K211)))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K211</xm:sqref>
        </x14:conditionalFormatting>
        <x14:conditionalFormatting xmlns:xm="http://schemas.microsoft.com/office/excel/2006/main">
          <x14:cfRule type="containsText" priority="3214" operator="containsText" id="{2A6C783E-FC29-47A9-92D0-005A76998065}">
            <xm:f>NOT(ISERROR(SEARCH("SM-2024/",J210)))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J210</xm:sqref>
        </x14:conditionalFormatting>
        <x14:conditionalFormatting xmlns:xm="http://schemas.microsoft.com/office/excel/2006/main">
          <x14:cfRule type="containsText" priority="3211" operator="containsText" id="{BD602FFC-EA18-49F8-A6FA-D21B9FFB9F0D}">
            <xm:f>NOT(ISERROR(SEARCH("SM-2024/",K210)))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K210</xm:sqref>
        </x14:conditionalFormatting>
        <x14:conditionalFormatting xmlns:xm="http://schemas.microsoft.com/office/excel/2006/main">
          <x14:cfRule type="containsText" priority="3199" operator="containsText" id="{5917824F-EA55-40FB-BD65-A8900922DB62}">
            <xm:f>NOT(ISERROR(SEARCH("SM-2024/",J209)))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J209</xm:sqref>
        </x14:conditionalFormatting>
        <x14:conditionalFormatting xmlns:xm="http://schemas.microsoft.com/office/excel/2006/main">
          <x14:cfRule type="containsText" priority="3196" operator="containsText" id="{7EB036B5-4CAF-4D8B-B707-D71FD9FE329E}">
            <xm:f>NOT(ISERROR(SEARCH("SM-2024/",K209)))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K209</xm:sqref>
        </x14:conditionalFormatting>
        <x14:conditionalFormatting xmlns:xm="http://schemas.microsoft.com/office/excel/2006/main">
          <x14:cfRule type="containsText" priority="3184" operator="containsText" id="{B2127FC9-DC1E-4510-B879-E0C86B876DAD}">
            <xm:f>NOT(ISERROR(SEARCH("SM-2024/",J208)))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J208</xm:sqref>
        </x14:conditionalFormatting>
        <x14:conditionalFormatting xmlns:xm="http://schemas.microsoft.com/office/excel/2006/main">
          <x14:cfRule type="containsText" priority="3181" operator="containsText" id="{3D407E9F-1176-4F6E-B71C-27EC4A4D6648}">
            <xm:f>NOT(ISERROR(SEARCH("SM-2024/",K208)))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K208</xm:sqref>
        </x14:conditionalFormatting>
        <x14:conditionalFormatting xmlns:xm="http://schemas.microsoft.com/office/excel/2006/main">
          <x14:cfRule type="containsText" priority="3169" operator="containsText" id="{34D59853-3870-4D1D-81F1-51389A61713F}">
            <xm:f>NOT(ISERROR(SEARCH("SM-2024/",J207)))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J207</xm:sqref>
        </x14:conditionalFormatting>
        <x14:conditionalFormatting xmlns:xm="http://schemas.microsoft.com/office/excel/2006/main">
          <x14:cfRule type="containsText" priority="3166" operator="containsText" id="{892E75A5-3985-43EB-A9E0-EC989D2CA4C0}">
            <xm:f>NOT(ISERROR(SEARCH("SM-2024/",K207)))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K207</xm:sqref>
        </x14:conditionalFormatting>
        <x14:conditionalFormatting xmlns:xm="http://schemas.microsoft.com/office/excel/2006/main">
          <x14:cfRule type="containsText" priority="3154" operator="containsText" id="{A5F6D4C4-ACC5-4969-BF46-191CD6F3FC78}">
            <xm:f>NOT(ISERROR(SEARCH("SM-2024/",J206)))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J206</xm:sqref>
        </x14:conditionalFormatting>
        <x14:conditionalFormatting xmlns:xm="http://schemas.microsoft.com/office/excel/2006/main">
          <x14:cfRule type="containsText" priority="3151" operator="containsText" id="{AE0B9CBA-6D69-490A-B8F2-5F5D71CDB6D8}">
            <xm:f>NOT(ISERROR(SEARCH("SM-2024/",K206)))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K206</xm:sqref>
        </x14:conditionalFormatting>
        <x14:conditionalFormatting xmlns:xm="http://schemas.microsoft.com/office/excel/2006/main">
          <x14:cfRule type="containsText" priority="3124" operator="containsText" id="{1FD8A551-AA36-4368-900D-3A9E3BD3CAB3}">
            <xm:f>NOT(ISERROR(SEARCH("SM-2024/",J205)))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J205</xm:sqref>
        </x14:conditionalFormatting>
        <x14:conditionalFormatting xmlns:xm="http://schemas.microsoft.com/office/excel/2006/main">
          <x14:cfRule type="containsText" priority="3121" operator="containsText" id="{C57A8A53-5CB0-4B66-864A-71FAB7A1AD32}">
            <xm:f>NOT(ISERROR(SEARCH("SM-2024/",K205)))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K205</xm:sqref>
        </x14:conditionalFormatting>
        <x14:conditionalFormatting xmlns:xm="http://schemas.microsoft.com/office/excel/2006/main">
          <x14:cfRule type="containsText" priority="3109" operator="containsText" id="{75E280E5-464B-4C08-8776-51D43DE3119E}">
            <xm:f>NOT(ISERROR(SEARCH("SM-2024/",J204)))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J204</xm:sqref>
        </x14:conditionalFormatting>
        <x14:conditionalFormatting xmlns:xm="http://schemas.microsoft.com/office/excel/2006/main">
          <x14:cfRule type="containsText" priority="3106" operator="containsText" id="{050A6BD5-28FB-4C58-8123-C842919373C2}">
            <xm:f>NOT(ISERROR(SEARCH("SM-2024/",K204)))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K204</xm:sqref>
        </x14:conditionalFormatting>
        <x14:conditionalFormatting xmlns:xm="http://schemas.microsoft.com/office/excel/2006/main">
          <x14:cfRule type="containsText" priority="3094" operator="containsText" id="{FEEBF4A1-2140-4DA2-9DF6-3CEF1669B366}">
            <xm:f>NOT(ISERROR(SEARCH("SM-2024/",J203)))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J203</xm:sqref>
        </x14:conditionalFormatting>
        <x14:conditionalFormatting xmlns:xm="http://schemas.microsoft.com/office/excel/2006/main">
          <x14:cfRule type="containsText" priority="3091" operator="containsText" id="{E9398E8A-1036-4B09-9EC0-5A312B3D91C0}">
            <xm:f>NOT(ISERROR(SEARCH("SM-2024/",K203)))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K203</xm:sqref>
        </x14:conditionalFormatting>
        <x14:conditionalFormatting xmlns:xm="http://schemas.microsoft.com/office/excel/2006/main">
          <x14:cfRule type="containsText" priority="3079" operator="containsText" id="{75B1AA9F-47EF-4EA4-A4F0-95DDFA332805}">
            <xm:f>NOT(ISERROR(SEARCH("SM-2024/",J202)))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J202</xm:sqref>
        </x14:conditionalFormatting>
        <x14:conditionalFormatting xmlns:xm="http://schemas.microsoft.com/office/excel/2006/main">
          <x14:cfRule type="containsText" priority="3076" operator="containsText" id="{A7E9AEF6-D371-4582-9B7A-099DB72A3065}">
            <xm:f>NOT(ISERROR(SEARCH("SM-2024/",K202)))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K202</xm:sqref>
        </x14:conditionalFormatting>
        <x14:conditionalFormatting xmlns:xm="http://schemas.microsoft.com/office/excel/2006/main">
          <x14:cfRule type="containsText" priority="3064" operator="containsText" id="{DC200E70-5A7F-4549-8006-7352B0A85746}">
            <xm:f>NOT(ISERROR(SEARCH("SM-2024/",J201)))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J201</xm:sqref>
        </x14:conditionalFormatting>
        <x14:conditionalFormatting xmlns:xm="http://schemas.microsoft.com/office/excel/2006/main">
          <x14:cfRule type="containsText" priority="3061" operator="containsText" id="{E5465907-F69E-4C79-BFA8-1F7613A1D435}">
            <xm:f>NOT(ISERROR(SEARCH("SM-2024/",K201)))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K201</xm:sqref>
        </x14:conditionalFormatting>
        <x14:conditionalFormatting xmlns:xm="http://schemas.microsoft.com/office/excel/2006/main">
          <x14:cfRule type="containsText" priority="3049" operator="containsText" id="{CB2447DA-ACA7-42D3-A87A-94C2A6D34BDC}">
            <xm:f>NOT(ISERROR(SEARCH("SM-2024/",J200)))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J200</xm:sqref>
        </x14:conditionalFormatting>
        <x14:conditionalFormatting xmlns:xm="http://schemas.microsoft.com/office/excel/2006/main">
          <x14:cfRule type="containsText" priority="3046" operator="containsText" id="{7BB197BF-4949-4BEE-B7C8-E803E84A7192}">
            <xm:f>NOT(ISERROR(SEARCH("SM-2024/",K200)))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K200</xm:sqref>
        </x14:conditionalFormatting>
        <x14:conditionalFormatting xmlns:xm="http://schemas.microsoft.com/office/excel/2006/main">
          <x14:cfRule type="containsText" priority="3034" operator="containsText" id="{02985FE0-0CFA-4B74-AC56-7E4839966D0A}">
            <xm:f>NOT(ISERROR(SEARCH("SM-2024/",J199)))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J199</xm:sqref>
        </x14:conditionalFormatting>
        <x14:conditionalFormatting xmlns:xm="http://schemas.microsoft.com/office/excel/2006/main">
          <x14:cfRule type="containsText" priority="3031" operator="containsText" id="{669B5B05-421B-49B9-90A6-973FCF999BD0}">
            <xm:f>NOT(ISERROR(SEARCH("SM-2024/",K199)))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K199</xm:sqref>
        </x14:conditionalFormatting>
        <x14:conditionalFormatting xmlns:xm="http://schemas.microsoft.com/office/excel/2006/main">
          <x14:cfRule type="containsText" priority="3019" operator="containsText" id="{11509B94-8D59-4B4A-8100-21C364B73BFF}">
            <xm:f>NOT(ISERROR(SEARCH("SM-2024/",J198)))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J198</xm:sqref>
        </x14:conditionalFormatting>
        <x14:conditionalFormatting xmlns:xm="http://schemas.microsoft.com/office/excel/2006/main">
          <x14:cfRule type="containsText" priority="3016" operator="containsText" id="{E442D0C1-FD80-4B56-8FEB-3A5BFD7DA541}">
            <xm:f>NOT(ISERROR(SEARCH("SM-2024/",K198)))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K198</xm:sqref>
        </x14:conditionalFormatting>
        <x14:conditionalFormatting xmlns:xm="http://schemas.microsoft.com/office/excel/2006/main">
          <x14:cfRule type="containsText" priority="3004" operator="containsText" id="{645AE54C-C6B5-4E0F-ABC1-A479B95D63C6}">
            <xm:f>NOT(ISERROR(SEARCH("SM-2024/",J197)))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J197</xm:sqref>
        </x14:conditionalFormatting>
        <x14:conditionalFormatting xmlns:xm="http://schemas.microsoft.com/office/excel/2006/main">
          <x14:cfRule type="containsText" priority="3001" operator="containsText" id="{8A739193-0043-4583-8B8E-C8E0F2901AAD}">
            <xm:f>NOT(ISERROR(SEARCH("SM-2024/",K197)))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K197</xm:sqref>
        </x14:conditionalFormatting>
        <x14:conditionalFormatting xmlns:xm="http://schemas.microsoft.com/office/excel/2006/main">
          <x14:cfRule type="containsText" priority="2989" operator="containsText" id="{F3C28DA0-A576-4953-9972-A08CB110C1B2}">
            <xm:f>NOT(ISERROR(SEARCH("SM-2024/",J196)))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J196</xm:sqref>
        </x14:conditionalFormatting>
        <x14:conditionalFormatting xmlns:xm="http://schemas.microsoft.com/office/excel/2006/main">
          <x14:cfRule type="containsText" priority="2986" operator="containsText" id="{BF8B206F-13D2-47F5-B079-8A6F8F390DF7}">
            <xm:f>NOT(ISERROR(SEARCH("SM-2024/",K196)))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K196</xm:sqref>
        </x14:conditionalFormatting>
        <x14:conditionalFormatting xmlns:xm="http://schemas.microsoft.com/office/excel/2006/main">
          <x14:cfRule type="containsText" priority="2974" operator="containsText" id="{519AFC32-3C27-4123-9BC3-3C2EA6694A43}">
            <xm:f>NOT(ISERROR(SEARCH("SM-2024/",J195)))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J195</xm:sqref>
        </x14:conditionalFormatting>
        <x14:conditionalFormatting xmlns:xm="http://schemas.microsoft.com/office/excel/2006/main">
          <x14:cfRule type="containsText" priority="2971" operator="containsText" id="{DA096155-BC58-4F0D-9242-D016C0DF0624}">
            <xm:f>NOT(ISERROR(SEARCH("SM-2024/",K195)))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K195</xm:sqref>
        </x14:conditionalFormatting>
        <x14:conditionalFormatting xmlns:xm="http://schemas.microsoft.com/office/excel/2006/main">
          <x14:cfRule type="containsText" priority="2959" operator="containsText" id="{3D741582-F5D4-4981-B603-C8E52A4BC9E8}">
            <xm:f>NOT(ISERROR(SEARCH("SM-2024/",J194)))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J194</xm:sqref>
        </x14:conditionalFormatting>
        <x14:conditionalFormatting xmlns:xm="http://schemas.microsoft.com/office/excel/2006/main">
          <x14:cfRule type="containsText" priority="2956" operator="containsText" id="{ED3CC256-3288-4B7D-B230-09FFD552EE1E}">
            <xm:f>NOT(ISERROR(SEARCH("SM-2024/",K194)))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K194</xm:sqref>
        </x14:conditionalFormatting>
        <x14:conditionalFormatting xmlns:xm="http://schemas.microsoft.com/office/excel/2006/main">
          <x14:cfRule type="containsText" priority="2944" operator="containsText" id="{6990ED0F-57C2-4651-B834-7973E778C985}">
            <xm:f>NOT(ISERROR(SEARCH("SM-2024/",J193)))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J193</xm:sqref>
        </x14:conditionalFormatting>
        <x14:conditionalFormatting xmlns:xm="http://schemas.microsoft.com/office/excel/2006/main">
          <x14:cfRule type="containsText" priority="2941" operator="containsText" id="{9F784241-FD15-4DED-9AE2-B3153CA89171}">
            <xm:f>NOT(ISERROR(SEARCH("SM-2024/",K193)))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K193</xm:sqref>
        </x14:conditionalFormatting>
        <x14:conditionalFormatting xmlns:xm="http://schemas.microsoft.com/office/excel/2006/main">
          <x14:cfRule type="containsText" priority="2929" operator="containsText" id="{5DD58FAA-C260-4DA0-AADF-E0ED7A3946C8}">
            <xm:f>NOT(ISERROR(SEARCH("SM-2024/",J192)))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J192</xm:sqref>
        </x14:conditionalFormatting>
        <x14:conditionalFormatting xmlns:xm="http://schemas.microsoft.com/office/excel/2006/main">
          <x14:cfRule type="containsText" priority="2926" operator="containsText" id="{B2FE8CC4-9D35-49F9-80B1-D1CE7FEE6461}">
            <xm:f>NOT(ISERROR(SEARCH("SM-2024/",K192)))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K192</xm:sqref>
        </x14:conditionalFormatting>
        <x14:conditionalFormatting xmlns:xm="http://schemas.microsoft.com/office/excel/2006/main">
          <x14:cfRule type="containsText" priority="2914" operator="containsText" id="{6AF40A92-5DD8-498A-95B1-54FB351F1A55}">
            <xm:f>NOT(ISERROR(SEARCH("SM-2024/",J191)))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J191</xm:sqref>
        </x14:conditionalFormatting>
        <x14:conditionalFormatting xmlns:xm="http://schemas.microsoft.com/office/excel/2006/main">
          <x14:cfRule type="containsText" priority="2911" operator="containsText" id="{B690CF60-1FCF-428A-A2BA-FC1498F50D6D}">
            <xm:f>NOT(ISERROR(SEARCH("SM-2024/",K191)))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K191</xm:sqref>
        </x14:conditionalFormatting>
        <x14:conditionalFormatting xmlns:xm="http://schemas.microsoft.com/office/excel/2006/main">
          <x14:cfRule type="containsText" priority="2899" operator="containsText" id="{C0AE1AF5-50E2-4786-A577-C022F460E980}">
            <xm:f>NOT(ISERROR(SEARCH("SM-2024/",J190)))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J190</xm:sqref>
        </x14:conditionalFormatting>
        <x14:conditionalFormatting xmlns:xm="http://schemas.microsoft.com/office/excel/2006/main">
          <x14:cfRule type="containsText" priority="2896" operator="containsText" id="{A814333B-409C-4BD9-A5EF-96EB449BA1DA}">
            <xm:f>NOT(ISERROR(SEARCH("SM-2024/",K190)))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K190</xm:sqref>
        </x14:conditionalFormatting>
        <x14:conditionalFormatting xmlns:xm="http://schemas.microsoft.com/office/excel/2006/main">
          <x14:cfRule type="containsText" priority="2884" operator="containsText" id="{4781D228-A4BA-4BB9-8036-3994575FF002}">
            <xm:f>NOT(ISERROR(SEARCH("SM-2024/",J189)))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J189</xm:sqref>
        </x14:conditionalFormatting>
        <x14:conditionalFormatting xmlns:xm="http://schemas.microsoft.com/office/excel/2006/main">
          <x14:cfRule type="containsText" priority="2881" operator="containsText" id="{BD637203-C9BE-426C-A9E8-D2AC8F2A9EF6}">
            <xm:f>NOT(ISERROR(SEARCH("SM-2024/",K189)))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K189</xm:sqref>
        </x14:conditionalFormatting>
        <x14:conditionalFormatting xmlns:xm="http://schemas.microsoft.com/office/excel/2006/main">
          <x14:cfRule type="containsText" priority="2869" operator="containsText" id="{4661FB59-52A7-4C19-8C7C-13047BC9BED1}">
            <xm:f>NOT(ISERROR(SEARCH("SM-2024/",J188)))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J188</xm:sqref>
        </x14:conditionalFormatting>
        <x14:conditionalFormatting xmlns:xm="http://schemas.microsoft.com/office/excel/2006/main">
          <x14:cfRule type="containsText" priority="2866" operator="containsText" id="{12E71A11-7FDA-423D-AD00-87D1A3426866}">
            <xm:f>NOT(ISERROR(SEARCH("SM-2024/",K188)))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K188</xm:sqref>
        </x14:conditionalFormatting>
        <x14:conditionalFormatting xmlns:xm="http://schemas.microsoft.com/office/excel/2006/main">
          <x14:cfRule type="containsText" priority="2854" operator="containsText" id="{0FB81594-5A16-49BF-A5A2-CC75E5AEAC2C}">
            <xm:f>NOT(ISERROR(SEARCH("SM-2024/",J187)))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J187</xm:sqref>
        </x14:conditionalFormatting>
        <x14:conditionalFormatting xmlns:xm="http://schemas.microsoft.com/office/excel/2006/main">
          <x14:cfRule type="containsText" priority="2851" operator="containsText" id="{567D9E42-E5CC-4733-A329-074F529A93F8}">
            <xm:f>NOT(ISERROR(SEARCH("SM-2024/",K187)))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K187</xm:sqref>
        </x14:conditionalFormatting>
        <x14:conditionalFormatting xmlns:xm="http://schemas.microsoft.com/office/excel/2006/main">
          <x14:cfRule type="containsText" priority="2839" operator="containsText" id="{8929D939-01C8-4F3E-AA1F-6B5C44BD1196}">
            <xm:f>NOT(ISERROR(SEARCH("SM-2024/",J186)))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J186</xm:sqref>
        </x14:conditionalFormatting>
        <x14:conditionalFormatting xmlns:xm="http://schemas.microsoft.com/office/excel/2006/main">
          <x14:cfRule type="containsText" priority="2836" operator="containsText" id="{D7903082-09B8-4AC9-8337-C9C93D67D4DB}">
            <xm:f>NOT(ISERROR(SEARCH("SM-2024/",K186)))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K186</xm:sqref>
        </x14:conditionalFormatting>
        <x14:conditionalFormatting xmlns:xm="http://schemas.microsoft.com/office/excel/2006/main">
          <x14:cfRule type="containsText" priority="2820" operator="containsText" id="{532D9621-B4FB-488A-AF2E-B99166FCE3AC}">
            <xm:f>NOT(ISERROR(SEARCH("SM-2024/",J185)))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J185</xm:sqref>
        </x14:conditionalFormatting>
        <x14:conditionalFormatting xmlns:xm="http://schemas.microsoft.com/office/excel/2006/main">
          <x14:cfRule type="containsText" priority="2817" operator="containsText" id="{FC5B200C-B178-4D5B-A4DF-BD965C3B12D8}">
            <xm:f>NOT(ISERROR(SEARCH("SM-2024/",K185)))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K185</xm:sqref>
        </x14:conditionalFormatting>
        <x14:conditionalFormatting xmlns:xm="http://schemas.microsoft.com/office/excel/2006/main">
          <x14:cfRule type="containsText" priority="2805" operator="containsText" id="{39B9E7F5-CB38-4DF6-BD99-296B51C848A8}">
            <xm:f>NOT(ISERROR(SEARCH("SM-2024/",J184)))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J184</xm:sqref>
        </x14:conditionalFormatting>
        <x14:conditionalFormatting xmlns:xm="http://schemas.microsoft.com/office/excel/2006/main">
          <x14:cfRule type="containsText" priority="2802" operator="containsText" id="{64130EAC-2E38-46FC-BA91-973719B729D6}">
            <xm:f>NOT(ISERROR(SEARCH("SM-2024/",K184)))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K184</xm:sqref>
        </x14:conditionalFormatting>
        <x14:conditionalFormatting xmlns:xm="http://schemas.microsoft.com/office/excel/2006/main">
          <x14:cfRule type="containsText" priority="2790" operator="containsText" id="{AE7DB56F-7FBD-4D9B-B085-F6EC2A03DFE1}">
            <xm:f>NOT(ISERROR(SEARCH("SM-2024/",J183)))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J183</xm:sqref>
        </x14:conditionalFormatting>
        <x14:conditionalFormatting xmlns:xm="http://schemas.microsoft.com/office/excel/2006/main">
          <x14:cfRule type="containsText" priority="2787" operator="containsText" id="{5C39B84F-FF84-45EE-B2AD-408C35E9E593}">
            <xm:f>NOT(ISERROR(SEARCH("SM-2024/",K183)))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K183</xm:sqref>
        </x14:conditionalFormatting>
        <x14:conditionalFormatting xmlns:xm="http://schemas.microsoft.com/office/excel/2006/main">
          <x14:cfRule type="containsText" priority="2775" operator="containsText" id="{C9F97EA1-F98C-46D6-8672-6F5993F798C2}">
            <xm:f>NOT(ISERROR(SEARCH("SM-2024/",J182)))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J182</xm:sqref>
        </x14:conditionalFormatting>
        <x14:conditionalFormatting xmlns:xm="http://schemas.microsoft.com/office/excel/2006/main">
          <x14:cfRule type="containsText" priority="2772" operator="containsText" id="{A79F3495-3518-427C-9D54-724D3C841855}">
            <xm:f>NOT(ISERROR(SEARCH("SM-2024/",K182)))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K182</xm:sqref>
        </x14:conditionalFormatting>
        <x14:conditionalFormatting xmlns:xm="http://schemas.microsoft.com/office/excel/2006/main">
          <x14:cfRule type="containsText" priority="2760" operator="containsText" id="{B10C98E3-B5C7-4529-B0F6-42EBE66BC131}">
            <xm:f>NOT(ISERROR(SEARCH("SM-2024/",J181)))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J181</xm:sqref>
        </x14:conditionalFormatting>
        <x14:conditionalFormatting xmlns:xm="http://schemas.microsoft.com/office/excel/2006/main">
          <x14:cfRule type="containsText" priority="2757" operator="containsText" id="{FA1FC0EF-4FC9-4DB0-B557-90F0E884D9CC}">
            <xm:f>NOT(ISERROR(SEARCH("SM-2024/",K181)))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K181</xm:sqref>
        </x14:conditionalFormatting>
        <x14:conditionalFormatting xmlns:xm="http://schemas.microsoft.com/office/excel/2006/main">
          <x14:cfRule type="containsText" priority="2745" operator="containsText" id="{86440F53-0E5E-4DDB-9859-348D5CE8CD12}">
            <xm:f>NOT(ISERROR(SEARCH("SM-2024/",J180)))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J180</xm:sqref>
        </x14:conditionalFormatting>
        <x14:conditionalFormatting xmlns:xm="http://schemas.microsoft.com/office/excel/2006/main">
          <x14:cfRule type="containsText" priority="2742" operator="containsText" id="{A0FA201F-7B24-4071-B67D-6BCAF664506A}">
            <xm:f>NOT(ISERROR(SEARCH("SM-2024/",K180)))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K180</xm:sqref>
        </x14:conditionalFormatting>
        <x14:conditionalFormatting xmlns:xm="http://schemas.microsoft.com/office/excel/2006/main">
          <x14:cfRule type="containsText" priority="2715" operator="containsText" id="{B07F7945-2403-4DB3-BA2F-97F9FDB42F66}">
            <xm:f>NOT(ISERROR(SEARCH("SM-2024/",J179)))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J179</xm:sqref>
        </x14:conditionalFormatting>
        <x14:conditionalFormatting xmlns:xm="http://schemas.microsoft.com/office/excel/2006/main">
          <x14:cfRule type="containsText" priority="2712" operator="containsText" id="{772B124A-BAE8-4533-84C0-40998599D0E5}">
            <xm:f>NOT(ISERROR(SEARCH("SM-2024/",K179)))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K179</xm:sqref>
        </x14:conditionalFormatting>
        <x14:conditionalFormatting xmlns:xm="http://schemas.microsoft.com/office/excel/2006/main">
          <x14:cfRule type="containsText" priority="2700" operator="containsText" id="{D42FBAEA-D4CB-459B-B853-EBFC6B497A33}">
            <xm:f>NOT(ISERROR(SEARCH("SM-2024/",J178)))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J178</xm:sqref>
        </x14:conditionalFormatting>
        <x14:conditionalFormatting xmlns:xm="http://schemas.microsoft.com/office/excel/2006/main">
          <x14:cfRule type="containsText" priority="2697" operator="containsText" id="{EB275C46-A4EF-4E5D-B54C-1BE6F476228A}">
            <xm:f>NOT(ISERROR(SEARCH("SM-2024/",K178)))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K178</xm:sqref>
        </x14:conditionalFormatting>
        <x14:conditionalFormatting xmlns:xm="http://schemas.microsoft.com/office/excel/2006/main">
          <x14:cfRule type="containsText" priority="2670" operator="containsText" id="{6E6B4A9E-3842-44C9-A1E9-868D08A24C85}">
            <xm:f>NOT(ISERROR(SEARCH("SM-2024/",J177)))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J177</xm:sqref>
        </x14:conditionalFormatting>
        <x14:conditionalFormatting xmlns:xm="http://schemas.microsoft.com/office/excel/2006/main">
          <x14:cfRule type="containsText" priority="2667" operator="containsText" id="{937BBC7B-DF35-4F33-8B17-3E227329FF37}">
            <xm:f>NOT(ISERROR(SEARCH("SM-2024/",K177)))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K177</xm:sqref>
        </x14:conditionalFormatting>
        <x14:conditionalFormatting xmlns:xm="http://schemas.microsoft.com/office/excel/2006/main">
          <x14:cfRule type="containsText" priority="2655" operator="containsText" id="{B9C969E0-F39B-443D-813B-0F44E688E9E4}">
            <xm:f>NOT(ISERROR(SEARCH("SM-2024/",J176)))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J176</xm:sqref>
        </x14:conditionalFormatting>
        <x14:conditionalFormatting xmlns:xm="http://schemas.microsoft.com/office/excel/2006/main">
          <x14:cfRule type="containsText" priority="2652" operator="containsText" id="{A235338D-833A-43B6-9731-71B451B667CE}">
            <xm:f>NOT(ISERROR(SEARCH("SM-2024/",K176)))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K176</xm:sqref>
        </x14:conditionalFormatting>
        <x14:conditionalFormatting xmlns:xm="http://schemas.microsoft.com/office/excel/2006/main">
          <x14:cfRule type="containsText" priority="2640" operator="containsText" id="{358B585A-1285-4086-9C24-1C7EF7EA385D}">
            <xm:f>NOT(ISERROR(SEARCH("SM-2024/",J175)))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J175</xm:sqref>
        </x14:conditionalFormatting>
        <x14:conditionalFormatting xmlns:xm="http://schemas.microsoft.com/office/excel/2006/main">
          <x14:cfRule type="containsText" priority="2637" operator="containsText" id="{CBC0BCE3-D9D4-4ECA-A042-11154BC99AF5}">
            <xm:f>NOT(ISERROR(SEARCH("SM-2024/",K175)))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K175</xm:sqref>
        </x14:conditionalFormatting>
        <x14:conditionalFormatting xmlns:xm="http://schemas.microsoft.com/office/excel/2006/main">
          <x14:cfRule type="containsText" priority="2625" operator="containsText" id="{E7847910-F999-44BA-A4D9-04056F807A05}">
            <xm:f>NOT(ISERROR(SEARCH("SM-2024/",J174)))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J174</xm:sqref>
        </x14:conditionalFormatting>
        <x14:conditionalFormatting xmlns:xm="http://schemas.microsoft.com/office/excel/2006/main">
          <x14:cfRule type="containsText" priority="2622" operator="containsText" id="{C3370679-A33D-4400-8D2D-6F02C54BDA45}">
            <xm:f>NOT(ISERROR(SEARCH("SM-2024/",K174)))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K174</xm:sqref>
        </x14:conditionalFormatting>
        <x14:conditionalFormatting xmlns:xm="http://schemas.microsoft.com/office/excel/2006/main">
          <x14:cfRule type="containsText" priority="2610" operator="containsText" id="{A3AC6154-D5EB-4A64-B3E2-E83C17048098}">
            <xm:f>NOT(ISERROR(SEARCH("SM-2024/",J173)))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J173</xm:sqref>
        </x14:conditionalFormatting>
        <x14:conditionalFormatting xmlns:xm="http://schemas.microsoft.com/office/excel/2006/main">
          <x14:cfRule type="containsText" priority="2607" operator="containsText" id="{2372592E-46B8-4FF5-AE73-D30BCD22E8C1}">
            <xm:f>NOT(ISERROR(SEARCH("SM-2024/",K173)))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K173</xm:sqref>
        </x14:conditionalFormatting>
        <x14:conditionalFormatting xmlns:xm="http://schemas.microsoft.com/office/excel/2006/main">
          <x14:cfRule type="containsText" priority="2595" operator="containsText" id="{DE071CA4-EA90-498F-BDEC-D38F57C1ABEC}">
            <xm:f>NOT(ISERROR(SEARCH("SM-2024/",J172)))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J172</xm:sqref>
        </x14:conditionalFormatting>
        <x14:conditionalFormatting xmlns:xm="http://schemas.microsoft.com/office/excel/2006/main">
          <x14:cfRule type="containsText" priority="2592" operator="containsText" id="{B8253EFD-FD9F-468D-AD68-353443F0AF19}">
            <xm:f>NOT(ISERROR(SEARCH("SM-2024/",K172)))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K172</xm:sqref>
        </x14:conditionalFormatting>
        <x14:conditionalFormatting xmlns:xm="http://schemas.microsoft.com/office/excel/2006/main">
          <x14:cfRule type="containsText" priority="2580" operator="containsText" id="{0B202675-7A92-4A2D-8F5D-39380D117084}">
            <xm:f>NOT(ISERROR(SEARCH("SM-2024/",J171)))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J171</xm:sqref>
        </x14:conditionalFormatting>
        <x14:conditionalFormatting xmlns:xm="http://schemas.microsoft.com/office/excel/2006/main">
          <x14:cfRule type="containsText" priority="2577" operator="containsText" id="{5185DA17-00AB-4FBD-9E34-837CCA001439}">
            <xm:f>NOT(ISERROR(SEARCH("SM-2024/",K171)))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K171</xm:sqref>
        </x14:conditionalFormatting>
        <x14:conditionalFormatting xmlns:xm="http://schemas.microsoft.com/office/excel/2006/main">
          <x14:cfRule type="containsText" priority="2565" operator="containsText" id="{85A9EF33-31FE-4A7A-A314-8505BE3D6C36}">
            <xm:f>NOT(ISERROR(SEARCH("SM-2024/",J170)))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J170</xm:sqref>
        </x14:conditionalFormatting>
        <x14:conditionalFormatting xmlns:xm="http://schemas.microsoft.com/office/excel/2006/main">
          <x14:cfRule type="containsText" priority="2562" operator="containsText" id="{1359A866-9171-4925-98C7-2A480A170A74}">
            <xm:f>NOT(ISERROR(SEARCH("SM-2024/",K170)))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K170</xm:sqref>
        </x14:conditionalFormatting>
        <x14:conditionalFormatting xmlns:xm="http://schemas.microsoft.com/office/excel/2006/main">
          <x14:cfRule type="containsText" priority="2550" operator="containsText" id="{26C1E986-EA3F-408A-B9C9-139837DADC14}">
            <xm:f>NOT(ISERROR(SEARCH("SM-2024/",J169)))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J169</xm:sqref>
        </x14:conditionalFormatting>
        <x14:conditionalFormatting xmlns:xm="http://schemas.microsoft.com/office/excel/2006/main">
          <x14:cfRule type="containsText" priority="2547" operator="containsText" id="{FD7AA712-ECBC-4DF9-8BAE-BB7F2170AE15}">
            <xm:f>NOT(ISERROR(SEARCH("SM-2024/",K169)))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K169</xm:sqref>
        </x14:conditionalFormatting>
        <x14:conditionalFormatting xmlns:xm="http://schemas.microsoft.com/office/excel/2006/main">
          <x14:cfRule type="containsText" priority="2535" operator="containsText" id="{6314764B-93AE-4D4F-BD24-2D74E99643DF}">
            <xm:f>NOT(ISERROR(SEARCH("SM-2024/",J168)))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J168</xm:sqref>
        </x14:conditionalFormatting>
        <x14:conditionalFormatting xmlns:xm="http://schemas.microsoft.com/office/excel/2006/main">
          <x14:cfRule type="containsText" priority="2532" operator="containsText" id="{D5CD87B4-A1BE-4FFF-98A5-F900D3D4C7B3}">
            <xm:f>NOT(ISERROR(SEARCH("SM-2024/",K168)))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K168</xm:sqref>
        </x14:conditionalFormatting>
        <x14:conditionalFormatting xmlns:xm="http://schemas.microsoft.com/office/excel/2006/main">
          <x14:cfRule type="containsText" priority="2520" operator="containsText" id="{9F0DB7AC-853E-4AFD-9AFC-F0C7160A441E}">
            <xm:f>NOT(ISERROR(SEARCH("SM-2024/",J167)))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J167</xm:sqref>
        </x14:conditionalFormatting>
        <x14:conditionalFormatting xmlns:xm="http://schemas.microsoft.com/office/excel/2006/main">
          <x14:cfRule type="containsText" priority="2517" operator="containsText" id="{7E5A5AB9-5DF9-492F-968F-1745C90CCEFD}">
            <xm:f>NOT(ISERROR(SEARCH("SM-2024/",K167)))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K167</xm:sqref>
        </x14:conditionalFormatting>
        <x14:conditionalFormatting xmlns:xm="http://schemas.microsoft.com/office/excel/2006/main">
          <x14:cfRule type="containsText" priority="2505" operator="containsText" id="{6660AB84-6251-40E9-9679-34078FB091E1}">
            <xm:f>NOT(ISERROR(SEARCH("SM-2024/",J166)))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J166</xm:sqref>
        </x14:conditionalFormatting>
        <x14:conditionalFormatting xmlns:xm="http://schemas.microsoft.com/office/excel/2006/main">
          <x14:cfRule type="containsText" priority="2502" operator="containsText" id="{7B6AA5F7-C9D4-404E-AA7B-1D500F8D14DB}">
            <xm:f>NOT(ISERROR(SEARCH("SM-2024/",K166)))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K166</xm:sqref>
        </x14:conditionalFormatting>
        <x14:conditionalFormatting xmlns:xm="http://schemas.microsoft.com/office/excel/2006/main">
          <x14:cfRule type="containsText" priority="2490" operator="containsText" id="{149AB713-2999-4971-9838-2E97DC7F480C}">
            <xm:f>NOT(ISERROR(SEARCH("SM-2024/",J165)))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J165</xm:sqref>
        </x14:conditionalFormatting>
        <x14:conditionalFormatting xmlns:xm="http://schemas.microsoft.com/office/excel/2006/main">
          <x14:cfRule type="containsText" priority="2487" operator="containsText" id="{16D0498B-6F31-4467-92E8-1172100FFF2D}">
            <xm:f>NOT(ISERROR(SEARCH("SM-2024/",K165)))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K165</xm:sqref>
        </x14:conditionalFormatting>
        <x14:conditionalFormatting xmlns:xm="http://schemas.microsoft.com/office/excel/2006/main">
          <x14:cfRule type="containsText" priority="2475" operator="containsText" id="{EACBF2C3-3876-42C8-ABC3-FE1F2E6FF891}">
            <xm:f>NOT(ISERROR(SEARCH("SM-2024/",J164)))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J164</xm:sqref>
        </x14:conditionalFormatting>
        <x14:conditionalFormatting xmlns:xm="http://schemas.microsoft.com/office/excel/2006/main">
          <x14:cfRule type="containsText" priority="2472" operator="containsText" id="{47DEA579-22CD-48D2-9610-215789FA8BF3}">
            <xm:f>NOT(ISERROR(SEARCH("SM-2024/",K164)))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K164</xm:sqref>
        </x14:conditionalFormatting>
        <x14:conditionalFormatting xmlns:xm="http://schemas.microsoft.com/office/excel/2006/main">
          <x14:cfRule type="containsText" priority="2460" operator="containsText" id="{44649DE9-41B1-4757-98CF-86D840287659}">
            <xm:f>NOT(ISERROR(SEARCH("SM-2024/",J163)))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J163</xm:sqref>
        </x14:conditionalFormatting>
        <x14:conditionalFormatting xmlns:xm="http://schemas.microsoft.com/office/excel/2006/main">
          <x14:cfRule type="containsText" priority="2457" operator="containsText" id="{D2895C04-03AF-4480-8A51-2BD1068A8445}">
            <xm:f>NOT(ISERROR(SEARCH("SM-2024/",K163)))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K163</xm:sqref>
        </x14:conditionalFormatting>
        <x14:conditionalFormatting xmlns:xm="http://schemas.microsoft.com/office/excel/2006/main">
          <x14:cfRule type="containsText" priority="2445" operator="containsText" id="{2DE5603B-99B7-4EE1-BBB7-4B5D9EB03284}">
            <xm:f>NOT(ISERROR(SEARCH("SM-2024/",J162)))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J162</xm:sqref>
        </x14:conditionalFormatting>
        <x14:conditionalFormatting xmlns:xm="http://schemas.microsoft.com/office/excel/2006/main">
          <x14:cfRule type="containsText" priority="2442" operator="containsText" id="{55B87440-2303-476B-93E9-038DB8B68644}">
            <xm:f>NOT(ISERROR(SEARCH("SM-2024/",K162)))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K162</xm:sqref>
        </x14:conditionalFormatting>
        <x14:conditionalFormatting xmlns:xm="http://schemas.microsoft.com/office/excel/2006/main">
          <x14:cfRule type="containsText" priority="2430" operator="containsText" id="{55F38E1E-0EFB-4F82-9B3C-FB41896C842C}">
            <xm:f>NOT(ISERROR(SEARCH("SM-2024/",J161)))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J161</xm:sqref>
        </x14:conditionalFormatting>
        <x14:conditionalFormatting xmlns:xm="http://schemas.microsoft.com/office/excel/2006/main">
          <x14:cfRule type="containsText" priority="2427" operator="containsText" id="{C8E94708-85CA-425D-8411-3FD9B2F41EF0}">
            <xm:f>NOT(ISERROR(SEARCH("SM-2024/",K161)))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K161</xm:sqref>
        </x14:conditionalFormatting>
        <x14:conditionalFormatting xmlns:xm="http://schemas.microsoft.com/office/excel/2006/main">
          <x14:cfRule type="containsText" priority="2415" operator="containsText" id="{51E263EF-967A-483E-BE99-D6B002DAF553}">
            <xm:f>NOT(ISERROR(SEARCH("SM-2024/",J160)))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J160</xm:sqref>
        </x14:conditionalFormatting>
        <x14:conditionalFormatting xmlns:xm="http://schemas.microsoft.com/office/excel/2006/main">
          <x14:cfRule type="containsText" priority="2412" operator="containsText" id="{402F6D63-7B96-4328-ABC5-AB4431ED596E}">
            <xm:f>NOT(ISERROR(SEARCH("SM-2024/",K160)))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K160</xm:sqref>
        </x14:conditionalFormatting>
        <x14:conditionalFormatting xmlns:xm="http://schemas.microsoft.com/office/excel/2006/main">
          <x14:cfRule type="containsText" priority="2400" operator="containsText" id="{2725C339-1ECF-40B1-99E6-E75523F3490C}">
            <xm:f>NOT(ISERROR(SEARCH("SM-2024/",J159)))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J159</xm:sqref>
        </x14:conditionalFormatting>
        <x14:conditionalFormatting xmlns:xm="http://schemas.microsoft.com/office/excel/2006/main">
          <x14:cfRule type="containsText" priority="2397" operator="containsText" id="{E73DD519-5F77-447F-A28C-3570084E404E}">
            <xm:f>NOT(ISERROR(SEARCH("SM-2024/",K159)))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K159</xm:sqref>
        </x14:conditionalFormatting>
        <x14:conditionalFormatting xmlns:xm="http://schemas.microsoft.com/office/excel/2006/main">
          <x14:cfRule type="containsText" priority="2385" operator="containsText" id="{6D07ECAE-2A58-4896-BAF8-0295958ADD58}">
            <xm:f>NOT(ISERROR(SEARCH("SM-2024/",J158)))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J158</xm:sqref>
        </x14:conditionalFormatting>
        <x14:conditionalFormatting xmlns:xm="http://schemas.microsoft.com/office/excel/2006/main">
          <x14:cfRule type="containsText" priority="2382" operator="containsText" id="{DD48A5E4-5A2C-4E78-8202-B8AF245B7B5D}">
            <xm:f>NOT(ISERROR(SEARCH("SM-2024/",K158)))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K158</xm:sqref>
        </x14:conditionalFormatting>
        <x14:conditionalFormatting xmlns:xm="http://schemas.microsoft.com/office/excel/2006/main">
          <x14:cfRule type="containsText" priority="2370" operator="containsText" id="{45A66BC1-4CB6-40F7-A58C-1F4D39C74EF5}">
            <xm:f>NOT(ISERROR(SEARCH("SM-2024/",J157)))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J157</xm:sqref>
        </x14:conditionalFormatting>
        <x14:conditionalFormatting xmlns:xm="http://schemas.microsoft.com/office/excel/2006/main">
          <x14:cfRule type="containsText" priority="2367" operator="containsText" id="{A7892EEA-5A28-402B-966F-574E1CCBBC06}">
            <xm:f>NOT(ISERROR(SEARCH("SM-2024/",K157)))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K157</xm:sqref>
        </x14:conditionalFormatting>
        <x14:conditionalFormatting xmlns:xm="http://schemas.microsoft.com/office/excel/2006/main">
          <x14:cfRule type="containsText" priority="2355" operator="containsText" id="{AFDF4CEA-E49D-4F1B-A4EC-90DD8C60ADB3}">
            <xm:f>NOT(ISERROR(SEARCH("SM-2024/",J156)))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J156</xm:sqref>
        </x14:conditionalFormatting>
        <x14:conditionalFormatting xmlns:xm="http://schemas.microsoft.com/office/excel/2006/main">
          <x14:cfRule type="containsText" priority="2352" operator="containsText" id="{00228F2F-37AC-442A-A74B-6624F8F24E5E}">
            <xm:f>NOT(ISERROR(SEARCH("SM-2024/",K156)))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K156</xm:sqref>
        </x14:conditionalFormatting>
        <x14:conditionalFormatting xmlns:xm="http://schemas.microsoft.com/office/excel/2006/main">
          <x14:cfRule type="containsText" priority="2340" operator="containsText" id="{7C6F3743-CDF9-447F-87F8-6BAEC126C4B0}">
            <xm:f>NOT(ISERROR(SEARCH("SM-2024/",J155)))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J155</xm:sqref>
        </x14:conditionalFormatting>
        <x14:conditionalFormatting xmlns:xm="http://schemas.microsoft.com/office/excel/2006/main">
          <x14:cfRule type="containsText" priority="2337" operator="containsText" id="{FA6EBACE-5DA7-4AAF-92D7-9B2F14B86607}">
            <xm:f>NOT(ISERROR(SEARCH("SM-2024/",K155)))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K155</xm:sqref>
        </x14:conditionalFormatting>
        <x14:conditionalFormatting xmlns:xm="http://schemas.microsoft.com/office/excel/2006/main">
          <x14:cfRule type="containsText" priority="2325" operator="containsText" id="{7A5B2F51-6C68-43B1-8D89-485E7DEBCB8C}">
            <xm:f>NOT(ISERROR(SEARCH("SM-2024/",J154)))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J154</xm:sqref>
        </x14:conditionalFormatting>
        <x14:conditionalFormatting xmlns:xm="http://schemas.microsoft.com/office/excel/2006/main">
          <x14:cfRule type="containsText" priority="2322" operator="containsText" id="{266A454B-F064-429E-B5A7-0EEEF25FE979}">
            <xm:f>NOT(ISERROR(SEARCH("SM-2024/",K154)))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K154</xm:sqref>
        </x14:conditionalFormatting>
        <x14:conditionalFormatting xmlns:xm="http://schemas.microsoft.com/office/excel/2006/main">
          <x14:cfRule type="containsText" priority="2310" operator="containsText" id="{F0E91B8C-42DD-46E6-BF53-BC0C447CD686}">
            <xm:f>NOT(ISERROR(SEARCH("SM-2024/",J153)))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J153</xm:sqref>
        </x14:conditionalFormatting>
        <x14:conditionalFormatting xmlns:xm="http://schemas.microsoft.com/office/excel/2006/main">
          <x14:cfRule type="containsText" priority="2307" operator="containsText" id="{4A87A52B-F74C-477C-ADFC-2B76C0F001AC}">
            <xm:f>NOT(ISERROR(SEARCH("SM-2024/",K153)))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K153</xm:sqref>
        </x14:conditionalFormatting>
        <x14:conditionalFormatting xmlns:xm="http://schemas.microsoft.com/office/excel/2006/main">
          <x14:cfRule type="containsText" priority="2295" operator="containsText" id="{62E76651-1700-4A2B-93F3-924B8DCD84B3}">
            <xm:f>NOT(ISERROR(SEARCH("SM-2024/",J152)))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J152</xm:sqref>
        </x14:conditionalFormatting>
        <x14:conditionalFormatting xmlns:xm="http://schemas.microsoft.com/office/excel/2006/main">
          <x14:cfRule type="containsText" priority="2292" operator="containsText" id="{D2BF9007-7AC8-43D9-A648-F5467D537A88}">
            <xm:f>NOT(ISERROR(SEARCH("SM-2024/",K152)))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K152</xm:sqref>
        </x14:conditionalFormatting>
        <x14:conditionalFormatting xmlns:xm="http://schemas.microsoft.com/office/excel/2006/main">
          <x14:cfRule type="containsText" priority="2280" operator="containsText" id="{ACAC653C-9B17-4927-B4C3-90E14CC444E6}">
            <xm:f>NOT(ISERROR(SEARCH("SM-2024/",J151)))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J151</xm:sqref>
        </x14:conditionalFormatting>
        <x14:conditionalFormatting xmlns:xm="http://schemas.microsoft.com/office/excel/2006/main">
          <x14:cfRule type="containsText" priority="2277" operator="containsText" id="{DB8E5265-7453-4FCB-AD30-45A05EE09BDC}">
            <xm:f>NOT(ISERROR(SEARCH("SM-2024/",K151)))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K151</xm:sqref>
        </x14:conditionalFormatting>
        <x14:conditionalFormatting xmlns:xm="http://schemas.microsoft.com/office/excel/2006/main">
          <x14:cfRule type="containsText" priority="2265" operator="containsText" id="{BC6078EB-110A-44D0-9DD3-94E3B7492273}">
            <xm:f>NOT(ISERROR(SEARCH("SM-2024/",J150)))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J150</xm:sqref>
        </x14:conditionalFormatting>
        <x14:conditionalFormatting xmlns:xm="http://schemas.microsoft.com/office/excel/2006/main">
          <x14:cfRule type="containsText" priority="2262" operator="containsText" id="{46F6AB14-E22C-465A-A4F0-99334A7D8667}">
            <xm:f>NOT(ISERROR(SEARCH("SM-2024/",K150)))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K150</xm:sqref>
        </x14:conditionalFormatting>
        <x14:conditionalFormatting xmlns:xm="http://schemas.microsoft.com/office/excel/2006/main">
          <x14:cfRule type="containsText" priority="2250" operator="containsText" id="{2AACC160-EF80-4965-AC28-E239F9F1C21F}">
            <xm:f>NOT(ISERROR(SEARCH("SM-2024/",J149)))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J149</xm:sqref>
        </x14:conditionalFormatting>
        <x14:conditionalFormatting xmlns:xm="http://schemas.microsoft.com/office/excel/2006/main">
          <x14:cfRule type="containsText" priority="2247" operator="containsText" id="{E82D5074-90AA-4AA2-A318-73D7553C7807}">
            <xm:f>NOT(ISERROR(SEARCH("SM-2024/",K149)))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K149</xm:sqref>
        </x14:conditionalFormatting>
        <x14:conditionalFormatting xmlns:xm="http://schemas.microsoft.com/office/excel/2006/main">
          <x14:cfRule type="containsText" priority="2235" operator="containsText" id="{E32AFD33-BB6F-412D-BF93-EC2A7C1BF71E}">
            <xm:f>NOT(ISERROR(SEARCH("SM-2024/",J148)))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J148</xm:sqref>
        </x14:conditionalFormatting>
        <x14:conditionalFormatting xmlns:xm="http://schemas.microsoft.com/office/excel/2006/main">
          <x14:cfRule type="containsText" priority="2232" operator="containsText" id="{D0D4BB8D-EEDB-4266-816C-3464B54E96F4}">
            <xm:f>NOT(ISERROR(SEARCH("SM-2024/",K148)))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K148</xm:sqref>
        </x14:conditionalFormatting>
        <x14:conditionalFormatting xmlns:xm="http://schemas.microsoft.com/office/excel/2006/main">
          <x14:cfRule type="containsText" priority="2220" operator="containsText" id="{E2936C8A-88C6-41AF-A739-1FF818320255}">
            <xm:f>NOT(ISERROR(SEARCH("SM-2024/",J147)))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J147</xm:sqref>
        </x14:conditionalFormatting>
        <x14:conditionalFormatting xmlns:xm="http://schemas.microsoft.com/office/excel/2006/main">
          <x14:cfRule type="containsText" priority="2217" operator="containsText" id="{0FD6B2B9-F4FD-4935-BF5D-ADC357388062}">
            <xm:f>NOT(ISERROR(SEARCH("SM-2024/",K147)))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K147</xm:sqref>
        </x14:conditionalFormatting>
        <x14:conditionalFormatting xmlns:xm="http://schemas.microsoft.com/office/excel/2006/main">
          <x14:cfRule type="containsText" priority="2205" operator="containsText" id="{F77D6A48-5514-466F-B9B3-C65F2DE95065}">
            <xm:f>NOT(ISERROR(SEARCH("SM-2024/",J146)))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J146</xm:sqref>
        </x14:conditionalFormatting>
        <x14:conditionalFormatting xmlns:xm="http://schemas.microsoft.com/office/excel/2006/main">
          <x14:cfRule type="containsText" priority="2202" operator="containsText" id="{CD93574D-EF7A-4822-899B-0895EE56DB56}">
            <xm:f>NOT(ISERROR(SEARCH("SM-2024/",K146)))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K146</xm:sqref>
        </x14:conditionalFormatting>
        <x14:conditionalFormatting xmlns:xm="http://schemas.microsoft.com/office/excel/2006/main">
          <x14:cfRule type="containsText" priority="2190" operator="containsText" id="{76BCA4F0-175C-42ED-8FA0-3CB9EF850D33}">
            <xm:f>NOT(ISERROR(SEARCH("SM-2024/",J145)))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J145</xm:sqref>
        </x14:conditionalFormatting>
        <x14:conditionalFormatting xmlns:xm="http://schemas.microsoft.com/office/excel/2006/main">
          <x14:cfRule type="containsText" priority="2187" operator="containsText" id="{6611F086-D569-4D02-ADE0-543B25236D36}">
            <xm:f>NOT(ISERROR(SEARCH("SM-2024/",K145)))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K145</xm:sqref>
        </x14:conditionalFormatting>
        <x14:conditionalFormatting xmlns:xm="http://schemas.microsoft.com/office/excel/2006/main">
          <x14:cfRule type="containsText" priority="2175" operator="containsText" id="{F53A8977-19A2-4D12-8D75-42E7C328AC1E}">
            <xm:f>NOT(ISERROR(SEARCH("SM-2024/",J144)))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J144</xm:sqref>
        </x14:conditionalFormatting>
        <x14:conditionalFormatting xmlns:xm="http://schemas.microsoft.com/office/excel/2006/main">
          <x14:cfRule type="containsText" priority="2172" operator="containsText" id="{75BBBA29-C8BC-4030-B883-6007BE9AE89D}">
            <xm:f>NOT(ISERROR(SEARCH("SM-2024/",K144)))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K144</xm:sqref>
        </x14:conditionalFormatting>
        <x14:conditionalFormatting xmlns:xm="http://schemas.microsoft.com/office/excel/2006/main">
          <x14:cfRule type="containsText" priority="2160" operator="containsText" id="{F0237078-6467-44A3-9FB3-A3C710EC310C}">
            <xm:f>NOT(ISERROR(SEARCH("SM-2024/",J143)))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J143</xm:sqref>
        </x14:conditionalFormatting>
        <x14:conditionalFormatting xmlns:xm="http://schemas.microsoft.com/office/excel/2006/main">
          <x14:cfRule type="containsText" priority="2157" operator="containsText" id="{1EAA37D7-4FFD-434B-A43C-70C30357A91C}">
            <xm:f>NOT(ISERROR(SEARCH("SM-2024/",K143)))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K143</xm:sqref>
        </x14:conditionalFormatting>
        <x14:conditionalFormatting xmlns:xm="http://schemas.microsoft.com/office/excel/2006/main">
          <x14:cfRule type="containsText" priority="2145" operator="containsText" id="{59A17FC0-1C19-492D-8685-6F13BDD6269C}">
            <xm:f>NOT(ISERROR(SEARCH("SM-2024/",J142)))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J142</xm:sqref>
        </x14:conditionalFormatting>
        <x14:conditionalFormatting xmlns:xm="http://schemas.microsoft.com/office/excel/2006/main">
          <x14:cfRule type="containsText" priority="2142" operator="containsText" id="{E648E24E-2C8B-4802-9629-1A5DE7D241AA}">
            <xm:f>NOT(ISERROR(SEARCH("SM-2024/",K142)))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K142</xm:sqref>
        </x14:conditionalFormatting>
        <x14:conditionalFormatting xmlns:xm="http://schemas.microsoft.com/office/excel/2006/main">
          <x14:cfRule type="containsText" priority="2130" operator="containsText" id="{EE7988E6-C9D6-4FC8-8270-444DFD69D4B2}">
            <xm:f>NOT(ISERROR(SEARCH("SM-2024/",J141)))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J141</xm:sqref>
        </x14:conditionalFormatting>
        <x14:conditionalFormatting xmlns:xm="http://schemas.microsoft.com/office/excel/2006/main">
          <x14:cfRule type="containsText" priority="2127" operator="containsText" id="{FB4ECE96-4C81-4483-A69C-64BBFB151871}">
            <xm:f>NOT(ISERROR(SEARCH("SM-2024/",K141)))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K141</xm:sqref>
        </x14:conditionalFormatting>
        <x14:conditionalFormatting xmlns:xm="http://schemas.microsoft.com/office/excel/2006/main">
          <x14:cfRule type="containsText" priority="2100" operator="containsText" id="{FD5431E8-6586-4A3C-934C-AA9C7CF06C40}">
            <xm:f>NOT(ISERROR(SEARCH("SM-2024/",J140)))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J140</xm:sqref>
        </x14:conditionalFormatting>
        <x14:conditionalFormatting xmlns:xm="http://schemas.microsoft.com/office/excel/2006/main">
          <x14:cfRule type="containsText" priority="2097" operator="containsText" id="{92FB0C2C-F654-42CF-A857-24D7EFBC7375}">
            <xm:f>NOT(ISERROR(SEARCH("SM-2024/",K140)))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K140</xm:sqref>
        </x14:conditionalFormatting>
        <x14:conditionalFormatting xmlns:xm="http://schemas.microsoft.com/office/excel/2006/main">
          <x14:cfRule type="containsText" priority="2085" operator="containsText" id="{D9468D8E-2947-47AB-BA2A-E37D2F7E766A}">
            <xm:f>NOT(ISERROR(SEARCH("SM-2024/",J139)))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J139</xm:sqref>
        </x14:conditionalFormatting>
        <x14:conditionalFormatting xmlns:xm="http://schemas.microsoft.com/office/excel/2006/main">
          <x14:cfRule type="containsText" priority="2082" operator="containsText" id="{849F01CA-ED91-4019-8096-340A58C2F3FA}">
            <xm:f>NOT(ISERROR(SEARCH("SM-2024/",K139)))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K139</xm:sqref>
        </x14:conditionalFormatting>
        <x14:conditionalFormatting xmlns:xm="http://schemas.microsoft.com/office/excel/2006/main">
          <x14:cfRule type="containsText" priority="2070" operator="containsText" id="{3D74B916-D836-445E-B1C5-D25B6FE396AC}">
            <xm:f>NOT(ISERROR(SEARCH("SM-2024/",J138)))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J138</xm:sqref>
        </x14:conditionalFormatting>
        <x14:conditionalFormatting xmlns:xm="http://schemas.microsoft.com/office/excel/2006/main">
          <x14:cfRule type="containsText" priority="2067" operator="containsText" id="{B8B080B8-E53B-4AE3-AAC2-7B2CB99FCBF7}">
            <xm:f>NOT(ISERROR(SEARCH("SM-2024/",K138)))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K138</xm:sqref>
        </x14:conditionalFormatting>
        <x14:conditionalFormatting xmlns:xm="http://schemas.microsoft.com/office/excel/2006/main">
          <x14:cfRule type="containsText" priority="2055" operator="containsText" id="{C5CB6D3F-6092-4BE0-B441-00EC78335F8D}">
            <xm:f>NOT(ISERROR(SEARCH("SM-2024/",J137)))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J137</xm:sqref>
        </x14:conditionalFormatting>
        <x14:conditionalFormatting xmlns:xm="http://schemas.microsoft.com/office/excel/2006/main">
          <x14:cfRule type="containsText" priority="2052" operator="containsText" id="{26326294-5D53-426E-88E1-0598FB0EDB53}">
            <xm:f>NOT(ISERROR(SEARCH("SM-2024/",K137)))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K137</xm:sqref>
        </x14:conditionalFormatting>
        <x14:conditionalFormatting xmlns:xm="http://schemas.microsoft.com/office/excel/2006/main">
          <x14:cfRule type="containsText" priority="2040" operator="containsText" id="{BB636A8A-B2EE-438A-B4BF-4C4C222EE24F}">
            <xm:f>NOT(ISERROR(SEARCH("SM-2024/",J136)))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J136</xm:sqref>
        </x14:conditionalFormatting>
        <x14:conditionalFormatting xmlns:xm="http://schemas.microsoft.com/office/excel/2006/main">
          <x14:cfRule type="containsText" priority="2037" operator="containsText" id="{92BC8428-7687-4921-9AA3-B17D97350F84}">
            <xm:f>NOT(ISERROR(SEARCH("SM-2024/",K136)))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K136</xm:sqref>
        </x14:conditionalFormatting>
        <x14:conditionalFormatting xmlns:xm="http://schemas.microsoft.com/office/excel/2006/main">
          <x14:cfRule type="containsText" priority="2025" operator="containsText" id="{8B72ED34-7173-4227-88A5-76E8093C8D91}">
            <xm:f>NOT(ISERROR(SEARCH("SM-2024/",J135)))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J135</xm:sqref>
        </x14:conditionalFormatting>
        <x14:conditionalFormatting xmlns:xm="http://schemas.microsoft.com/office/excel/2006/main">
          <x14:cfRule type="containsText" priority="2022" operator="containsText" id="{7D7B645D-55DA-41EA-967B-8FC2FDB3A8F4}">
            <xm:f>NOT(ISERROR(SEARCH("SM-2024/",K135)))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K135</xm:sqref>
        </x14:conditionalFormatting>
        <x14:conditionalFormatting xmlns:xm="http://schemas.microsoft.com/office/excel/2006/main">
          <x14:cfRule type="containsText" priority="2010" operator="containsText" id="{985E230C-F47E-4E02-B3D8-81A07EE100E1}">
            <xm:f>NOT(ISERROR(SEARCH("SM-2024/",J134)))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J134</xm:sqref>
        </x14:conditionalFormatting>
        <x14:conditionalFormatting xmlns:xm="http://schemas.microsoft.com/office/excel/2006/main">
          <x14:cfRule type="containsText" priority="2007" operator="containsText" id="{3296FCA3-9634-44AF-AFD7-B3FB80C96080}">
            <xm:f>NOT(ISERROR(SEARCH("SM-2024/",K134)))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K134</xm:sqref>
        </x14:conditionalFormatting>
        <x14:conditionalFormatting xmlns:xm="http://schemas.microsoft.com/office/excel/2006/main">
          <x14:cfRule type="containsText" priority="1995" operator="containsText" id="{0680367E-A5E1-4C5A-AFC7-062DEAAA654A}">
            <xm:f>NOT(ISERROR(SEARCH("SM-2024/",J133)))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J133</xm:sqref>
        </x14:conditionalFormatting>
        <x14:conditionalFormatting xmlns:xm="http://schemas.microsoft.com/office/excel/2006/main">
          <x14:cfRule type="containsText" priority="1992" operator="containsText" id="{B37AD1A6-A3FC-4995-9067-E67830084424}">
            <xm:f>NOT(ISERROR(SEARCH("SM-2024/",K133)))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K133</xm:sqref>
        </x14:conditionalFormatting>
        <x14:conditionalFormatting xmlns:xm="http://schemas.microsoft.com/office/excel/2006/main">
          <x14:cfRule type="containsText" priority="1980" operator="containsText" id="{480B83F5-7D2E-473D-9263-21A954F6D773}">
            <xm:f>NOT(ISERROR(SEARCH("SM-2024/",J132)))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J132</xm:sqref>
        </x14:conditionalFormatting>
        <x14:conditionalFormatting xmlns:xm="http://schemas.microsoft.com/office/excel/2006/main">
          <x14:cfRule type="containsText" priority="1977" operator="containsText" id="{869421CC-548A-4E2E-8FD3-2D10652AACE4}">
            <xm:f>NOT(ISERROR(SEARCH("SM-2024/",K132)))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K132</xm:sqref>
        </x14:conditionalFormatting>
        <x14:conditionalFormatting xmlns:xm="http://schemas.microsoft.com/office/excel/2006/main">
          <x14:cfRule type="containsText" priority="1965" operator="containsText" id="{1EFC2029-442C-4E8A-8BB7-45FC86ACADDF}">
            <xm:f>NOT(ISERROR(SEARCH("SM-2024/",J131)))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J131</xm:sqref>
        </x14:conditionalFormatting>
        <x14:conditionalFormatting xmlns:xm="http://schemas.microsoft.com/office/excel/2006/main">
          <x14:cfRule type="containsText" priority="1962" operator="containsText" id="{B41FCEA1-CF9B-4D95-AA48-ED665F52BAB6}">
            <xm:f>NOT(ISERROR(SEARCH("SM-2024/",K131)))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K131</xm:sqref>
        </x14:conditionalFormatting>
        <x14:conditionalFormatting xmlns:xm="http://schemas.microsoft.com/office/excel/2006/main">
          <x14:cfRule type="containsText" priority="1950" operator="containsText" id="{89F29CD6-16F2-4C99-A68A-885CD1523AA3}">
            <xm:f>NOT(ISERROR(SEARCH("SM-2024/",J130)))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J130</xm:sqref>
        </x14:conditionalFormatting>
        <x14:conditionalFormatting xmlns:xm="http://schemas.microsoft.com/office/excel/2006/main">
          <x14:cfRule type="containsText" priority="1947" operator="containsText" id="{B47173F1-E9D1-4B4D-853C-58B54DD928AE}">
            <xm:f>NOT(ISERROR(SEARCH("SM-2024/",K130)))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K130</xm:sqref>
        </x14:conditionalFormatting>
        <x14:conditionalFormatting xmlns:xm="http://schemas.microsoft.com/office/excel/2006/main">
          <x14:cfRule type="containsText" priority="1935" operator="containsText" id="{2B003970-20DD-4145-84EC-F11ABCBE5CC3}">
            <xm:f>NOT(ISERROR(SEARCH("SM-2024/",J129)))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J129</xm:sqref>
        </x14:conditionalFormatting>
        <x14:conditionalFormatting xmlns:xm="http://schemas.microsoft.com/office/excel/2006/main">
          <x14:cfRule type="containsText" priority="1932" operator="containsText" id="{61F3328A-B6D0-42F5-8AAF-739AC42422E3}">
            <xm:f>NOT(ISERROR(SEARCH("SM-2024/",K129)))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K129</xm:sqref>
        </x14:conditionalFormatting>
        <x14:conditionalFormatting xmlns:xm="http://schemas.microsoft.com/office/excel/2006/main">
          <x14:cfRule type="containsText" priority="1920" operator="containsText" id="{7BBEBA15-436C-4649-8807-66F720AFE3B1}">
            <xm:f>NOT(ISERROR(SEARCH("SM-2024/",J128)))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J128</xm:sqref>
        </x14:conditionalFormatting>
        <x14:conditionalFormatting xmlns:xm="http://schemas.microsoft.com/office/excel/2006/main">
          <x14:cfRule type="containsText" priority="1917" operator="containsText" id="{0AFB341D-6D39-467E-8C64-AE714DF1B52A}">
            <xm:f>NOT(ISERROR(SEARCH("SM-2024/",K128)))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K128</xm:sqref>
        </x14:conditionalFormatting>
        <x14:conditionalFormatting xmlns:xm="http://schemas.microsoft.com/office/excel/2006/main">
          <x14:cfRule type="containsText" priority="1905" operator="containsText" id="{4977257F-0263-451F-A6B6-48D00A8CFB21}">
            <xm:f>NOT(ISERROR(SEARCH("SM-2024/",J127)))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J127</xm:sqref>
        </x14:conditionalFormatting>
        <x14:conditionalFormatting xmlns:xm="http://schemas.microsoft.com/office/excel/2006/main">
          <x14:cfRule type="containsText" priority="1902" operator="containsText" id="{DDF810BA-FE63-4A7E-96C0-48CB1BCF9559}">
            <xm:f>NOT(ISERROR(SEARCH("SM-2024/",K127)))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K127</xm:sqref>
        </x14:conditionalFormatting>
        <x14:conditionalFormatting xmlns:xm="http://schemas.microsoft.com/office/excel/2006/main">
          <x14:cfRule type="containsText" priority="1890" operator="containsText" id="{404A4112-D6E7-4534-AC2D-4B7493E4BE04}">
            <xm:f>NOT(ISERROR(SEARCH("SM-2024/",J126)))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J126</xm:sqref>
        </x14:conditionalFormatting>
        <x14:conditionalFormatting xmlns:xm="http://schemas.microsoft.com/office/excel/2006/main">
          <x14:cfRule type="containsText" priority="1887" operator="containsText" id="{1D8AC616-3FAD-45A8-A3F9-5595A443699B}">
            <xm:f>NOT(ISERROR(SEARCH("SM-2024/",K126)))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K126</xm:sqref>
        </x14:conditionalFormatting>
        <x14:conditionalFormatting xmlns:xm="http://schemas.microsoft.com/office/excel/2006/main">
          <x14:cfRule type="containsText" priority="1875" operator="containsText" id="{9DBBC79A-10CC-42E4-A372-4F9D1BB51480}">
            <xm:f>NOT(ISERROR(SEARCH("SM-2024/",J125)))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J125</xm:sqref>
        </x14:conditionalFormatting>
        <x14:conditionalFormatting xmlns:xm="http://schemas.microsoft.com/office/excel/2006/main">
          <x14:cfRule type="containsText" priority="1872" operator="containsText" id="{D0F3A890-C26E-497A-8A54-409C2D4E00E8}">
            <xm:f>NOT(ISERROR(SEARCH("SM-2024/",K125)))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K125</xm:sqref>
        </x14:conditionalFormatting>
        <x14:conditionalFormatting xmlns:xm="http://schemas.microsoft.com/office/excel/2006/main">
          <x14:cfRule type="containsText" priority="1860" operator="containsText" id="{3D756519-1891-4D89-9B0F-6179175F8D4A}">
            <xm:f>NOT(ISERROR(SEARCH("SM-2024/",J124)))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J124</xm:sqref>
        </x14:conditionalFormatting>
        <x14:conditionalFormatting xmlns:xm="http://schemas.microsoft.com/office/excel/2006/main">
          <x14:cfRule type="containsText" priority="1857" operator="containsText" id="{4A2701B6-3605-4AF3-BCFE-195C87A826A0}">
            <xm:f>NOT(ISERROR(SEARCH("SM-2024/",K124)))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K124</xm:sqref>
        </x14:conditionalFormatting>
        <x14:conditionalFormatting xmlns:xm="http://schemas.microsoft.com/office/excel/2006/main">
          <x14:cfRule type="containsText" priority="1845" operator="containsText" id="{CC9251B1-6203-4D04-9147-52937946F3DB}">
            <xm:f>NOT(ISERROR(SEARCH("SM-2024/",J123)))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J123</xm:sqref>
        </x14:conditionalFormatting>
        <x14:conditionalFormatting xmlns:xm="http://schemas.microsoft.com/office/excel/2006/main">
          <x14:cfRule type="containsText" priority="1842" operator="containsText" id="{D7B4C18F-6E69-41C1-B960-9F737AE7C333}">
            <xm:f>NOT(ISERROR(SEARCH("SM-2024/",K123)))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K123</xm:sqref>
        </x14:conditionalFormatting>
        <x14:conditionalFormatting xmlns:xm="http://schemas.microsoft.com/office/excel/2006/main">
          <x14:cfRule type="containsText" priority="1830" operator="containsText" id="{357B515A-2F08-4FE5-9C06-F892B1A29430}">
            <xm:f>NOT(ISERROR(SEARCH("SM-2024/",J122)))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J122</xm:sqref>
        </x14:conditionalFormatting>
        <x14:conditionalFormatting xmlns:xm="http://schemas.microsoft.com/office/excel/2006/main">
          <x14:cfRule type="containsText" priority="1827" operator="containsText" id="{269FC843-8FA8-4560-B92A-C17D961CB0D4}">
            <xm:f>NOT(ISERROR(SEARCH("SM-2024/",K122)))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K122</xm:sqref>
        </x14:conditionalFormatting>
        <x14:conditionalFormatting xmlns:xm="http://schemas.microsoft.com/office/excel/2006/main">
          <x14:cfRule type="containsText" priority="1815" operator="containsText" id="{776B80A7-6BE2-48FE-8584-4C9FA2AC30DA}">
            <xm:f>NOT(ISERROR(SEARCH("SM-2024/",J121)))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J121</xm:sqref>
        </x14:conditionalFormatting>
        <x14:conditionalFormatting xmlns:xm="http://schemas.microsoft.com/office/excel/2006/main">
          <x14:cfRule type="containsText" priority="1812" operator="containsText" id="{16693209-5704-488F-91F8-068F4EA74AD6}">
            <xm:f>NOT(ISERROR(SEARCH("SM-2024/",K121)))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K121</xm:sqref>
        </x14:conditionalFormatting>
        <x14:conditionalFormatting xmlns:xm="http://schemas.microsoft.com/office/excel/2006/main">
          <x14:cfRule type="containsText" priority="1800" operator="containsText" id="{12B94A19-4ECE-4B52-9FB1-EFF04111349E}">
            <xm:f>NOT(ISERROR(SEARCH("SM-2024/",J120)))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J120</xm:sqref>
        </x14:conditionalFormatting>
        <x14:conditionalFormatting xmlns:xm="http://schemas.microsoft.com/office/excel/2006/main">
          <x14:cfRule type="containsText" priority="1797" operator="containsText" id="{689AF34A-93C2-4131-82E4-0CA9C27D9DDB}">
            <xm:f>NOT(ISERROR(SEARCH("SM-2024/",K120)))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K120</xm:sqref>
        </x14:conditionalFormatting>
        <x14:conditionalFormatting xmlns:xm="http://schemas.microsoft.com/office/excel/2006/main">
          <x14:cfRule type="containsText" priority="1785" operator="containsText" id="{12677E89-D32C-4D63-B141-9F1455CBD576}">
            <xm:f>NOT(ISERROR(SEARCH("SM-2024/",J119)))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J119</xm:sqref>
        </x14:conditionalFormatting>
        <x14:conditionalFormatting xmlns:xm="http://schemas.microsoft.com/office/excel/2006/main">
          <x14:cfRule type="containsText" priority="1782" operator="containsText" id="{A5F0900C-A109-4281-AA63-045C48611530}">
            <xm:f>NOT(ISERROR(SEARCH("SM-2024/",K119)))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K119</xm:sqref>
        </x14:conditionalFormatting>
        <x14:conditionalFormatting xmlns:xm="http://schemas.microsoft.com/office/excel/2006/main">
          <x14:cfRule type="containsText" priority="1770" operator="containsText" id="{594509BB-EC9A-45D5-BB2A-ED9080937BEE}">
            <xm:f>NOT(ISERROR(SEARCH("SM-2024/",J118)))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J118</xm:sqref>
        </x14:conditionalFormatting>
        <x14:conditionalFormatting xmlns:xm="http://schemas.microsoft.com/office/excel/2006/main">
          <x14:cfRule type="containsText" priority="1767" operator="containsText" id="{2D4BEC46-2457-4363-88E3-AEC67247FF08}">
            <xm:f>NOT(ISERROR(SEARCH("SM-2024/",K118)))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K118</xm:sqref>
        </x14:conditionalFormatting>
        <x14:conditionalFormatting xmlns:xm="http://schemas.microsoft.com/office/excel/2006/main">
          <x14:cfRule type="containsText" priority="1755" operator="containsText" id="{88751B68-7FB1-458B-A5CA-F1098C4A2A9A}">
            <xm:f>NOT(ISERROR(SEARCH("SM-2024/",J117)))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J117</xm:sqref>
        </x14:conditionalFormatting>
        <x14:conditionalFormatting xmlns:xm="http://schemas.microsoft.com/office/excel/2006/main">
          <x14:cfRule type="containsText" priority="1752" operator="containsText" id="{DF59A564-69B1-448F-862D-B8F944F358A9}">
            <xm:f>NOT(ISERROR(SEARCH("SM-2024/",K117)))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K117</xm:sqref>
        </x14:conditionalFormatting>
        <x14:conditionalFormatting xmlns:xm="http://schemas.microsoft.com/office/excel/2006/main">
          <x14:cfRule type="containsText" priority="1740" operator="containsText" id="{6DBD8728-4C13-4438-9CBE-62C9FCF1B4B0}">
            <xm:f>NOT(ISERROR(SEARCH("SM-2024/",J116)))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J116</xm:sqref>
        </x14:conditionalFormatting>
        <x14:conditionalFormatting xmlns:xm="http://schemas.microsoft.com/office/excel/2006/main">
          <x14:cfRule type="containsText" priority="1737" operator="containsText" id="{75045DE6-CEAB-4F28-91D5-3104B894DB48}">
            <xm:f>NOT(ISERROR(SEARCH("SM-2024/",K116)))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K116</xm:sqref>
        </x14:conditionalFormatting>
        <x14:conditionalFormatting xmlns:xm="http://schemas.microsoft.com/office/excel/2006/main">
          <x14:cfRule type="containsText" priority="1725" operator="containsText" id="{096F137F-F958-4FA1-B8C2-6E6D36F668ED}">
            <xm:f>NOT(ISERROR(SEARCH("SM-2024/",J115)))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J115</xm:sqref>
        </x14:conditionalFormatting>
        <x14:conditionalFormatting xmlns:xm="http://schemas.microsoft.com/office/excel/2006/main">
          <x14:cfRule type="containsText" priority="1722" operator="containsText" id="{0B8FAACB-A908-4D79-ABCF-92731D95B534}">
            <xm:f>NOT(ISERROR(SEARCH("SM-2024/",K115)))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K115</xm:sqref>
        </x14:conditionalFormatting>
        <x14:conditionalFormatting xmlns:xm="http://schemas.microsoft.com/office/excel/2006/main">
          <x14:cfRule type="containsText" priority="1710" operator="containsText" id="{6162E6E6-E4A3-4A3D-AE6C-D36AD1560EB0}">
            <xm:f>NOT(ISERROR(SEARCH("SM-2024/",J114)))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J114</xm:sqref>
        </x14:conditionalFormatting>
        <x14:conditionalFormatting xmlns:xm="http://schemas.microsoft.com/office/excel/2006/main">
          <x14:cfRule type="containsText" priority="1707" operator="containsText" id="{B90189CE-0524-4873-A694-6C302EE5B786}">
            <xm:f>NOT(ISERROR(SEARCH("SM-2024/",K114)))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K114</xm:sqref>
        </x14:conditionalFormatting>
        <x14:conditionalFormatting xmlns:xm="http://schemas.microsoft.com/office/excel/2006/main">
          <x14:cfRule type="containsText" priority="1695" operator="containsText" id="{F9D014DC-E579-4941-9A12-8EC58D92298B}">
            <xm:f>NOT(ISERROR(SEARCH("SM-2024/",J113)))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J113</xm:sqref>
        </x14:conditionalFormatting>
        <x14:conditionalFormatting xmlns:xm="http://schemas.microsoft.com/office/excel/2006/main">
          <x14:cfRule type="containsText" priority="1692" operator="containsText" id="{F552448D-E7E9-405E-88B2-1BDBE7D600BA}">
            <xm:f>NOT(ISERROR(SEARCH("SM-2024/",K113)))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K113</xm:sqref>
        </x14:conditionalFormatting>
        <x14:conditionalFormatting xmlns:xm="http://schemas.microsoft.com/office/excel/2006/main">
          <x14:cfRule type="containsText" priority="1680" operator="containsText" id="{8E7425B4-69D1-4C82-B24D-FFC91D30F8A6}">
            <xm:f>NOT(ISERROR(SEARCH("SM-2024/",J112)))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J112</xm:sqref>
        </x14:conditionalFormatting>
        <x14:conditionalFormatting xmlns:xm="http://schemas.microsoft.com/office/excel/2006/main">
          <x14:cfRule type="containsText" priority="1677" operator="containsText" id="{EA3DBE46-31A5-40F0-8CDA-810415EA7CD1}">
            <xm:f>NOT(ISERROR(SEARCH("SM-2024/",K112)))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K112</xm:sqref>
        </x14:conditionalFormatting>
        <x14:conditionalFormatting xmlns:xm="http://schemas.microsoft.com/office/excel/2006/main">
          <x14:cfRule type="containsText" priority="1665" operator="containsText" id="{6526EB05-A3CD-4735-AF06-5006F198803C}">
            <xm:f>NOT(ISERROR(SEARCH("SM-2024/",J111)))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J111</xm:sqref>
        </x14:conditionalFormatting>
        <x14:conditionalFormatting xmlns:xm="http://schemas.microsoft.com/office/excel/2006/main">
          <x14:cfRule type="containsText" priority="1662" operator="containsText" id="{CF02E5F7-836A-4CA1-9C37-F8EDF728B8F1}">
            <xm:f>NOT(ISERROR(SEARCH("SM-2024/",K111)))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K111</xm:sqref>
        </x14:conditionalFormatting>
        <x14:conditionalFormatting xmlns:xm="http://schemas.microsoft.com/office/excel/2006/main">
          <x14:cfRule type="containsText" priority="1650" operator="containsText" id="{FFBC9C7A-B290-476F-8AEB-CB51A2767B7D}">
            <xm:f>NOT(ISERROR(SEARCH("SM-2024/",J110)))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J110</xm:sqref>
        </x14:conditionalFormatting>
        <x14:conditionalFormatting xmlns:xm="http://schemas.microsoft.com/office/excel/2006/main">
          <x14:cfRule type="containsText" priority="1647" operator="containsText" id="{FFE93A2B-000B-4029-9C8C-B2AE18A5E4A7}">
            <xm:f>NOT(ISERROR(SEARCH("SM-2024/",K110)))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K110</xm:sqref>
        </x14:conditionalFormatting>
        <x14:conditionalFormatting xmlns:xm="http://schemas.microsoft.com/office/excel/2006/main">
          <x14:cfRule type="containsText" priority="1635" operator="containsText" id="{DB9C6F27-1BBA-4F00-821A-81844FF1529B}">
            <xm:f>NOT(ISERROR(SEARCH("SM-2024/",J109)))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J109</xm:sqref>
        </x14:conditionalFormatting>
        <x14:conditionalFormatting xmlns:xm="http://schemas.microsoft.com/office/excel/2006/main">
          <x14:cfRule type="containsText" priority="1632" operator="containsText" id="{79B578D8-C8FD-4A3A-87F1-2000DB08C502}">
            <xm:f>NOT(ISERROR(SEARCH("SM-2024/",K109)))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K109</xm:sqref>
        </x14:conditionalFormatting>
        <x14:conditionalFormatting xmlns:xm="http://schemas.microsoft.com/office/excel/2006/main">
          <x14:cfRule type="containsText" priority="1620" operator="containsText" id="{E4BC716F-AB35-4226-B546-C34737B23EA8}">
            <xm:f>NOT(ISERROR(SEARCH("SM-2024/",J108)))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J108</xm:sqref>
        </x14:conditionalFormatting>
        <x14:conditionalFormatting xmlns:xm="http://schemas.microsoft.com/office/excel/2006/main">
          <x14:cfRule type="containsText" priority="1617" operator="containsText" id="{2EF10748-8956-47E8-A32A-8E928FDE52FB}">
            <xm:f>NOT(ISERROR(SEARCH("SM-2024/",K108)))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K108</xm:sqref>
        </x14:conditionalFormatting>
        <x14:conditionalFormatting xmlns:xm="http://schemas.microsoft.com/office/excel/2006/main">
          <x14:cfRule type="containsText" priority="1605" operator="containsText" id="{740F2F95-5A5D-4076-9129-047F00B57D89}">
            <xm:f>NOT(ISERROR(SEARCH("SM-2024/",J107)))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J107</xm:sqref>
        </x14:conditionalFormatting>
        <x14:conditionalFormatting xmlns:xm="http://schemas.microsoft.com/office/excel/2006/main">
          <x14:cfRule type="containsText" priority="1602" operator="containsText" id="{2553B234-2A01-4D55-A1ED-FED39C92FD23}">
            <xm:f>NOT(ISERROR(SEARCH("SM-2024/",K107)))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K107</xm:sqref>
        </x14:conditionalFormatting>
        <x14:conditionalFormatting xmlns:xm="http://schemas.microsoft.com/office/excel/2006/main">
          <x14:cfRule type="containsText" priority="1590" operator="containsText" id="{44934C5E-8374-42F7-93E7-AACEF111341C}">
            <xm:f>NOT(ISERROR(SEARCH("SM-2024/",J106)))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J106</xm:sqref>
        </x14:conditionalFormatting>
        <x14:conditionalFormatting xmlns:xm="http://schemas.microsoft.com/office/excel/2006/main">
          <x14:cfRule type="containsText" priority="1587" operator="containsText" id="{BAC545EC-A1AD-4129-B4E2-DB659C962D40}">
            <xm:f>NOT(ISERROR(SEARCH("SM-2024/",K106)))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K106</xm:sqref>
        </x14:conditionalFormatting>
        <x14:conditionalFormatting xmlns:xm="http://schemas.microsoft.com/office/excel/2006/main">
          <x14:cfRule type="containsText" priority="1575" operator="containsText" id="{F7534CC2-FC1E-4A9D-BD9F-C5EC7BABE369}">
            <xm:f>NOT(ISERROR(SEARCH("SM-2024/",J105)))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J105</xm:sqref>
        </x14:conditionalFormatting>
        <x14:conditionalFormatting xmlns:xm="http://schemas.microsoft.com/office/excel/2006/main">
          <x14:cfRule type="containsText" priority="1572" operator="containsText" id="{BECC193D-6366-42CB-87F7-AC79016DC5A2}">
            <xm:f>NOT(ISERROR(SEARCH("SM-2024/",K105)))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K105</xm:sqref>
        </x14:conditionalFormatting>
        <x14:conditionalFormatting xmlns:xm="http://schemas.microsoft.com/office/excel/2006/main">
          <x14:cfRule type="containsText" priority="1560" operator="containsText" id="{2FA53F8C-4B74-4318-AE62-41A2ECAB0B34}">
            <xm:f>NOT(ISERROR(SEARCH("SM-2024/",J104)))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J104</xm:sqref>
        </x14:conditionalFormatting>
        <x14:conditionalFormatting xmlns:xm="http://schemas.microsoft.com/office/excel/2006/main">
          <x14:cfRule type="containsText" priority="1557" operator="containsText" id="{8122DAD6-D4D2-4778-8855-683B7802153F}">
            <xm:f>NOT(ISERROR(SEARCH("SM-2024/",K104)))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K104</xm:sqref>
        </x14:conditionalFormatting>
        <x14:conditionalFormatting xmlns:xm="http://schemas.microsoft.com/office/excel/2006/main">
          <x14:cfRule type="containsText" priority="1545" operator="containsText" id="{AE1F17ED-F0FF-443B-B3D7-9B916F2F59B6}">
            <xm:f>NOT(ISERROR(SEARCH("SM-2024/",J103)))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J103</xm:sqref>
        </x14:conditionalFormatting>
        <x14:conditionalFormatting xmlns:xm="http://schemas.microsoft.com/office/excel/2006/main">
          <x14:cfRule type="containsText" priority="1542" operator="containsText" id="{783363B1-DE59-4382-A327-3C79022CB45C}">
            <xm:f>NOT(ISERROR(SEARCH("SM-2024/",K103)))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K103</xm:sqref>
        </x14:conditionalFormatting>
        <x14:conditionalFormatting xmlns:xm="http://schemas.microsoft.com/office/excel/2006/main">
          <x14:cfRule type="containsText" priority="1530" operator="containsText" id="{BF1C3B65-29BB-40ED-BE3F-0954A19D1D58}">
            <xm:f>NOT(ISERROR(SEARCH("SM-2024/",J102)))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J102</xm:sqref>
        </x14:conditionalFormatting>
        <x14:conditionalFormatting xmlns:xm="http://schemas.microsoft.com/office/excel/2006/main">
          <x14:cfRule type="containsText" priority="1527" operator="containsText" id="{34D62719-2D17-4BC4-86E3-4D91FD65C23A}">
            <xm:f>NOT(ISERROR(SEARCH("SM-2024/",K102)))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K102</xm:sqref>
        </x14:conditionalFormatting>
        <x14:conditionalFormatting xmlns:xm="http://schemas.microsoft.com/office/excel/2006/main">
          <x14:cfRule type="containsText" priority="1515" operator="containsText" id="{38A2B1DC-7764-4AEE-874F-842A7F4A6658}">
            <xm:f>NOT(ISERROR(SEARCH("SM-2024/",J101)))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J101</xm:sqref>
        </x14:conditionalFormatting>
        <x14:conditionalFormatting xmlns:xm="http://schemas.microsoft.com/office/excel/2006/main">
          <x14:cfRule type="containsText" priority="1512" operator="containsText" id="{20EA3EC7-9777-46EA-822F-8A652D73A8B7}">
            <xm:f>NOT(ISERROR(SEARCH("SM-2024/",K101)))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K101</xm:sqref>
        </x14:conditionalFormatting>
        <x14:conditionalFormatting xmlns:xm="http://schemas.microsoft.com/office/excel/2006/main">
          <x14:cfRule type="containsText" priority="1500" operator="containsText" id="{439CE532-872F-4B9E-B0ED-1781E280AD34}">
            <xm:f>NOT(ISERROR(SEARCH("SM-2024/",J100)))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J100</xm:sqref>
        </x14:conditionalFormatting>
        <x14:conditionalFormatting xmlns:xm="http://schemas.microsoft.com/office/excel/2006/main">
          <x14:cfRule type="containsText" priority="1497" operator="containsText" id="{317A56FE-51E7-4C4E-88D5-AA833EFA8636}">
            <xm:f>NOT(ISERROR(SEARCH("SM-2024/",K100)))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K100</xm:sqref>
        </x14:conditionalFormatting>
        <x14:conditionalFormatting xmlns:xm="http://schemas.microsoft.com/office/excel/2006/main">
          <x14:cfRule type="containsText" priority="1485" operator="containsText" id="{3504808B-FFF4-41FF-948F-AC070C6C883B}">
            <xm:f>NOT(ISERROR(SEARCH("SM-2024/",J99)))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J99</xm:sqref>
        </x14:conditionalFormatting>
        <x14:conditionalFormatting xmlns:xm="http://schemas.microsoft.com/office/excel/2006/main">
          <x14:cfRule type="containsText" priority="1482" operator="containsText" id="{8AF3C3AA-46F5-4BCF-8405-C9D068C9A821}">
            <xm:f>NOT(ISERROR(SEARCH("SM-2024/",K99)))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K99</xm:sqref>
        </x14:conditionalFormatting>
        <x14:conditionalFormatting xmlns:xm="http://schemas.microsoft.com/office/excel/2006/main">
          <x14:cfRule type="containsText" priority="1470" operator="containsText" id="{189C6B92-CD15-4C61-9B17-A374CA8CFA50}">
            <xm:f>NOT(ISERROR(SEARCH("SM-2024/",J98)))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J98</xm:sqref>
        </x14:conditionalFormatting>
        <x14:conditionalFormatting xmlns:xm="http://schemas.microsoft.com/office/excel/2006/main">
          <x14:cfRule type="containsText" priority="1467" operator="containsText" id="{98DBC23D-EE9F-4350-A2F6-5BF751A86079}">
            <xm:f>NOT(ISERROR(SEARCH("SM-2024/",K98)))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K98</xm:sqref>
        </x14:conditionalFormatting>
        <x14:conditionalFormatting xmlns:xm="http://schemas.microsoft.com/office/excel/2006/main">
          <x14:cfRule type="containsText" priority="1455" operator="containsText" id="{0A1ED8DF-489F-4C7F-A668-631DD13FDFBF}">
            <xm:f>NOT(ISERROR(SEARCH("SM-2024/",J97)))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J97</xm:sqref>
        </x14:conditionalFormatting>
        <x14:conditionalFormatting xmlns:xm="http://schemas.microsoft.com/office/excel/2006/main">
          <x14:cfRule type="containsText" priority="1452" operator="containsText" id="{E77077D2-CFDE-4D3F-9ED9-3CAAC5584942}">
            <xm:f>NOT(ISERROR(SEARCH("SM-2024/",K97)))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K97</xm:sqref>
        </x14:conditionalFormatting>
        <x14:conditionalFormatting xmlns:xm="http://schemas.microsoft.com/office/excel/2006/main">
          <x14:cfRule type="containsText" priority="1440" operator="containsText" id="{F9AB953D-5061-4C46-9F75-612493676BFB}">
            <xm:f>NOT(ISERROR(SEARCH("SM-2024/",J96)))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J96</xm:sqref>
        </x14:conditionalFormatting>
        <x14:conditionalFormatting xmlns:xm="http://schemas.microsoft.com/office/excel/2006/main">
          <x14:cfRule type="containsText" priority="1437" operator="containsText" id="{413CA3B8-F784-4EC2-AC0E-8A8E6CE0ABF2}">
            <xm:f>NOT(ISERROR(SEARCH("SM-2024/",K96)))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K96</xm:sqref>
        </x14:conditionalFormatting>
        <x14:conditionalFormatting xmlns:xm="http://schemas.microsoft.com/office/excel/2006/main">
          <x14:cfRule type="containsText" priority="1425" operator="containsText" id="{B2CBB8F4-2DED-41F7-81AA-DC50AECA743D}">
            <xm:f>NOT(ISERROR(SEARCH("SM-2024/",J95)))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J95</xm:sqref>
        </x14:conditionalFormatting>
        <x14:conditionalFormatting xmlns:xm="http://schemas.microsoft.com/office/excel/2006/main">
          <x14:cfRule type="containsText" priority="1422" operator="containsText" id="{DD64C171-544F-4DD3-8762-67C5D74EFD16}">
            <xm:f>NOT(ISERROR(SEARCH("SM-2024/",K95)))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K95</xm:sqref>
        </x14:conditionalFormatting>
        <x14:conditionalFormatting xmlns:xm="http://schemas.microsoft.com/office/excel/2006/main">
          <x14:cfRule type="containsText" priority="1410" operator="containsText" id="{C3465C5B-6C87-4D0B-B1B6-CE16DEC1EF98}">
            <xm:f>NOT(ISERROR(SEARCH("SM-2024/",J94)))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J94</xm:sqref>
        </x14:conditionalFormatting>
        <x14:conditionalFormatting xmlns:xm="http://schemas.microsoft.com/office/excel/2006/main">
          <x14:cfRule type="containsText" priority="1407" operator="containsText" id="{68B1BB95-BF48-4735-AA07-E57BDF1C89F4}">
            <xm:f>NOT(ISERROR(SEARCH("SM-2024/",K94)))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K94</xm:sqref>
        </x14:conditionalFormatting>
        <x14:conditionalFormatting xmlns:xm="http://schemas.microsoft.com/office/excel/2006/main">
          <x14:cfRule type="containsText" priority="1395" operator="containsText" id="{84859279-2F36-4FCC-A9CB-A9A7ABA89C14}">
            <xm:f>NOT(ISERROR(SEARCH("SM-2024/",J93)))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J93</xm:sqref>
        </x14:conditionalFormatting>
        <x14:conditionalFormatting xmlns:xm="http://schemas.microsoft.com/office/excel/2006/main">
          <x14:cfRule type="containsText" priority="1392" operator="containsText" id="{F4AF3AF6-6249-4300-B5A7-060200FA42A9}">
            <xm:f>NOT(ISERROR(SEARCH("SM-2024/",K93)))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K93</xm:sqref>
        </x14:conditionalFormatting>
        <x14:conditionalFormatting xmlns:xm="http://schemas.microsoft.com/office/excel/2006/main">
          <x14:cfRule type="containsText" priority="1380" operator="containsText" id="{1AAD31EA-9BD7-415A-AD9B-3890C50C502B}">
            <xm:f>NOT(ISERROR(SEARCH("SM-2024/",J92)))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J92</xm:sqref>
        </x14:conditionalFormatting>
        <x14:conditionalFormatting xmlns:xm="http://schemas.microsoft.com/office/excel/2006/main">
          <x14:cfRule type="containsText" priority="1377" operator="containsText" id="{DF13114F-D3F6-41F1-9D53-2CA0F31C0DD4}">
            <xm:f>NOT(ISERROR(SEARCH("SM-2024/",K92)))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K92</xm:sqref>
        </x14:conditionalFormatting>
        <x14:conditionalFormatting xmlns:xm="http://schemas.microsoft.com/office/excel/2006/main">
          <x14:cfRule type="containsText" priority="1365" operator="containsText" id="{C779A620-F44A-4B3D-8900-E8FE84539BFE}">
            <xm:f>NOT(ISERROR(SEARCH("SM-2024/",J91)))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J91</xm:sqref>
        </x14:conditionalFormatting>
        <x14:conditionalFormatting xmlns:xm="http://schemas.microsoft.com/office/excel/2006/main">
          <x14:cfRule type="containsText" priority="1362" operator="containsText" id="{33DF7BBA-6B61-46B6-B919-E99687CD2EE5}">
            <xm:f>NOT(ISERROR(SEARCH("SM-2024/",K91)))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K91</xm:sqref>
        </x14:conditionalFormatting>
        <x14:conditionalFormatting xmlns:xm="http://schemas.microsoft.com/office/excel/2006/main">
          <x14:cfRule type="containsText" priority="1350" operator="containsText" id="{60E14B7E-7294-4BAB-856C-C7992F377B2C}">
            <xm:f>NOT(ISERROR(SEARCH("SM-2024/",J90)))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J90</xm:sqref>
        </x14:conditionalFormatting>
        <x14:conditionalFormatting xmlns:xm="http://schemas.microsoft.com/office/excel/2006/main">
          <x14:cfRule type="containsText" priority="1347" operator="containsText" id="{EBB2FE9E-C1A4-4138-9795-898DB4C577DB}">
            <xm:f>NOT(ISERROR(SEARCH("SM-2024/",K90)))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K90</xm:sqref>
        </x14:conditionalFormatting>
        <x14:conditionalFormatting xmlns:xm="http://schemas.microsoft.com/office/excel/2006/main">
          <x14:cfRule type="containsText" priority="1335" operator="containsText" id="{58E1B58A-A453-4390-8826-798BA686825A}">
            <xm:f>NOT(ISERROR(SEARCH("SM-2024/",J89)))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J89</xm:sqref>
        </x14:conditionalFormatting>
        <x14:conditionalFormatting xmlns:xm="http://schemas.microsoft.com/office/excel/2006/main">
          <x14:cfRule type="containsText" priority="1332" operator="containsText" id="{77F81AC1-1393-4D3F-8CE8-A411E71F9B9D}">
            <xm:f>NOT(ISERROR(SEARCH("SM-2024/",K89)))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K89</xm:sqref>
        </x14:conditionalFormatting>
        <x14:conditionalFormatting xmlns:xm="http://schemas.microsoft.com/office/excel/2006/main">
          <x14:cfRule type="containsText" priority="1320" operator="containsText" id="{0E9599C4-6FF4-409E-96A8-F056253DB3BE}">
            <xm:f>NOT(ISERROR(SEARCH("SM-2024/",J88)))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J88</xm:sqref>
        </x14:conditionalFormatting>
        <x14:conditionalFormatting xmlns:xm="http://schemas.microsoft.com/office/excel/2006/main">
          <x14:cfRule type="containsText" priority="1317" operator="containsText" id="{EEE973E8-02E8-4822-B3B2-A21F49314EF7}">
            <xm:f>NOT(ISERROR(SEARCH("SM-2024/",K88)))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K88</xm:sqref>
        </x14:conditionalFormatting>
        <x14:conditionalFormatting xmlns:xm="http://schemas.microsoft.com/office/excel/2006/main">
          <x14:cfRule type="containsText" priority="1305" operator="containsText" id="{920D1439-D460-48E6-A131-08E1B0ADB890}">
            <xm:f>NOT(ISERROR(SEARCH("SM-2024/",J87)))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J87</xm:sqref>
        </x14:conditionalFormatting>
        <x14:conditionalFormatting xmlns:xm="http://schemas.microsoft.com/office/excel/2006/main">
          <x14:cfRule type="containsText" priority="1302" operator="containsText" id="{2B34FB91-AB39-4C88-AD4B-8CCDEF752AA4}">
            <xm:f>NOT(ISERROR(SEARCH("SM-2024/",K87)))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K87</xm:sqref>
        </x14:conditionalFormatting>
        <x14:conditionalFormatting xmlns:xm="http://schemas.microsoft.com/office/excel/2006/main">
          <x14:cfRule type="containsText" priority="1290" operator="containsText" id="{BD56F49E-9061-4202-AA77-CF5B0872F078}">
            <xm:f>NOT(ISERROR(SEARCH("SM-2024/",J86)))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J86</xm:sqref>
        </x14:conditionalFormatting>
        <x14:conditionalFormatting xmlns:xm="http://schemas.microsoft.com/office/excel/2006/main">
          <x14:cfRule type="containsText" priority="1287" operator="containsText" id="{79BED639-F2AA-4734-A042-A9162DEA305D}">
            <xm:f>NOT(ISERROR(SEARCH("SM-2024/",K86)))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K86</xm:sqref>
        </x14:conditionalFormatting>
        <x14:conditionalFormatting xmlns:xm="http://schemas.microsoft.com/office/excel/2006/main">
          <x14:cfRule type="containsText" priority="1275" operator="containsText" id="{31340FE1-EBA2-4DBF-A572-6BEA1CB8EF87}">
            <xm:f>NOT(ISERROR(SEARCH("SM-2024/",J85)))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J85</xm:sqref>
        </x14:conditionalFormatting>
        <x14:conditionalFormatting xmlns:xm="http://schemas.microsoft.com/office/excel/2006/main">
          <x14:cfRule type="containsText" priority="1272" operator="containsText" id="{105D2DE5-4EEB-4EB4-BC40-AF2BE73FFC86}">
            <xm:f>NOT(ISERROR(SEARCH("SM-2024/",K85)))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K85</xm:sqref>
        </x14:conditionalFormatting>
        <x14:conditionalFormatting xmlns:xm="http://schemas.microsoft.com/office/excel/2006/main">
          <x14:cfRule type="containsText" priority="1260" operator="containsText" id="{4B3881C5-7770-4441-824C-AEBE06D32743}">
            <xm:f>NOT(ISERROR(SEARCH("SM-2024/",J84)))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J84</xm:sqref>
        </x14:conditionalFormatting>
        <x14:conditionalFormatting xmlns:xm="http://schemas.microsoft.com/office/excel/2006/main">
          <x14:cfRule type="containsText" priority="1257" operator="containsText" id="{29068247-A983-4EBA-8EC9-DB8866B5B736}">
            <xm:f>NOT(ISERROR(SEARCH("SM-2024/",K84)))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K84</xm:sqref>
        </x14:conditionalFormatting>
        <x14:conditionalFormatting xmlns:xm="http://schemas.microsoft.com/office/excel/2006/main">
          <x14:cfRule type="containsText" priority="1245" operator="containsText" id="{C62726A6-18F6-4D24-B00F-67C7BC38F7AB}">
            <xm:f>NOT(ISERROR(SEARCH("SM-2024/",J83)))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J83</xm:sqref>
        </x14:conditionalFormatting>
        <x14:conditionalFormatting xmlns:xm="http://schemas.microsoft.com/office/excel/2006/main">
          <x14:cfRule type="containsText" priority="1242" operator="containsText" id="{B3A1DCDF-36D9-4702-8875-9DD4E1B1D9FF}">
            <xm:f>NOT(ISERROR(SEARCH("SM-2024/",K83)))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K83</xm:sqref>
        </x14:conditionalFormatting>
        <x14:conditionalFormatting xmlns:xm="http://schemas.microsoft.com/office/excel/2006/main">
          <x14:cfRule type="containsText" priority="1230" operator="containsText" id="{C06EAAD5-A133-4D43-9D87-89B5135CA04D}">
            <xm:f>NOT(ISERROR(SEARCH("SM-2024/",J82)))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J82</xm:sqref>
        </x14:conditionalFormatting>
        <x14:conditionalFormatting xmlns:xm="http://schemas.microsoft.com/office/excel/2006/main">
          <x14:cfRule type="containsText" priority="1227" operator="containsText" id="{3AB34D15-A24F-44D2-8C59-446AC05D50C9}">
            <xm:f>NOT(ISERROR(SEARCH("SM-2024/",K82)))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K82</xm:sqref>
        </x14:conditionalFormatting>
        <x14:conditionalFormatting xmlns:xm="http://schemas.microsoft.com/office/excel/2006/main">
          <x14:cfRule type="containsText" priority="1215" operator="containsText" id="{8E842BDC-F13F-48FB-9DE7-F5B9BE09946A}">
            <xm:f>NOT(ISERROR(SEARCH("SM-2024/",J81)))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J81</xm:sqref>
        </x14:conditionalFormatting>
        <x14:conditionalFormatting xmlns:xm="http://schemas.microsoft.com/office/excel/2006/main">
          <x14:cfRule type="containsText" priority="1212" operator="containsText" id="{6DB9AD60-A80D-4D3E-8419-FF39ABC13EB6}">
            <xm:f>NOT(ISERROR(SEARCH("SM-2024/",K81)))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K81</xm:sqref>
        </x14:conditionalFormatting>
        <x14:conditionalFormatting xmlns:xm="http://schemas.microsoft.com/office/excel/2006/main">
          <x14:cfRule type="containsText" priority="1200" operator="containsText" id="{CBD4A18F-96A7-4B29-9E16-35F6C8C0FFBC}">
            <xm:f>NOT(ISERROR(SEARCH("SM-2024/",J80)))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J80</xm:sqref>
        </x14:conditionalFormatting>
        <x14:conditionalFormatting xmlns:xm="http://schemas.microsoft.com/office/excel/2006/main">
          <x14:cfRule type="containsText" priority="1197" operator="containsText" id="{B712C84B-0ECC-4987-B68C-1B519FD7AFD5}">
            <xm:f>NOT(ISERROR(SEARCH("SM-2024/",K80)))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K80</xm:sqref>
        </x14:conditionalFormatting>
        <x14:conditionalFormatting xmlns:xm="http://schemas.microsoft.com/office/excel/2006/main">
          <x14:cfRule type="containsText" priority="1185" operator="containsText" id="{43297569-0E4C-4043-B46D-4124A9AC1101}">
            <xm:f>NOT(ISERROR(SEARCH("SM-2024/",J79)))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J79</xm:sqref>
        </x14:conditionalFormatting>
        <x14:conditionalFormatting xmlns:xm="http://schemas.microsoft.com/office/excel/2006/main">
          <x14:cfRule type="containsText" priority="1182" operator="containsText" id="{B41B2996-0107-4D09-AB23-1C85BCEC55FF}">
            <xm:f>NOT(ISERROR(SEARCH("SM-2024/",K79)))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K79</xm:sqref>
        </x14:conditionalFormatting>
        <x14:conditionalFormatting xmlns:xm="http://schemas.microsoft.com/office/excel/2006/main">
          <x14:cfRule type="containsText" priority="1170" operator="containsText" id="{BB194CD0-C8D4-4483-A557-3BDE07E12290}">
            <xm:f>NOT(ISERROR(SEARCH("SM-2024/",J78)))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J78</xm:sqref>
        </x14:conditionalFormatting>
        <x14:conditionalFormatting xmlns:xm="http://schemas.microsoft.com/office/excel/2006/main">
          <x14:cfRule type="containsText" priority="1167" operator="containsText" id="{0AB28A60-49A6-42A8-9FCA-8779A8627D99}">
            <xm:f>NOT(ISERROR(SEARCH("SM-2024/",K78)))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K78</xm:sqref>
        </x14:conditionalFormatting>
        <x14:conditionalFormatting xmlns:xm="http://schemas.microsoft.com/office/excel/2006/main">
          <x14:cfRule type="containsText" priority="1155" operator="containsText" id="{71E4E23D-EC58-49A8-A66F-F08B13FF6536}">
            <xm:f>NOT(ISERROR(SEARCH("SM-2024/",J77)))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J77</xm:sqref>
        </x14:conditionalFormatting>
        <x14:conditionalFormatting xmlns:xm="http://schemas.microsoft.com/office/excel/2006/main">
          <x14:cfRule type="containsText" priority="1152" operator="containsText" id="{C3A8B55E-F651-4929-92C6-D98182522AB7}">
            <xm:f>NOT(ISERROR(SEARCH("SM-2024/",K77)))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K77</xm:sqref>
        </x14:conditionalFormatting>
        <x14:conditionalFormatting xmlns:xm="http://schemas.microsoft.com/office/excel/2006/main">
          <x14:cfRule type="containsText" priority="1140" operator="containsText" id="{3DD831CB-16A3-4FAB-BE45-225F14DDB8C6}">
            <xm:f>NOT(ISERROR(SEARCH("SM-2024/",J76)))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J76</xm:sqref>
        </x14:conditionalFormatting>
        <x14:conditionalFormatting xmlns:xm="http://schemas.microsoft.com/office/excel/2006/main">
          <x14:cfRule type="containsText" priority="1137" operator="containsText" id="{474CE796-5A97-49E8-A8B7-01DE1765747E}">
            <xm:f>NOT(ISERROR(SEARCH("SM-2024/",K76)))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K76</xm:sqref>
        </x14:conditionalFormatting>
        <x14:conditionalFormatting xmlns:xm="http://schemas.microsoft.com/office/excel/2006/main">
          <x14:cfRule type="containsText" priority="1125" operator="containsText" id="{CAD3E0F2-2594-45F0-902C-8E9524F7FC78}">
            <xm:f>NOT(ISERROR(SEARCH("SM-2024/",J75)))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J75</xm:sqref>
        </x14:conditionalFormatting>
        <x14:conditionalFormatting xmlns:xm="http://schemas.microsoft.com/office/excel/2006/main">
          <x14:cfRule type="containsText" priority="1122" operator="containsText" id="{7AE07DB1-35B4-42F0-985E-94323361A03F}">
            <xm:f>NOT(ISERROR(SEARCH("SM-2024/",K75)))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K75</xm:sqref>
        </x14:conditionalFormatting>
        <x14:conditionalFormatting xmlns:xm="http://schemas.microsoft.com/office/excel/2006/main">
          <x14:cfRule type="containsText" priority="1110" operator="containsText" id="{5FD46D78-9064-4485-9639-6D5768E2536A}">
            <xm:f>NOT(ISERROR(SEARCH("SM-2024/",J74)))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J74</xm:sqref>
        </x14:conditionalFormatting>
        <x14:conditionalFormatting xmlns:xm="http://schemas.microsoft.com/office/excel/2006/main">
          <x14:cfRule type="containsText" priority="1107" operator="containsText" id="{177A9EDF-2CDE-46F5-AB15-9EBAFB4C3603}">
            <xm:f>NOT(ISERROR(SEARCH("SM-2024/",K74)))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K74</xm:sqref>
        </x14:conditionalFormatting>
        <x14:conditionalFormatting xmlns:xm="http://schemas.microsoft.com/office/excel/2006/main">
          <x14:cfRule type="containsText" priority="1095" operator="containsText" id="{A606F3DD-E15F-4BD9-A5D1-EE021D8E2323}">
            <xm:f>NOT(ISERROR(SEARCH("SM-2024/",J73)))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J73</xm:sqref>
        </x14:conditionalFormatting>
        <x14:conditionalFormatting xmlns:xm="http://schemas.microsoft.com/office/excel/2006/main">
          <x14:cfRule type="containsText" priority="1092" operator="containsText" id="{D4CD7EE8-5DB4-4247-BE59-A7DF2DA6A7AD}">
            <xm:f>NOT(ISERROR(SEARCH("SM-2024/",K73)))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K73</xm:sqref>
        </x14:conditionalFormatting>
        <x14:conditionalFormatting xmlns:xm="http://schemas.microsoft.com/office/excel/2006/main">
          <x14:cfRule type="containsText" priority="1080" operator="containsText" id="{372BCC17-8911-499C-B9E6-E2AA1D99AB9E}">
            <xm:f>NOT(ISERROR(SEARCH("SM-2024/",J72)))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J72</xm:sqref>
        </x14:conditionalFormatting>
        <x14:conditionalFormatting xmlns:xm="http://schemas.microsoft.com/office/excel/2006/main">
          <x14:cfRule type="containsText" priority="1077" operator="containsText" id="{B65FE56A-69B3-4102-8508-02D793092E47}">
            <xm:f>NOT(ISERROR(SEARCH("SM-2024/",K72)))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K72</xm:sqref>
        </x14:conditionalFormatting>
        <x14:conditionalFormatting xmlns:xm="http://schemas.microsoft.com/office/excel/2006/main">
          <x14:cfRule type="containsText" priority="1065" operator="containsText" id="{BE751473-2F02-45EF-A362-99B49940DD16}">
            <xm:f>NOT(ISERROR(SEARCH("SM-2024/",J71)))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J71</xm:sqref>
        </x14:conditionalFormatting>
        <x14:conditionalFormatting xmlns:xm="http://schemas.microsoft.com/office/excel/2006/main">
          <x14:cfRule type="containsText" priority="1062" operator="containsText" id="{50210519-1F05-4170-A27D-E238AAA493F6}">
            <xm:f>NOT(ISERROR(SEARCH("SM-2024/",K71)))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K71</xm:sqref>
        </x14:conditionalFormatting>
        <x14:conditionalFormatting xmlns:xm="http://schemas.microsoft.com/office/excel/2006/main">
          <x14:cfRule type="containsText" priority="1050" operator="containsText" id="{0DB78982-E2FD-4342-BFD8-B6DA37AF7641}">
            <xm:f>NOT(ISERROR(SEARCH("SM-2024/",J70)))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J70</xm:sqref>
        </x14:conditionalFormatting>
        <x14:conditionalFormatting xmlns:xm="http://schemas.microsoft.com/office/excel/2006/main">
          <x14:cfRule type="containsText" priority="1047" operator="containsText" id="{A13E8E0C-5709-4C6F-8A34-07031F60009B}">
            <xm:f>NOT(ISERROR(SEARCH("SM-2024/",K70)))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K70</xm:sqref>
        </x14:conditionalFormatting>
        <x14:conditionalFormatting xmlns:xm="http://schemas.microsoft.com/office/excel/2006/main">
          <x14:cfRule type="containsText" priority="1035" operator="containsText" id="{EEE665B6-97B0-43E6-A10B-29D3A9CAF2FD}">
            <xm:f>NOT(ISERROR(SEARCH("SM-2024/",J69)))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J69</xm:sqref>
        </x14:conditionalFormatting>
        <x14:conditionalFormatting xmlns:xm="http://schemas.microsoft.com/office/excel/2006/main">
          <x14:cfRule type="containsText" priority="1032" operator="containsText" id="{FFC885CA-D2C7-42E4-B7ED-6C1C5EA1A229}">
            <xm:f>NOT(ISERROR(SEARCH("SM-2024/",K69)))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K69</xm:sqref>
        </x14:conditionalFormatting>
        <x14:conditionalFormatting xmlns:xm="http://schemas.microsoft.com/office/excel/2006/main">
          <x14:cfRule type="containsText" priority="1020" operator="containsText" id="{E14EE8D4-2706-4255-9058-0AA0431A7B5B}">
            <xm:f>NOT(ISERROR(SEARCH("SM-2024/",J68)))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J68</xm:sqref>
        </x14:conditionalFormatting>
        <x14:conditionalFormatting xmlns:xm="http://schemas.microsoft.com/office/excel/2006/main">
          <x14:cfRule type="containsText" priority="1017" operator="containsText" id="{6DC757D9-9065-4B54-8F97-1AA03E7C45CD}">
            <xm:f>NOT(ISERROR(SEARCH("SM-2024/",K68)))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K68</xm:sqref>
        </x14:conditionalFormatting>
        <x14:conditionalFormatting xmlns:xm="http://schemas.microsoft.com/office/excel/2006/main">
          <x14:cfRule type="containsText" priority="1005" operator="containsText" id="{3612D13A-77ED-4453-9E33-F1CB5AE70907}">
            <xm:f>NOT(ISERROR(SEARCH("SM-2024/",J67)))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J67</xm:sqref>
        </x14:conditionalFormatting>
        <x14:conditionalFormatting xmlns:xm="http://schemas.microsoft.com/office/excel/2006/main">
          <x14:cfRule type="containsText" priority="1002" operator="containsText" id="{69A1177B-8EFF-427C-9EA5-455B72C2A3F3}">
            <xm:f>NOT(ISERROR(SEARCH("SM-2024/",K67)))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K67</xm:sqref>
        </x14:conditionalFormatting>
        <x14:conditionalFormatting xmlns:xm="http://schemas.microsoft.com/office/excel/2006/main">
          <x14:cfRule type="containsText" priority="990" operator="containsText" id="{C2F5EB58-DCDC-4001-8EB6-E4C0B375371E}">
            <xm:f>NOT(ISERROR(SEARCH("SM-2024/",J66)))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J66</xm:sqref>
        </x14:conditionalFormatting>
        <x14:conditionalFormatting xmlns:xm="http://schemas.microsoft.com/office/excel/2006/main">
          <x14:cfRule type="containsText" priority="987" operator="containsText" id="{A5940C11-6C43-4F7C-9719-AF4AEAC153A3}">
            <xm:f>NOT(ISERROR(SEARCH("SM-2024/",K66)))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K66</xm:sqref>
        </x14:conditionalFormatting>
        <x14:conditionalFormatting xmlns:xm="http://schemas.microsoft.com/office/excel/2006/main">
          <x14:cfRule type="containsText" priority="975" operator="containsText" id="{58054C26-A360-43BB-8499-1D4A11085B77}">
            <xm:f>NOT(ISERROR(SEARCH("SM-2024/",J65)))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J65</xm:sqref>
        </x14:conditionalFormatting>
        <x14:conditionalFormatting xmlns:xm="http://schemas.microsoft.com/office/excel/2006/main">
          <x14:cfRule type="containsText" priority="972" operator="containsText" id="{4C10CD0F-B160-4621-A276-BF2F2A1C3FFA}">
            <xm:f>NOT(ISERROR(SEARCH("SM-2024/",K65)))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K65</xm:sqref>
        </x14:conditionalFormatting>
        <x14:conditionalFormatting xmlns:xm="http://schemas.microsoft.com/office/excel/2006/main">
          <x14:cfRule type="containsText" priority="960" operator="containsText" id="{945014B7-CFFE-4256-B5BE-51C5DB428451}">
            <xm:f>NOT(ISERROR(SEARCH("SM-2024/",J64)))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J64</xm:sqref>
        </x14:conditionalFormatting>
        <x14:conditionalFormatting xmlns:xm="http://schemas.microsoft.com/office/excel/2006/main">
          <x14:cfRule type="containsText" priority="957" operator="containsText" id="{B1D02B6F-D128-4A8D-8406-64AAE5072328}">
            <xm:f>NOT(ISERROR(SEARCH("SM-2024/",K64)))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K64</xm:sqref>
        </x14:conditionalFormatting>
        <x14:conditionalFormatting xmlns:xm="http://schemas.microsoft.com/office/excel/2006/main">
          <x14:cfRule type="containsText" priority="945" operator="containsText" id="{2B7A40BA-AE99-476A-B00C-E4164D953E84}">
            <xm:f>NOT(ISERROR(SEARCH("SM-2024/",J63)))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J63</xm:sqref>
        </x14:conditionalFormatting>
        <x14:conditionalFormatting xmlns:xm="http://schemas.microsoft.com/office/excel/2006/main">
          <x14:cfRule type="containsText" priority="942" operator="containsText" id="{20C24F34-815F-467B-8E09-A5B638693248}">
            <xm:f>NOT(ISERROR(SEARCH("SM-2024/",K63)))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K63</xm:sqref>
        </x14:conditionalFormatting>
        <x14:conditionalFormatting xmlns:xm="http://schemas.microsoft.com/office/excel/2006/main">
          <x14:cfRule type="containsText" priority="930" operator="containsText" id="{0AF44D4C-4921-4449-8A9E-8D2CFA5F7246}">
            <xm:f>NOT(ISERROR(SEARCH("SM-2024/",J62)))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J62</xm:sqref>
        </x14:conditionalFormatting>
        <x14:conditionalFormatting xmlns:xm="http://schemas.microsoft.com/office/excel/2006/main">
          <x14:cfRule type="containsText" priority="927" operator="containsText" id="{4F1738BE-1F75-4AC6-AD3E-C6B479CFF6E8}">
            <xm:f>NOT(ISERROR(SEARCH("SM-2024/",K62)))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K62</xm:sqref>
        </x14:conditionalFormatting>
        <x14:conditionalFormatting xmlns:xm="http://schemas.microsoft.com/office/excel/2006/main">
          <x14:cfRule type="containsText" priority="915" operator="containsText" id="{F0D9BC41-0BFB-4DE6-A3A1-11C9BEA103FA}">
            <xm:f>NOT(ISERROR(SEARCH("SM-2024/",J61)))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J61</xm:sqref>
        </x14:conditionalFormatting>
        <x14:conditionalFormatting xmlns:xm="http://schemas.microsoft.com/office/excel/2006/main">
          <x14:cfRule type="containsText" priority="912" operator="containsText" id="{C5CB24EA-F7D0-44DF-9174-CA704C040641}">
            <xm:f>NOT(ISERROR(SEARCH("SM-2024/",K61)))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K61</xm:sqref>
        </x14:conditionalFormatting>
        <x14:conditionalFormatting xmlns:xm="http://schemas.microsoft.com/office/excel/2006/main">
          <x14:cfRule type="containsText" priority="900" operator="containsText" id="{3F949E03-BD7E-4F28-9BE2-FC4C5EAB430C}">
            <xm:f>NOT(ISERROR(SEARCH("SM-2024/",J60)))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J60</xm:sqref>
        </x14:conditionalFormatting>
        <x14:conditionalFormatting xmlns:xm="http://schemas.microsoft.com/office/excel/2006/main">
          <x14:cfRule type="containsText" priority="897" operator="containsText" id="{D0E80828-3FDD-4250-B1A1-6D40D498D350}">
            <xm:f>NOT(ISERROR(SEARCH("SM-2024/",K60)))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K60</xm:sqref>
        </x14:conditionalFormatting>
        <x14:conditionalFormatting xmlns:xm="http://schemas.microsoft.com/office/excel/2006/main">
          <x14:cfRule type="containsText" priority="885" operator="containsText" id="{3B737C13-3622-4FDA-9527-CD5D7EDEEC36}">
            <xm:f>NOT(ISERROR(SEARCH("SM-2024/",J59)))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J59</xm:sqref>
        </x14:conditionalFormatting>
        <x14:conditionalFormatting xmlns:xm="http://schemas.microsoft.com/office/excel/2006/main">
          <x14:cfRule type="containsText" priority="882" operator="containsText" id="{4989AB74-4C0D-4417-A2EF-8D5F77A4CD1D}">
            <xm:f>NOT(ISERROR(SEARCH("SM-2024/",K59)))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K59</xm:sqref>
        </x14:conditionalFormatting>
        <x14:conditionalFormatting xmlns:xm="http://schemas.microsoft.com/office/excel/2006/main">
          <x14:cfRule type="containsText" priority="870" operator="containsText" id="{17451436-FFAA-4355-9722-5543F92B0F95}">
            <xm:f>NOT(ISERROR(SEARCH("SM-2024/",J58)))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J58</xm:sqref>
        </x14:conditionalFormatting>
        <x14:conditionalFormatting xmlns:xm="http://schemas.microsoft.com/office/excel/2006/main">
          <x14:cfRule type="containsText" priority="867" operator="containsText" id="{3AE63EF5-2EB4-423A-AC76-01563AA857BE}">
            <xm:f>NOT(ISERROR(SEARCH("SM-2024/",K58)))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K58</xm:sqref>
        </x14:conditionalFormatting>
        <x14:conditionalFormatting xmlns:xm="http://schemas.microsoft.com/office/excel/2006/main">
          <x14:cfRule type="containsText" priority="855" operator="containsText" id="{22F9E55B-5407-4BAF-9828-3489C9128365}">
            <xm:f>NOT(ISERROR(SEARCH("SM-2024/",J57)))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J57</xm:sqref>
        </x14:conditionalFormatting>
        <x14:conditionalFormatting xmlns:xm="http://schemas.microsoft.com/office/excel/2006/main">
          <x14:cfRule type="containsText" priority="852" operator="containsText" id="{B8210128-569E-49A8-B447-96FDF66AE803}">
            <xm:f>NOT(ISERROR(SEARCH("SM-2024/",K57)))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K57</xm:sqref>
        </x14:conditionalFormatting>
        <x14:conditionalFormatting xmlns:xm="http://schemas.microsoft.com/office/excel/2006/main">
          <x14:cfRule type="containsText" priority="840" operator="containsText" id="{740B8985-2666-4A75-9DEE-9F82711479B3}">
            <xm:f>NOT(ISERROR(SEARCH("SM-2024/",J56)))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J56</xm:sqref>
        </x14:conditionalFormatting>
        <x14:conditionalFormatting xmlns:xm="http://schemas.microsoft.com/office/excel/2006/main">
          <x14:cfRule type="containsText" priority="837" operator="containsText" id="{E10FF1E3-561E-4F12-B418-661F95A0D919}">
            <xm:f>NOT(ISERROR(SEARCH("SM-2024/",K56)))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K56</xm:sqref>
        </x14:conditionalFormatting>
        <x14:conditionalFormatting xmlns:xm="http://schemas.microsoft.com/office/excel/2006/main">
          <x14:cfRule type="containsText" priority="825" operator="containsText" id="{47D04F4B-0C46-40F1-843F-FA2D0AE52039}">
            <xm:f>NOT(ISERROR(SEARCH("SM-2024/",J55)))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J55</xm:sqref>
        </x14:conditionalFormatting>
        <x14:conditionalFormatting xmlns:xm="http://schemas.microsoft.com/office/excel/2006/main">
          <x14:cfRule type="containsText" priority="822" operator="containsText" id="{C4889529-BB84-49CC-A69C-0623C0D906DA}">
            <xm:f>NOT(ISERROR(SEARCH("SM-2024/",K55)))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K55</xm:sqref>
        </x14:conditionalFormatting>
        <x14:conditionalFormatting xmlns:xm="http://schemas.microsoft.com/office/excel/2006/main">
          <x14:cfRule type="containsText" priority="810" operator="containsText" id="{660B5CE7-8A5D-4FA9-960F-ABE7EDA955CC}">
            <xm:f>NOT(ISERROR(SEARCH("SM-2024/",J54)))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J54</xm:sqref>
        </x14:conditionalFormatting>
        <x14:conditionalFormatting xmlns:xm="http://schemas.microsoft.com/office/excel/2006/main">
          <x14:cfRule type="containsText" priority="807" operator="containsText" id="{8D8AE8CF-F7AF-49A4-9F03-BB0BED0AB076}">
            <xm:f>NOT(ISERROR(SEARCH("SM-2024/",K54)))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K54</xm:sqref>
        </x14:conditionalFormatting>
        <x14:conditionalFormatting xmlns:xm="http://schemas.microsoft.com/office/excel/2006/main">
          <x14:cfRule type="containsText" priority="795" operator="containsText" id="{CB044798-3599-4BFB-BAB9-3A2A5F583295}">
            <xm:f>NOT(ISERROR(SEARCH("SM-2024/",J53)))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J53</xm:sqref>
        </x14:conditionalFormatting>
        <x14:conditionalFormatting xmlns:xm="http://schemas.microsoft.com/office/excel/2006/main">
          <x14:cfRule type="containsText" priority="792" operator="containsText" id="{EE2B2C80-95C6-4F4E-B768-87D9609FC1F4}">
            <xm:f>NOT(ISERROR(SEARCH("SM-2024/",K53)))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K53</xm:sqref>
        </x14:conditionalFormatting>
        <x14:conditionalFormatting xmlns:xm="http://schemas.microsoft.com/office/excel/2006/main">
          <x14:cfRule type="containsText" priority="780" operator="containsText" id="{E190B60F-9703-4B25-BB27-ACCDB46AA575}">
            <xm:f>NOT(ISERROR(SEARCH("SM-2024/",J52)))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J52</xm:sqref>
        </x14:conditionalFormatting>
        <x14:conditionalFormatting xmlns:xm="http://schemas.microsoft.com/office/excel/2006/main">
          <x14:cfRule type="containsText" priority="777" operator="containsText" id="{E04E1520-8681-4EB7-8627-5EA540E69632}">
            <xm:f>NOT(ISERROR(SEARCH("SM-2024/",K52)))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K52</xm:sqref>
        </x14:conditionalFormatting>
        <x14:conditionalFormatting xmlns:xm="http://schemas.microsoft.com/office/excel/2006/main">
          <x14:cfRule type="containsText" priority="765" operator="containsText" id="{99EE75C0-E75A-4712-9EC1-4504C83C424C}">
            <xm:f>NOT(ISERROR(SEARCH("SM-2024/",J51)))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J51</xm:sqref>
        </x14:conditionalFormatting>
        <x14:conditionalFormatting xmlns:xm="http://schemas.microsoft.com/office/excel/2006/main">
          <x14:cfRule type="containsText" priority="762" operator="containsText" id="{2CDC3912-B47E-4565-8791-803B847C36D0}">
            <xm:f>NOT(ISERROR(SEARCH("SM-2024/",K51)))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K51</xm:sqref>
        </x14:conditionalFormatting>
        <x14:conditionalFormatting xmlns:xm="http://schemas.microsoft.com/office/excel/2006/main">
          <x14:cfRule type="containsText" priority="750" operator="containsText" id="{C47C705A-207A-4693-8126-CA2CA9864FEC}">
            <xm:f>NOT(ISERROR(SEARCH("SM-2024/",J50)))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J50</xm:sqref>
        </x14:conditionalFormatting>
        <x14:conditionalFormatting xmlns:xm="http://schemas.microsoft.com/office/excel/2006/main">
          <x14:cfRule type="containsText" priority="747" operator="containsText" id="{2E8A88A6-AA63-4CEA-955F-4F7C0F9C85D7}">
            <xm:f>NOT(ISERROR(SEARCH("SM-2024/",K50)))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K50</xm:sqref>
        </x14:conditionalFormatting>
        <x14:conditionalFormatting xmlns:xm="http://schemas.microsoft.com/office/excel/2006/main">
          <x14:cfRule type="containsText" priority="735" operator="containsText" id="{EFEEADE6-FA09-4AA2-B737-30ACE4712012}">
            <xm:f>NOT(ISERROR(SEARCH("SM-2024/",J49)))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J49</xm:sqref>
        </x14:conditionalFormatting>
        <x14:conditionalFormatting xmlns:xm="http://schemas.microsoft.com/office/excel/2006/main">
          <x14:cfRule type="containsText" priority="732" operator="containsText" id="{F8FA1FEE-9584-41C2-9109-EB675DE75965}">
            <xm:f>NOT(ISERROR(SEARCH("SM-2024/",K49)))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K49</xm:sqref>
        </x14:conditionalFormatting>
        <x14:conditionalFormatting xmlns:xm="http://schemas.microsoft.com/office/excel/2006/main">
          <x14:cfRule type="containsText" priority="720" operator="containsText" id="{A6D1C2C6-1F2B-4C0B-A8AE-F54C343173D8}">
            <xm:f>NOT(ISERROR(SEARCH("SM-2024/",J48)))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J48</xm:sqref>
        </x14:conditionalFormatting>
        <x14:conditionalFormatting xmlns:xm="http://schemas.microsoft.com/office/excel/2006/main">
          <x14:cfRule type="containsText" priority="717" operator="containsText" id="{A4AF5306-6B58-4455-AA1C-F67D6287C055}">
            <xm:f>NOT(ISERROR(SEARCH("SM-2024/",K48)))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K48</xm:sqref>
        </x14:conditionalFormatting>
        <x14:conditionalFormatting xmlns:xm="http://schemas.microsoft.com/office/excel/2006/main">
          <x14:cfRule type="containsText" priority="703" operator="containsText" id="{88529661-F7E8-47E8-842F-FEE7B4651201}">
            <xm:f>NOT(ISERROR(SEARCH("SM-2024/",J47)))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J47</xm:sqref>
        </x14:conditionalFormatting>
        <x14:conditionalFormatting xmlns:xm="http://schemas.microsoft.com/office/excel/2006/main">
          <x14:cfRule type="containsText" priority="700" operator="containsText" id="{56E8506C-66D9-41E8-90F6-C32EF1FC0FAA}">
            <xm:f>NOT(ISERROR(SEARCH("SM-2024/",K47)))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K47</xm:sqref>
        </x14:conditionalFormatting>
        <x14:conditionalFormatting xmlns:xm="http://schemas.microsoft.com/office/excel/2006/main">
          <x14:cfRule type="containsText" priority="688" operator="containsText" id="{B4CE41CD-5D11-4CCD-AB24-88AD4F7D488F}">
            <xm:f>NOT(ISERROR(SEARCH("SM-2024/",J46)))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J46</xm:sqref>
        </x14:conditionalFormatting>
        <x14:conditionalFormatting xmlns:xm="http://schemas.microsoft.com/office/excel/2006/main">
          <x14:cfRule type="containsText" priority="685" operator="containsText" id="{81FCFE12-F612-4F35-8FDB-99941C8205DB}">
            <xm:f>NOT(ISERROR(SEARCH("SM-2024/",K46)))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K46</xm:sqref>
        </x14:conditionalFormatting>
        <x14:conditionalFormatting xmlns:xm="http://schemas.microsoft.com/office/excel/2006/main">
          <x14:cfRule type="containsText" priority="673" operator="containsText" id="{35BA40D3-DA83-4FED-984C-3E543CCAD604}">
            <xm:f>NOT(ISERROR(SEARCH("SM-2024/",J45)))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J45</xm:sqref>
        </x14:conditionalFormatting>
        <x14:conditionalFormatting xmlns:xm="http://schemas.microsoft.com/office/excel/2006/main">
          <x14:cfRule type="containsText" priority="670" operator="containsText" id="{26A28593-1959-4375-A7CC-23899D37C84E}">
            <xm:f>NOT(ISERROR(SEARCH("SM-2024/",K45)))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K45</xm:sqref>
        </x14:conditionalFormatting>
        <x14:conditionalFormatting xmlns:xm="http://schemas.microsoft.com/office/excel/2006/main">
          <x14:cfRule type="containsText" priority="658" operator="containsText" id="{0CF3E02C-7425-457D-B8BC-EC60CDBF5F45}">
            <xm:f>NOT(ISERROR(SEARCH("SM-2024/",J44)))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J44</xm:sqref>
        </x14:conditionalFormatting>
        <x14:conditionalFormatting xmlns:xm="http://schemas.microsoft.com/office/excel/2006/main">
          <x14:cfRule type="containsText" priority="655" operator="containsText" id="{C4EF1C01-326B-4A99-8628-98065E85A7C2}">
            <xm:f>NOT(ISERROR(SEARCH("SM-2024/",K44)))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K44</xm:sqref>
        </x14:conditionalFormatting>
        <x14:conditionalFormatting xmlns:xm="http://schemas.microsoft.com/office/excel/2006/main">
          <x14:cfRule type="containsText" priority="643" operator="containsText" id="{AD9EF5C2-ACCF-44E7-B8B1-636AB68CE806}">
            <xm:f>NOT(ISERROR(SEARCH("SM-2024/",J43)))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J43</xm:sqref>
        </x14:conditionalFormatting>
        <x14:conditionalFormatting xmlns:xm="http://schemas.microsoft.com/office/excel/2006/main">
          <x14:cfRule type="containsText" priority="640" operator="containsText" id="{BAC8D24E-595B-409E-A287-F8F3CB58D96B}">
            <xm:f>NOT(ISERROR(SEARCH("SM-2024/",K43)))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K43</xm:sqref>
        </x14:conditionalFormatting>
        <x14:conditionalFormatting xmlns:xm="http://schemas.microsoft.com/office/excel/2006/main">
          <x14:cfRule type="containsText" priority="628" operator="containsText" id="{3E522451-69F9-4352-B9E8-53B47A057E6C}">
            <xm:f>NOT(ISERROR(SEARCH("SM-2024/",J42)))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J42</xm:sqref>
        </x14:conditionalFormatting>
        <x14:conditionalFormatting xmlns:xm="http://schemas.microsoft.com/office/excel/2006/main">
          <x14:cfRule type="containsText" priority="625" operator="containsText" id="{BDD71851-4293-49E4-A533-F3EA158628AF}">
            <xm:f>NOT(ISERROR(SEARCH("SM-2024/",K42)))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K42</xm:sqref>
        </x14:conditionalFormatting>
        <x14:conditionalFormatting xmlns:xm="http://schemas.microsoft.com/office/excel/2006/main">
          <x14:cfRule type="containsText" priority="613" operator="containsText" id="{CBB7A0A7-526D-4595-A9C4-6B7A76ABBA61}">
            <xm:f>NOT(ISERROR(SEARCH("SM-2024/",J41)))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J41</xm:sqref>
        </x14:conditionalFormatting>
        <x14:conditionalFormatting xmlns:xm="http://schemas.microsoft.com/office/excel/2006/main">
          <x14:cfRule type="containsText" priority="610" operator="containsText" id="{451C7115-F324-445C-8363-2C055FF676BF}">
            <xm:f>NOT(ISERROR(SEARCH("SM-2024/",K41)))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K41</xm:sqref>
        </x14:conditionalFormatting>
        <x14:conditionalFormatting xmlns:xm="http://schemas.microsoft.com/office/excel/2006/main">
          <x14:cfRule type="containsText" priority="598" operator="containsText" id="{819DEECC-D54D-4575-B1AF-DEE740954CD3}">
            <xm:f>NOT(ISERROR(SEARCH("SM-2024/",J40)))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J40</xm:sqref>
        </x14:conditionalFormatting>
        <x14:conditionalFormatting xmlns:xm="http://schemas.microsoft.com/office/excel/2006/main">
          <x14:cfRule type="containsText" priority="595" operator="containsText" id="{0F1B6A62-54F5-4DDB-8586-75F7DEC33312}">
            <xm:f>NOT(ISERROR(SEARCH("SM-2024/",K40)))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K40</xm:sqref>
        </x14:conditionalFormatting>
        <x14:conditionalFormatting xmlns:xm="http://schemas.microsoft.com/office/excel/2006/main">
          <x14:cfRule type="containsText" priority="583" operator="containsText" id="{EA30035D-4F58-457C-923D-D0737A52CC9B}">
            <xm:f>NOT(ISERROR(SEARCH("SM-2024/",J39)))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J39</xm:sqref>
        </x14:conditionalFormatting>
        <x14:conditionalFormatting xmlns:xm="http://schemas.microsoft.com/office/excel/2006/main">
          <x14:cfRule type="containsText" priority="580" operator="containsText" id="{A835EAE7-C77B-44CA-8E81-B3BB027A18EC}">
            <xm:f>NOT(ISERROR(SEARCH("SM-2024/",K39)))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K39</xm:sqref>
        </x14:conditionalFormatting>
        <x14:conditionalFormatting xmlns:xm="http://schemas.microsoft.com/office/excel/2006/main">
          <x14:cfRule type="containsText" priority="568" operator="containsText" id="{C5AD787B-AEC3-4686-ACDD-88A901FCB0E0}">
            <xm:f>NOT(ISERROR(SEARCH("SM-2024/",J38)))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containsText" priority="565" operator="containsText" id="{D5E25DD5-8315-4394-9537-1642A99D9780}">
            <xm:f>NOT(ISERROR(SEARCH("SM-2024/",K38)))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K38</xm:sqref>
        </x14:conditionalFormatting>
        <x14:conditionalFormatting xmlns:xm="http://schemas.microsoft.com/office/excel/2006/main">
          <x14:cfRule type="containsText" priority="553" operator="containsText" id="{4EF6B1A2-8C5B-4E1F-B9BD-56F283C144DD}">
            <xm:f>NOT(ISERROR(SEARCH("SM-2024/",J37)))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containsText" priority="550" operator="containsText" id="{8C1128B6-D2F9-456C-9F64-A36844555CC9}">
            <xm:f>NOT(ISERROR(SEARCH("SM-2024/",K37)))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K37</xm:sqref>
        </x14:conditionalFormatting>
        <x14:conditionalFormatting xmlns:xm="http://schemas.microsoft.com/office/excel/2006/main">
          <x14:cfRule type="containsText" priority="538" operator="containsText" id="{CD2DB483-79A1-481F-A08F-990A3047EF0D}">
            <xm:f>NOT(ISERROR(SEARCH("SM-2024/",J36)))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containsText" priority="535" operator="containsText" id="{6C33E74D-54E1-4791-B6AE-950B4EA32DCA}">
            <xm:f>NOT(ISERROR(SEARCH("SM-2024/",K36)))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K36</xm:sqref>
        </x14:conditionalFormatting>
        <x14:conditionalFormatting xmlns:xm="http://schemas.microsoft.com/office/excel/2006/main">
          <x14:cfRule type="containsText" priority="523" operator="containsText" id="{557A0A6D-FCEC-4F1D-A5F8-F530BBFF2B94}">
            <xm:f>NOT(ISERROR(SEARCH("SM-2024/",J35)))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520" operator="containsText" id="{5C084A0C-C0B8-42FD-B32D-877CB33C9E3F}">
            <xm:f>NOT(ISERROR(SEARCH("SM-2024/",K35)))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K35</xm:sqref>
        </x14:conditionalFormatting>
        <x14:conditionalFormatting xmlns:xm="http://schemas.microsoft.com/office/excel/2006/main">
          <x14:cfRule type="containsText" priority="508" operator="containsText" id="{8FE703C8-B68E-4EDC-8121-910FF36D3F42}">
            <xm:f>NOT(ISERROR(SEARCH("SM-2024/",J34)))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containsText" priority="505" operator="containsText" id="{B36B9EB2-3707-4748-9F67-CB7CE68AC281}">
            <xm:f>NOT(ISERROR(SEARCH("SM-2024/",K34)))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K34</xm:sqref>
        </x14:conditionalFormatting>
        <x14:conditionalFormatting xmlns:xm="http://schemas.microsoft.com/office/excel/2006/main">
          <x14:cfRule type="containsText" priority="493" operator="containsText" id="{70719DC5-24E5-4898-ACA7-7C3BDE76267D}">
            <xm:f>NOT(ISERROR(SEARCH("SM-2024/",J33)))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containsText" priority="490" operator="containsText" id="{D3603E8A-5A41-46D1-A3F3-99168DB86C04}">
            <xm:f>NOT(ISERROR(SEARCH("SM-2024/",K33)))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K33</xm:sqref>
        </x14:conditionalFormatting>
        <x14:conditionalFormatting xmlns:xm="http://schemas.microsoft.com/office/excel/2006/main">
          <x14:cfRule type="containsText" priority="478" operator="containsText" id="{BA571107-E3AB-4B3D-9AAD-DE6C0576D0AB}">
            <xm:f>NOT(ISERROR(SEARCH("SM-2024/",J32)))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containsText" priority="475" operator="containsText" id="{DE62C31D-862D-459D-80E4-95B1CD047D65}">
            <xm:f>NOT(ISERROR(SEARCH("SM-2024/",K32)))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K32</xm:sqref>
        </x14:conditionalFormatting>
        <x14:conditionalFormatting xmlns:xm="http://schemas.microsoft.com/office/excel/2006/main">
          <x14:cfRule type="containsText" priority="463" operator="containsText" id="{6FC6AC01-05B5-44CA-9252-2BF021615598}">
            <xm:f>NOT(ISERROR(SEARCH("SM-2024/",J31)))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containsText" priority="460" operator="containsText" id="{6C307AD8-B0CE-4108-9E01-9B9DE764CAEC}">
            <xm:f>NOT(ISERROR(SEARCH("SM-2024/",K31)))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K31</xm:sqref>
        </x14:conditionalFormatting>
        <x14:conditionalFormatting xmlns:xm="http://schemas.microsoft.com/office/excel/2006/main">
          <x14:cfRule type="containsText" priority="448" operator="containsText" id="{CC7F1C7C-B50A-4224-AA16-2F2F5DB4C2AF}">
            <xm:f>NOT(ISERROR(SEARCH("SM-2024/",J30)))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containsText" priority="445" operator="containsText" id="{7D66A41E-2ACF-4ED4-B2BC-2B361DE747E8}">
            <xm:f>NOT(ISERROR(SEARCH("SM-2024/",K30)))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K30</xm:sqref>
        </x14:conditionalFormatting>
        <x14:conditionalFormatting xmlns:xm="http://schemas.microsoft.com/office/excel/2006/main">
          <x14:cfRule type="containsText" priority="433" operator="containsText" id="{72AB33D6-E984-45E6-8EF0-BB579881524D}">
            <xm:f>NOT(ISERROR(SEARCH("SM-2024/",J29)))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containsText" priority="430" operator="containsText" id="{EF31B468-F943-488A-BC89-BE23D995EC60}">
            <xm:f>NOT(ISERROR(SEARCH("SM-2024/",K29)))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ontainsText" priority="418" operator="containsText" id="{F69B5926-19FE-45CA-9060-53D7B9FACFE5}">
            <xm:f>NOT(ISERROR(SEARCH("SM-2024/",J28)))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containsText" priority="415" operator="containsText" id="{BD8B2975-E14B-4521-942E-93A31082A0B0}">
            <xm:f>NOT(ISERROR(SEARCH("SM-2024/",K28)))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K28</xm:sqref>
        </x14:conditionalFormatting>
        <x14:conditionalFormatting xmlns:xm="http://schemas.microsoft.com/office/excel/2006/main">
          <x14:cfRule type="containsText" priority="403" operator="containsText" id="{1F391CB6-FFB6-469A-A0C8-D9BF22200E81}">
            <xm:f>NOT(ISERROR(SEARCH("SM-2024/",J27)))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containsText" priority="400" operator="containsText" id="{3989E5B3-7AAC-43EC-B46C-0D331DB85D11}">
            <xm:f>NOT(ISERROR(SEARCH("SM-2024/",K27)))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K27</xm:sqref>
        </x14:conditionalFormatting>
        <x14:conditionalFormatting xmlns:xm="http://schemas.microsoft.com/office/excel/2006/main">
          <x14:cfRule type="containsText" priority="388" operator="containsText" id="{79BD8F24-DD88-45AE-BD92-3DE1E8675CFF}">
            <xm:f>NOT(ISERROR(SEARCH("SM-2024/",J26)))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containsText" priority="385" operator="containsText" id="{632D21E9-1355-4B00-B91A-7EBAE76DD31E}">
            <xm:f>NOT(ISERROR(SEARCH("SM-2024/",K26)))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K26</xm:sqref>
        </x14:conditionalFormatting>
        <x14:conditionalFormatting xmlns:xm="http://schemas.microsoft.com/office/excel/2006/main">
          <x14:cfRule type="containsText" priority="373" operator="containsText" id="{3BA10D42-2802-47E7-8997-FB8C7495E61D}">
            <xm:f>NOT(ISERROR(SEARCH("SM-2024/",J25)))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370" operator="containsText" id="{C4DC1EC5-4AF5-440B-AA65-44D2AE569DE9}">
            <xm:f>NOT(ISERROR(SEARCH("SM-2024/",K25)))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K25</xm:sqref>
        </x14:conditionalFormatting>
        <x14:conditionalFormatting xmlns:xm="http://schemas.microsoft.com/office/excel/2006/main">
          <x14:cfRule type="containsText" priority="358" operator="containsText" id="{9C8E88A0-B9B7-4585-ADFA-49FAB6A4EE4E}">
            <xm:f>NOT(ISERROR(SEARCH("SM-2024/",J24)))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containsText" priority="355" operator="containsText" id="{5F81FF23-7860-4C3E-B2EA-E2EAE43CF872}">
            <xm:f>NOT(ISERROR(SEARCH("SM-2024/",K24)))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K24</xm:sqref>
        </x14:conditionalFormatting>
        <x14:conditionalFormatting xmlns:xm="http://schemas.microsoft.com/office/excel/2006/main">
          <x14:cfRule type="containsText" priority="343" operator="containsText" id="{504E8D2B-C2A3-4C9E-B4C9-7BFC42EAB169}">
            <xm:f>NOT(ISERROR(SEARCH("SM-2024/",J23)))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containsText" priority="340" operator="containsText" id="{1DEA54D4-2BE8-494D-84D0-76F7C8722B64}">
            <xm:f>NOT(ISERROR(SEARCH("SM-2024/",K23)))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K23</xm:sqref>
        </x14:conditionalFormatting>
        <x14:conditionalFormatting xmlns:xm="http://schemas.microsoft.com/office/excel/2006/main">
          <x14:cfRule type="containsText" priority="328" operator="containsText" id="{E39D7006-A8FA-4D28-A1D1-CE8392483059}">
            <xm:f>NOT(ISERROR(SEARCH("SM-2024/",J22)))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containsText" priority="325" operator="containsText" id="{C5DA261A-C4AD-4961-9BEE-FC740D4B1A20}">
            <xm:f>NOT(ISERROR(SEARCH("SM-2024/",K22)))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K22</xm:sqref>
        </x14:conditionalFormatting>
        <x14:conditionalFormatting xmlns:xm="http://schemas.microsoft.com/office/excel/2006/main">
          <x14:cfRule type="containsText" priority="313" operator="containsText" id="{36D147B7-FECC-4E7F-B8B3-E7901E1DDF26}">
            <xm:f>NOT(ISERROR(SEARCH("SM-2024/",J21)))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containsText" priority="310" operator="containsText" id="{7BE657E3-E318-4BDE-9CF6-A643FAD327E7}">
            <xm:f>NOT(ISERROR(SEARCH("SM-2024/",K21)))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K21</xm:sqref>
        </x14:conditionalFormatting>
        <x14:conditionalFormatting xmlns:xm="http://schemas.microsoft.com/office/excel/2006/main">
          <x14:cfRule type="containsText" priority="298" operator="containsText" id="{911644A1-755D-4BF5-8461-16BF0CB9B46F}">
            <xm:f>NOT(ISERROR(SEARCH("SM-2024/",J20)))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containsText" priority="295" operator="containsText" id="{8F47FB7B-3513-4AFF-89A7-4B71BEC884C4}">
            <xm:f>NOT(ISERROR(SEARCH("SM-2024/",K20)))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K20</xm:sqref>
        </x14:conditionalFormatting>
        <x14:conditionalFormatting xmlns:xm="http://schemas.microsoft.com/office/excel/2006/main">
          <x14:cfRule type="containsText" priority="283" operator="containsText" id="{73FC5FD7-60E3-41FE-8B22-68A1D9E93BD8}">
            <xm:f>NOT(ISERROR(SEARCH("SM-2024/",J19)))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containsText" priority="280" operator="containsText" id="{814DA403-C076-4E6E-83CD-4D336EE07F98}">
            <xm:f>NOT(ISERROR(SEARCH("SM-2024/",K19)))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K19</xm:sqref>
        </x14:conditionalFormatting>
        <x14:conditionalFormatting xmlns:xm="http://schemas.microsoft.com/office/excel/2006/main">
          <x14:cfRule type="containsText" priority="268" operator="containsText" id="{4DC08B5B-8987-4502-BF13-CB86D6F6C009}">
            <xm:f>NOT(ISERROR(SEARCH("SM-2024/",J18)))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containsText" priority="265" operator="containsText" id="{ED962A80-AEFB-4124-8BE4-7EB7DBEE8C52}">
            <xm:f>NOT(ISERROR(SEARCH("SM-2024/",K18)))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K18</xm:sqref>
        </x14:conditionalFormatting>
        <x14:conditionalFormatting xmlns:xm="http://schemas.microsoft.com/office/excel/2006/main">
          <x14:cfRule type="containsText" priority="253" operator="containsText" id="{32BBA280-8AA5-438C-827D-3A0CDC0F26EE}">
            <xm:f>NOT(ISERROR(SEARCH("SM-2024/",J17)))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containsText" priority="250" operator="containsText" id="{CAF59AD4-9CDB-4E9E-AD6F-4BF574167FB0}">
            <xm:f>NOT(ISERROR(SEARCH("SM-2024/",K17)))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K17</xm:sqref>
        </x14:conditionalFormatting>
        <x14:conditionalFormatting xmlns:xm="http://schemas.microsoft.com/office/excel/2006/main">
          <x14:cfRule type="containsText" priority="238" operator="containsText" id="{EDCC4CC5-41BC-4FE0-B96D-292E113CF456}">
            <xm:f>NOT(ISERROR(SEARCH("SM-2024/",J16)))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containsText" priority="235" operator="containsText" id="{B0994772-34EF-480D-85D5-DBD66474D05A}">
            <xm:f>NOT(ISERROR(SEARCH("SM-2024/",K16)))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K16</xm:sqref>
        </x14:conditionalFormatting>
        <x14:conditionalFormatting xmlns:xm="http://schemas.microsoft.com/office/excel/2006/main">
          <x14:cfRule type="containsText" priority="232" operator="containsText" id="{C1EB2BFA-DA60-42BA-BF95-6C292B847B71}">
            <xm:f>NOT(ISERROR(SEARCH("SM-2024/",C16)))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C16</xm:sqref>
        </x14:conditionalFormatting>
        <x14:conditionalFormatting xmlns:xm="http://schemas.microsoft.com/office/excel/2006/main">
          <x14:cfRule type="containsText" priority="220" operator="containsText" id="{C8A3F291-3BC3-4BF6-963E-6F5BD08582E7}">
            <xm:f>NOT(ISERROR(SEARCH("SM-2024/",J15)))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containsText" priority="217" operator="containsText" id="{23E2922A-32E8-417D-8A14-965A451F54B3}">
            <xm:f>NOT(ISERROR(SEARCH("SM-2024/",K15)))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K15</xm:sqref>
        </x14:conditionalFormatting>
        <x14:conditionalFormatting xmlns:xm="http://schemas.microsoft.com/office/excel/2006/main">
          <x14:cfRule type="containsText" priority="205" operator="containsText" id="{0B9FD552-30CD-400B-A1F0-14A1775A0C7F}">
            <xm:f>NOT(ISERROR(SEARCH("SM-2024/",J14)))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containsText" priority="202" operator="containsText" id="{A10703D9-57C8-452E-84E7-33A1235B61A8}">
            <xm:f>NOT(ISERROR(SEARCH("SM-2024/",K14)))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K14</xm:sqref>
        </x14:conditionalFormatting>
        <x14:conditionalFormatting xmlns:xm="http://schemas.microsoft.com/office/excel/2006/main">
          <x14:cfRule type="containsText" priority="190" operator="containsText" id="{69EB0133-6C3C-4732-BD53-AC508D98640D}">
            <xm:f>NOT(ISERROR(SEARCH("SM-2024/",J13)))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containsText" priority="187" operator="containsText" id="{5796E3FD-4879-41C2-8EBD-47F934084E9F}">
            <xm:f>NOT(ISERROR(SEARCH("SM-2024/",K13)))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containsText" priority="175" operator="containsText" id="{36E1A70F-2250-4518-B8AC-C958514ADC5F}">
            <xm:f>NOT(ISERROR(SEARCH("SM-2024/",J12)))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containsText" priority="172" operator="containsText" id="{E48400FE-C816-40F2-A545-14A55203B080}">
            <xm:f>NOT(ISERROR(SEARCH("SM-2024/",K12)))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K12</xm:sqref>
        </x14:conditionalFormatting>
        <x14:conditionalFormatting xmlns:xm="http://schemas.microsoft.com/office/excel/2006/main">
          <x14:cfRule type="containsText" priority="160" operator="containsText" id="{FD41B8AA-FF47-4310-83EA-D599DEFD8061}">
            <xm:f>NOT(ISERROR(SEARCH("SM-2024/",J11)))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containsText" priority="157" operator="containsText" id="{9E6A0F52-5CE9-4868-987F-E11D6D85BB77}">
            <xm:f>NOT(ISERROR(SEARCH("SM-2024/",K11)))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K11</xm:sqref>
        </x14:conditionalFormatting>
        <x14:conditionalFormatting xmlns:xm="http://schemas.microsoft.com/office/excel/2006/main">
          <x14:cfRule type="containsText" priority="145" operator="containsText" id="{198E82C5-EC71-4E3E-93DF-9BE2C78F7284}">
            <xm:f>NOT(ISERROR(SEARCH("SM-2024/",J10)))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containsText" priority="142" operator="containsText" id="{1A9EB438-469A-4377-AD18-5CDC981E3222}">
            <xm:f>NOT(ISERROR(SEARCH("SM-2024/",K10)))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K10</xm:sqref>
        </x14:conditionalFormatting>
        <x14:conditionalFormatting xmlns:xm="http://schemas.microsoft.com/office/excel/2006/main">
          <x14:cfRule type="containsText" priority="130" operator="containsText" id="{91BEBD8F-C96F-4C69-ADF1-2C0D06A861D1}">
            <xm:f>NOT(ISERROR(SEARCH("SM-2024/",J9)))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containsText" priority="127" operator="containsText" id="{9EAE522C-61D0-4194-946A-421A45408558}">
            <xm:f>NOT(ISERROR(SEARCH("SM-2024/",K9)))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containsText" priority="115" operator="containsText" id="{1EB0F84B-5143-4418-A29E-8B49C22BC676}">
            <xm:f>NOT(ISERROR(SEARCH("SM-2024/",J8)))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J8</xm:sqref>
        </x14:conditionalFormatting>
        <x14:conditionalFormatting xmlns:xm="http://schemas.microsoft.com/office/excel/2006/main">
          <x14:cfRule type="containsText" priority="112" operator="containsText" id="{736629C6-5D9F-4F9B-B539-E4525DBDB699}">
            <xm:f>NOT(ISERROR(SEARCH("SM-2024/",K8)))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K8</xm:sqref>
        </x14:conditionalFormatting>
        <x14:conditionalFormatting xmlns:xm="http://schemas.microsoft.com/office/excel/2006/main">
          <x14:cfRule type="containsText" priority="100" operator="containsText" id="{C562D41D-6EDF-442C-AAA9-BF16E73B2729}">
            <xm:f>NOT(ISERROR(SEARCH("SM-2024/",J7)))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J7</xm:sqref>
        </x14:conditionalFormatting>
        <x14:conditionalFormatting xmlns:xm="http://schemas.microsoft.com/office/excel/2006/main">
          <x14:cfRule type="containsText" priority="97" operator="containsText" id="{35CAAB10-4C15-4399-A6D2-E26ECE28C628}">
            <xm:f>NOT(ISERROR(SEARCH("SM-2024/",K7)))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K7</xm:sqref>
        </x14:conditionalFormatting>
        <x14:conditionalFormatting xmlns:xm="http://schemas.microsoft.com/office/excel/2006/main">
          <x14:cfRule type="containsText" priority="85" operator="containsText" id="{3EEEDAAD-0952-428F-A337-B0F61FB9372D}">
            <xm:f>NOT(ISERROR(SEARCH("SM-2024/",J6)))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J6</xm:sqref>
        </x14:conditionalFormatting>
        <x14:conditionalFormatting xmlns:xm="http://schemas.microsoft.com/office/excel/2006/main">
          <x14:cfRule type="containsText" priority="82" operator="containsText" id="{02426FE0-A4E4-4D02-BAB8-578361D31222}">
            <xm:f>NOT(ISERROR(SEARCH("SM-2024/",K6)))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K6</xm:sqref>
        </x14:conditionalFormatting>
        <x14:conditionalFormatting xmlns:xm="http://schemas.microsoft.com/office/excel/2006/main">
          <x14:cfRule type="containsText" priority="70" operator="containsText" id="{AB235378-7AA9-4848-9E89-9C009B74CA44}">
            <xm:f>NOT(ISERROR(SEARCH("SM-2024/",J5)))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containsText" priority="67" operator="containsText" id="{947C65B1-CE4D-45F3-B470-B15D98BE2A2D}">
            <xm:f>NOT(ISERROR(SEARCH("SM-2024/",K5)))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containsText" priority="55" operator="containsText" id="{B159FF03-7AD2-4B43-A30F-F33D2F2F1D73}">
            <xm:f>NOT(ISERROR(SEARCH("SM-2024/",J4)))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J4</xm:sqref>
        </x14:conditionalFormatting>
        <x14:conditionalFormatting xmlns:xm="http://schemas.microsoft.com/office/excel/2006/main">
          <x14:cfRule type="containsText" priority="52" operator="containsText" id="{9620D732-9D5B-4FA8-B3F2-EBAB966453EF}">
            <xm:f>NOT(ISERROR(SEARCH("SM-2024/",K4)))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</xm:sqref>
        </x14:conditionalFormatting>
        <x14:conditionalFormatting xmlns:xm="http://schemas.microsoft.com/office/excel/2006/main">
          <x14:cfRule type="containsText" priority="40" operator="containsText" id="{CA954218-6EC2-4937-BC54-75C9A5A7B08A}">
            <xm:f>NOT(ISERROR(SEARCH("SM-2024/",J3)))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J3</xm:sqref>
        </x14:conditionalFormatting>
        <x14:conditionalFormatting xmlns:xm="http://schemas.microsoft.com/office/excel/2006/main">
          <x14:cfRule type="containsText" priority="37" operator="containsText" id="{5466EFB3-A41B-4F15-BB71-ACEADE5B73F3}">
            <xm:f>NOT(ISERROR(SEARCH("SM-2024/",K3)))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</xm:sqref>
        </x14:conditionalFormatting>
        <x14:conditionalFormatting xmlns:xm="http://schemas.microsoft.com/office/excel/2006/main">
          <x14:cfRule type="containsText" priority="34" operator="containsText" id="{9DF7BFBA-E5E9-4253-B280-5F29B50A1C52}">
            <xm:f>NOT(ISERROR(SEARCH("SM-2024/",K323)))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K323</xm:sqref>
        </x14:conditionalFormatting>
        <x14:conditionalFormatting xmlns:xm="http://schemas.microsoft.com/office/excel/2006/main">
          <x14:cfRule type="containsText" priority="31" operator="containsText" id="{A8721E3F-D234-4D9D-87B7-1C35D2100BB0}">
            <xm:f>NOT(ISERROR(SEARCH("SM-2024/",K379)))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K379</xm:sqref>
        </x14:conditionalFormatting>
        <x14:conditionalFormatting xmlns:xm="http://schemas.microsoft.com/office/excel/2006/main">
          <x14:cfRule type="containsText" priority="28" operator="containsText" id="{0B1413DA-3DB0-4D34-86C4-E552C3992FBF}">
            <xm:f>NOT(ISERROR(SEARCH("SM-2024/",K427)))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K427</xm:sqref>
        </x14:conditionalFormatting>
        <x14:conditionalFormatting xmlns:xm="http://schemas.microsoft.com/office/excel/2006/main">
          <x14:cfRule type="containsText" priority="25" operator="containsText" id="{3933E4D4-1437-4703-B1C2-34A0E3A16A6D}">
            <xm:f>NOT(ISERROR(SEARCH("SM-2024/",K429)))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K429</xm:sqref>
        </x14:conditionalFormatting>
        <x14:conditionalFormatting xmlns:xm="http://schemas.microsoft.com/office/excel/2006/main">
          <x14:cfRule type="containsText" priority="22" operator="containsText" id="{F5646F26-FCB5-462C-8F41-85D0EA64C887}">
            <xm:f>NOT(ISERROR(SEARCH("SM-2024/",K430)))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K430</xm:sqref>
        </x14:conditionalFormatting>
        <x14:conditionalFormatting xmlns:xm="http://schemas.microsoft.com/office/excel/2006/main">
          <x14:cfRule type="containsText" priority="19" operator="containsText" id="{B62F247C-1F29-4F4C-BCB9-33E6CE1E149E}">
            <xm:f>NOT(ISERROR(SEARCH("SM-2024/",K480)))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K480</xm:sqref>
        </x14:conditionalFormatting>
        <x14:conditionalFormatting xmlns:xm="http://schemas.microsoft.com/office/excel/2006/main">
          <x14:cfRule type="containsText" priority="16" operator="containsText" id="{9B66445C-17CA-4AF4-BB7B-42657F0AED77}">
            <xm:f>NOT(ISERROR(SEARCH("SM-2024/",K482)))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K482</xm:sqref>
        </x14:conditionalFormatting>
        <x14:conditionalFormatting xmlns:xm="http://schemas.microsoft.com/office/excel/2006/main">
          <x14:cfRule type="containsText" priority="4" operator="containsText" id="{575AEBD4-A1DB-4C12-B7EB-BF0986196305}">
            <xm:f>NOT(ISERROR(SEARCH("SM-2024/",J2)))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J2</xm:sqref>
        </x14:conditionalFormatting>
        <x14:conditionalFormatting xmlns:xm="http://schemas.microsoft.com/office/excel/2006/main">
          <x14:cfRule type="containsText" priority="1" operator="containsText" id="{241A8C81-0933-47CC-AF36-756C1FE32DBE}">
            <xm:f>NOT(ISERROR(SEARCH("SM-2024/",K2)))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7"/>
  <dimension ref="A1:H33"/>
  <sheetViews>
    <sheetView topLeftCell="B1" workbookViewId="0">
      <selection activeCell="H7" sqref="H7"/>
    </sheetView>
  </sheetViews>
  <sheetFormatPr defaultRowHeight="15" x14ac:dyDescent="0.25"/>
  <cols>
    <col min="1" max="2" width="25.28515625" customWidth="1"/>
    <col min="3" max="3" width="52.5703125" customWidth="1"/>
    <col min="4" max="6" width="25.28515625" customWidth="1"/>
    <col min="7" max="7" width="25.28515625" style="193" customWidth="1"/>
    <col min="8" max="8" width="25.28515625" customWidth="1"/>
  </cols>
  <sheetData>
    <row r="1" spans="1:8" ht="27" customHeight="1" thickBot="1" x14ac:dyDescent="0.3">
      <c r="A1" s="32" t="s">
        <v>0</v>
      </c>
      <c r="B1" s="32" t="s">
        <v>93</v>
      </c>
      <c r="C1" s="32" t="s">
        <v>1</v>
      </c>
      <c r="D1" s="32" t="s">
        <v>92</v>
      </c>
      <c r="E1" s="385" t="s">
        <v>119</v>
      </c>
      <c r="F1" s="32" t="s">
        <v>359</v>
      </c>
      <c r="G1" s="32" t="s">
        <v>1052</v>
      </c>
      <c r="H1" s="249">
        <f>37*40</f>
        <v>1480</v>
      </c>
    </row>
    <row r="2" spans="1:8" ht="15" customHeight="1" x14ac:dyDescent="0.25">
      <c r="A2" s="29">
        <v>45453</v>
      </c>
      <c r="B2" s="4" t="s">
        <v>27</v>
      </c>
      <c r="C2" s="4" t="s">
        <v>2500</v>
      </c>
      <c r="D2" s="4" t="s">
        <v>95</v>
      </c>
      <c r="E2" s="4" t="s">
        <v>2501</v>
      </c>
      <c r="F2" s="4" t="str">
        <f t="shared" ref="F2:F6" si="0">IFERROR(VLOOKUP(B2,targlist02,3,0),"Nincs Adat")</f>
        <v>Nincs Adat</v>
      </c>
      <c r="G2" s="409">
        <v>2</v>
      </c>
    </row>
    <row r="3" spans="1:8" ht="15" customHeight="1" x14ac:dyDescent="0.25">
      <c r="A3" s="3">
        <v>45453</v>
      </c>
      <c r="B3" s="2" t="s">
        <v>71</v>
      </c>
      <c r="C3" s="2" t="s">
        <v>2496</v>
      </c>
      <c r="D3" s="2" t="s">
        <v>95</v>
      </c>
      <c r="E3" s="2" t="s">
        <v>2497</v>
      </c>
      <c r="F3" s="2" t="str">
        <f t="shared" si="0"/>
        <v>Nincs Adat</v>
      </c>
      <c r="G3" s="317">
        <v>2</v>
      </c>
    </row>
    <row r="4" spans="1:8" ht="15" customHeight="1" x14ac:dyDescent="0.25">
      <c r="A4" s="3">
        <v>45447</v>
      </c>
      <c r="B4" s="2" t="s">
        <v>130</v>
      </c>
      <c r="C4" s="2" t="s">
        <v>2469</v>
      </c>
      <c r="D4" s="2" t="s">
        <v>95</v>
      </c>
      <c r="E4" s="2" t="s">
        <v>2470</v>
      </c>
      <c r="F4" s="2" t="str">
        <f t="shared" si="0"/>
        <v>Nincs Adat</v>
      </c>
      <c r="G4" s="317">
        <v>4</v>
      </c>
    </row>
    <row r="5" spans="1:8" ht="15" customHeight="1" x14ac:dyDescent="0.25">
      <c r="A5" s="3">
        <v>45443</v>
      </c>
      <c r="B5" s="2" t="s">
        <v>83</v>
      </c>
      <c r="C5" s="2" t="s">
        <v>2443</v>
      </c>
      <c r="D5" s="2" t="s">
        <v>95</v>
      </c>
      <c r="E5" s="2" t="s">
        <v>2444</v>
      </c>
      <c r="F5" s="2" t="str">
        <f t="shared" si="0"/>
        <v>Nincs Adat</v>
      </c>
      <c r="G5" s="317">
        <v>1</v>
      </c>
    </row>
    <row r="6" spans="1:8" ht="15" customHeight="1" x14ac:dyDescent="0.25">
      <c r="A6" s="3">
        <v>45414</v>
      </c>
      <c r="B6" s="2" t="s">
        <v>49</v>
      </c>
      <c r="C6" s="2" t="s">
        <v>2264</v>
      </c>
      <c r="D6" s="2" t="s">
        <v>95</v>
      </c>
      <c r="E6" s="2" t="s">
        <v>2265</v>
      </c>
      <c r="F6" s="2" t="str">
        <f t="shared" si="0"/>
        <v>Nincs Adat</v>
      </c>
      <c r="G6" s="317">
        <v>2</v>
      </c>
    </row>
    <row r="7" spans="1:8" ht="15" customHeight="1" x14ac:dyDescent="0.25">
      <c r="A7" s="3">
        <v>45397</v>
      </c>
      <c r="B7" s="2" t="s">
        <v>67</v>
      </c>
      <c r="C7" s="2" t="s">
        <v>2233</v>
      </c>
      <c r="D7" s="2" t="s">
        <v>95</v>
      </c>
      <c r="E7" s="105"/>
      <c r="F7" s="105"/>
      <c r="G7" s="2">
        <v>0.5</v>
      </c>
    </row>
    <row r="8" spans="1:8" ht="15" customHeight="1" x14ac:dyDescent="0.25">
      <c r="A8" s="3">
        <v>45397</v>
      </c>
      <c r="B8" s="2" t="s">
        <v>75</v>
      </c>
      <c r="C8" s="2" t="s">
        <v>2233</v>
      </c>
      <c r="D8" s="2" t="s">
        <v>95</v>
      </c>
      <c r="E8" s="105"/>
      <c r="F8" s="105"/>
      <c r="G8" s="2">
        <v>0.5</v>
      </c>
    </row>
    <row r="9" spans="1:8" ht="15" customHeight="1" x14ac:dyDescent="0.25">
      <c r="A9" s="3">
        <v>45397</v>
      </c>
      <c r="B9" s="2" t="s">
        <v>46</v>
      </c>
      <c r="C9" s="2" t="s">
        <v>2233</v>
      </c>
      <c r="D9" s="2" t="s">
        <v>95</v>
      </c>
      <c r="E9" s="105"/>
      <c r="F9" s="105"/>
      <c r="G9" s="2">
        <v>0.5</v>
      </c>
    </row>
    <row r="10" spans="1:8" ht="15" customHeight="1" x14ac:dyDescent="0.25">
      <c r="A10" s="3">
        <v>45397</v>
      </c>
      <c r="B10" s="2" t="s">
        <v>47</v>
      </c>
      <c r="C10" s="2" t="s">
        <v>2233</v>
      </c>
      <c r="D10" s="2" t="s">
        <v>95</v>
      </c>
      <c r="E10" s="105"/>
      <c r="F10" s="105"/>
      <c r="G10" s="2">
        <v>0.5</v>
      </c>
    </row>
    <row r="11" spans="1:8" ht="15" customHeight="1" x14ac:dyDescent="0.25">
      <c r="A11" s="3">
        <v>45377</v>
      </c>
      <c r="B11" s="2" t="s">
        <v>17</v>
      </c>
      <c r="C11" s="2" t="s">
        <v>2149</v>
      </c>
      <c r="D11" s="2" t="s">
        <v>95</v>
      </c>
      <c r="E11" s="2" t="s">
        <v>2150</v>
      </c>
      <c r="F11" s="2" t="str">
        <f t="shared" ref="F11:F31" si="1">IFERROR(VLOOKUP(B11,targlist02,3,0),"Nincs Adat")</f>
        <v>EUB09D700852</v>
      </c>
      <c r="G11" s="2">
        <v>0.5</v>
      </c>
    </row>
    <row r="12" spans="1:8" ht="15" customHeight="1" x14ac:dyDescent="0.25">
      <c r="A12" s="3">
        <v>45364</v>
      </c>
      <c r="B12" s="2" t="s">
        <v>1213</v>
      </c>
      <c r="C12" s="106" t="s">
        <v>2109</v>
      </c>
      <c r="D12" s="2" t="s">
        <v>95</v>
      </c>
      <c r="E12" s="2" t="s">
        <v>2108</v>
      </c>
      <c r="F12" s="2" t="str">
        <f t="shared" si="1"/>
        <v>Nincs Adat</v>
      </c>
      <c r="G12" s="2">
        <v>0.5</v>
      </c>
    </row>
    <row r="13" spans="1:8" ht="15" customHeight="1" x14ac:dyDescent="0.25">
      <c r="A13" s="404">
        <v>45324</v>
      </c>
      <c r="B13" s="2" t="s">
        <v>53</v>
      </c>
      <c r="C13" s="2" t="s">
        <v>130</v>
      </c>
      <c r="D13" s="215" t="s">
        <v>95</v>
      </c>
      <c r="E13" s="2" t="s">
        <v>1878</v>
      </c>
      <c r="F13" s="2" t="str">
        <f t="shared" si="1"/>
        <v>Nincs Adat</v>
      </c>
      <c r="G13" s="2">
        <v>0.5</v>
      </c>
    </row>
    <row r="14" spans="1:8" ht="15" customHeight="1" x14ac:dyDescent="0.25">
      <c r="A14" s="404">
        <v>45324</v>
      </c>
      <c r="B14" s="2" t="s">
        <v>28</v>
      </c>
      <c r="C14" s="2" t="s">
        <v>130</v>
      </c>
      <c r="D14" s="215" t="s">
        <v>95</v>
      </c>
      <c r="E14" s="2" t="s">
        <v>1878</v>
      </c>
      <c r="F14" s="2" t="str">
        <f t="shared" si="1"/>
        <v>Nincs Adat</v>
      </c>
      <c r="G14" s="2">
        <v>0.5</v>
      </c>
    </row>
    <row r="15" spans="1:8" ht="15" customHeight="1" x14ac:dyDescent="0.25">
      <c r="A15" s="404">
        <v>45324</v>
      </c>
      <c r="B15" s="2" t="s">
        <v>30</v>
      </c>
      <c r="C15" s="2" t="s">
        <v>130</v>
      </c>
      <c r="D15" s="215" t="s">
        <v>95</v>
      </c>
      <c r="E15" s="2" t="s">
        <v>1878</v>
      </c>
      <c r="F15" s="2" t="str">
        <f t="shared" si="1"/>
        <v>Nincs Adat</v>
      </c>
      <c r="G15" s="2">
        <v>0.5</v>
      </c>
    </row>
    <row r="16" spans="1:8" ht="15" customHeight="1" x14ac:dyDescent="0.25">
      <c r="A16" s="404">
        <v>45324</v>
      </c>
      <c r="B16" s="2" t="s">
        <v>29</v>
      </c>
      <c r="C16" s="2" t="s">
        <v>130</v>
      </c>
      <c r="D16" s="215" t="s">
        <v>95</v>
      </c>
      <c r="E16" s="2" t="s">
        <v>1878</v>
      </c>
      <c r="F16" s="2" t="str">
        <f t="shared" si="1"/>
        <v>Nincs Adat</v>
      </c>
      <c r="G16" s="2">
        <v>0.5</v>
      </c>
    </row>
    <row r="17" spans="1:7" ht="15" customHeight="1" x14ac:dyDescent="0.25">
      <c r="A17" s="404">
        <v>45324</v>
      </c>
      <c r="B17" s="2" t="s">
        <v>48</v>
      </c>
      <c r="C17" s="2" t="s">
        <v>130</v>
      </c>
      <c r="D17" s="215" t="s">
        <v>95</v>
      </c>
      <c r="E17" s="2" t="s">
        <v>1878</v>
      </c>
      <c r="F17" s="2" t="str">
        <f t="shared" si="1"/>
        <v>Nincs Adat</v>
      </c>
      <c r="G17" s="2">
        <v>0.5</v>
      </c>
    </row>
    <row r="18" spans="1:7" ht="15" customHeight="1" x14ac:dyDescent="0.25">
      <c r="A18" s="404">
        <v>45324</v>
      </c>
      <c r="B18" s="2" t="s">
        <v>68</v>
      </c>
      <c r="C18" s="2" t="s">
        <v>130</v>
      </c>
      <c r="D18" s="215" t="s">
        <v>95</v>
      </c>
      <c r="E18" s="2" t="s">
        <v>1878</v>
      </c>
      <c r="F18" s="2" t="str">
        <f t="shared" si="1"/>
        <v>Nincs Adat</v>
      </c>
      <c r="G18" s="2">
        <v>0.5</v>
      </c>
    </row>
    <row r="19" spans="1:7" ht="15" customHeight="1" x14ac:dyDescent="0.25">
      <c r="A19" s="3">
        <v>45321</v>
      </c>
      <c r="B19" s="2" t="s">
        <v>50</v>
      </c>
      <c r="C19" s="2" t="s">
        <v>1834</v>
      </c>
      <c r="D19" s="215" t="s">
        <v>95</v>
      </c>
      <c r="E19" s="2" t="s">
        <v>1835</v>
      </c>
      <c r="F19" s="2" t="str">
        <f t="shared" si="1"/>
        <v>Nincs Adat</v>
      </c>
      <c r="G19" s="2">
        <v>0.5</v>
      </c>
    </row>
    <row r="20" spans="1:7" ht="15" customHeight="1" x14ac:dyDescent="0.25">
      <c r="A20" s="3">
        <v>45321</v>
      </c>
      <c r="B20" s="2" t="s">
        <v>71</v>
      </c>
      <c r="C20" s="2" t="s">
        <v>1834</v>
      </c>
      <c r="D20" s="215" t="s">
        <v>95</v>
      </c>
      <c r="E20" s="2" t="s">
        <v>1835</v>
      </c>
      <c r="F20" s="2" t="str">
        <f t="shared" si="1"/>
        <v>Nincs Adat</v>
      </c>
      <c r="G20" s="2">
        <v>0.5</v>
      </c>
    </row>
    <row r="21" spans="1:7" ht="15" customHeight="1" x14ac:dyDescent="0.25">
      <c r="A21" s="3">
        <v>45321</v>
      </c>
      <c r="B21" s="2" t="s">
        <v>67</v>
      </c>
      <c r="C21" s="2" t="s">
        <v>1834</v>
      </c>
      <c r="D21" s="215" t="s">
        <v>95</v>
      </c>
      <c r="E21" s="2" t="s">
        <v>1835</v>
      </c>
      <c r="F21" s="2" t="str">
        <f t="shared" si="1"/>
        <v>Nincs Adat</v>
      </c>
      <c r="G21" s="2">
        <v>0.5</v>
      </c>
    </row>
    <row r="22" spans="1:7" ht="15" customHeight="1" x14ac:dyDescent="0.25">
      <c r="A22" s="3">
        <v>45321</v>
      </c>
      <c r="B22" s="2" t="s">
        <v>44</v>
      </c>
      <c r="C22" s="2" t="s">
        <v>1834</v>
      </c>
      <c r="D22" s="215" t="s">
        <v>95</v>
      </c>
      <c r="E22" s="2" t="s">
        <v>1835</v>
      </c>
      <c r="F22" s="2" t="str">
        <f t="shared" si="1"/>
        <v>Nincs Adat</v>
      </c>
      <c r="G22" s="2">
        <v>0.5</v>
      </c>
    </row>
    <row r="23" spans="1:7" ht="15" customHeight="1" x14ac:dyDescent="0.25">
      <c r="A23" s="3">
        <v>45321</v>
      </c>
      <c r="B23" s="2" t="s">
        <v>43</v>
      </c>
      <c r="C23" s="2" t="s">
        <v>1834</v>
      </c>
      <c r="D23" s="215" t="s">
        <v>95</v>
      </c>
      <c r="E23" s="2" t="s">
        <v>1835</v>
      </c>
      <c r="F23" s="2" t="str">
        <f t="shared" si="1"/>
        <v>Nincs Adat</v>
      </c>
      <c r="G23" s="2">
        <v>0.5</v>
      </c>
    </row>
    <row r="24" spans="1:7" ht="15" customHeight="1" x14ac:dyDescent="0.25">
      <c r="A24" s="3">
        <v>45313</v>
      </c>
      <c r="B24" s="2" t="s">
        <v>81</v>
      </c>
      <c r="C24" s="2" t="s">
        <v>1458</v>
      </c>
      <c r="D24" s="2" t="s">
        <v>95</v>
      </c>
      <c r="E24" s="2" t="s">
        <v>1459</v>
      </c>
      <c r="F24" s="2" t="str">
        <f t="shared" si="1"/>
        <v>PTP200R239155</v>
      </c>
      <c r="G24" s="317">
        <v>8.5</v>
      </c>
    </row>
    <row r="25" spans="1:7" ht="15" customHeight="1" x14ac:dyDescent="0.25">
      <c r="A25" s="3">
        <v>45307</v>
      </c>
      <c r="B25" s="2" t="s">
        <v>1217</v>
      </c>
      <c r="C25" s="2" t="s">
        <v>1412</v>
      </c>
      <c r="D25" s="2" t="s">
        <v>95</v>
      </c>
      <c r="E25" s="2" t="s">
        <v>1413</v>
      </c>
      <c r="F25" s="2" t="str">
        <f t="shared" si="1"/>
        <v>Nincs Adat</v>
      </c>
      <c r="G25" s="317">
        <v>1</v>
      </c>
    </row>
    <row r="26" spans="1:7" ht="15" customHeight="1" x14ac:dyDescent="0.25">
      <c r="A26" s="3">
        <v>45307</v>
      </c>
      <c r="B26" s="2" t="s">
        <v>1220</v>
      </c>
      <c r="C26" s="2" t="s">
        <v>1410</v>
      </c>
      <c r="D26" s="2" t="s">
        <v>95</v>
      </c>
      <c r="E26" s="2" t="s">
        <v>1411</v>
      </c>
      <c r="F26" s="2" t="str">
        <f t="shared" si="1"/>
        <v>Nincs Adat</v>
      </c>
      <c r="G26" s="317">
        <v>1</v>
      </c>
    </row>
    <row r="27" spans="1:7" ht="15" customHeight="1" x14ac:dyDescent="0.25">
      <c r="A27" s="3">
        <v>45307</v>
      </c>
      <c r="B27" s="2" t="s">
        <v>32</v>
      </c>
      <c r="C27" s="2" t="s">
        <v>1408</v>
      </c>
      <c r="D27" s="2" t="s">
        <v>95</v>
      </c>
      <c r="E27" s="2" t="s">
        <v>1409</v>
      </c>
      <c r="F27" s="2" t="str">
        <f t="shared" si="1"/>
        <v>Nincs Adat</v>
      </c>
      <c r="G27" s="317">
        <v>1</v>
      </c>
    </row>
    <row r="28" spans="1:7" ht="15" customHeight="1" x14ac:dyDescent="0.25">
      <c r="A28" s="3">
        <v>45303.488893981485</v>
      </c>
      <c r="B28" s="2" t="s">
        <v>89</v>
      </c>
      <c r="C28" s="2" t="s">
        <v>1371</v>
      </c>
      <c r="D28" s="2" t="s">
        <v>95</v>
      </c>
      <c r="E28" s="2" t="s">
        <v>1372</v>
      </c>
      <c r="F28" s="2" t="str">
        <f t="shared" si="1"/>
        <v>Nincs Adat</v>
      </c>
      <c r="G28" s="317">
        <v>2</v>
      </c>
    </row>
    <row r="29" spans="1:7" ht="15" customHeight="1" x14ac:dyDescent="0.25">
      <c r="A29" s="3">
        <v>45294.621350578702</v>
      </c>
      <c r="B29" s="2" t="s">
        <v>20</v>
      </c>
      <c r="C29" s="106" t="s">
        <v>1348</v>
      </c>
      <c r="D29" s="2" t="s">
        <v>95</v>
      </c>
      <c r="E29" s="2" t="s">
        <v>1349</v>
      </c>
      <c r="F29" s="2" t="str">
        <f t="shared" si="1"/>
        <v>EUB09D700832</v>
      </c>
      <c r="G29" s="317">
        <v>2</v>
      </c>
    </row>
    <row r="30" spans="1:7" ht="21.6" customHeight="1" x14ac:dyDescent="0.25">
      <c r="A30" s="3">
        <v>45294.619692708337</v>
      </c>
      <c r="B30" s="2" t="s">
        <v>28</v>
      </c>
      <c r="C30" s="2" t="s">
        <v>1343</v>
      </c>
      <c r="D30" s="2" t="s">
        <v>95</v>
      </c>
      <c r="E30" s="2"/>
      <c r="F30" s="2" t="str">
        <f t="shared" si="1"/>
        <v>Nincs Adat</v>
      </c>
      <c r="G30" s="317">
        <v>1</v>
      </c>
    </row>
    <row r="31" spans="1:7" ht="15" customHeight="1" x14ac:dyDescent="0.25">
      <c r="A31" s="3">
        <v>45293</v>
      </c>
      <c r="B31" s="2" t="s">
        <v>28</v>
      </c>
      <c r="C31" s="2" t="s">
        <v>1723</v>
      </c>
      <c r="D31" s="2" t="s">
        <v>95</v>
      </c>
      <c r="E31" s="2" t="s">
        <v>1721</v>
      </c>
      <c r="F31" s="2" t="str">
        <f t="shared" si="1"/>
        <v>Nincs Adat</v>
      </c>
      <c r="G31" s="317">
        <v>1</v>
      </c>
    </row>
    <row r="33" spans="1:1" x14ac:dyDescent="0.25">
      <c r="A33" s="9"/>
    </row>
  </sheetData>
  <conditionalFormatting sqref="D1:G1">
    <cfRule type="cellIs" dxfId="1442" priority="45" operator="equal">
      <formula>"Folyamatban"</formula>
    </cfRule>
    <cfRule type="cellIs" dxfId="1441" priority="46" operator="equal">
      <formula>"Kész"</formula>
    </cfRule>
  </conditionalFormatting>
  <conditionalFormatting sqref="D2">
    <cfRule type="cellIs" dxfId="1440" priority="43" operator="equal">
      <formula>"Folyamatban"</formula>
    </cfRule>
    <cfRule type="cellIs" dxfId="1439" priority="44" operator="equal">
      <formula>"Kész"</formula>
    </cfRule>
  </conditionalFormatting>
  <conditionalFormatting sqref="D3">
    <cfRule type="cellIs" dxfId="1438" priority="41" operator="equal">
      <formula>"Folyamatban"</formula>
    </cfRule>
    <cfRule type="cellIs" dxfId="1437" priority="42" operator="equal">
      <formula>"Kész"</formula>
    </cfRule>
  </conditionalFormatting>
  <conditionalFormatting sqref="D4">
    <cfRule type="cellIs" dxfId="1436" priority="39" operator="equal">
      <formula>"Folyamatban"</formula>
    </cfRule>
    <cfRule type="cellIs" dxfId="1435" priority="40" operator="equal">
      <formula>"Kész"</formula>
    </cfRule>
  </conditionalFormatting>
  <conditionalFormatting sqref="D5">
    <cfRule type="cellIs" dxfId="1434" priority="37" operator="equal">
      <formula>"Folyamatban"</formula>
    </cfRule>
    <cfRule type="cellIs" dxfId="1433" priority="38" operator="equal">
      <formula>"Kész"</formula>
    </cfRule>
  </conditionalFormatting>
  <conditionalFormatting sqref="D6">
    <cfRule type="cellIs" dxfId="1432" priority="35" operator="equal">
      <formula>"Folyamatban"</formula>
    </cfRule>
    <cfRule type="cellIs" dxfId="1431" priority="36" operator="equal">
      <formula>"Kész"</formula>
    </cfRule>
  </conditionalFormatting>
  <conditionalFormatting sqref="D10">
    <cfRule type="cellIs" dxfId="1430" priority="31" operator="equal">
      <formula>"Folyamatban"</formula>
    </cfRule>
    <cfRule type="cellIs" dxfId="1429" priority="32" operator="equal">
      <formula>"Kész"</formula>
    </cfRule>
  </conditionalFormatting>
  <conditionalFormatting sqref="D9">
    <cfRule type="cellIs" dxfId="1428" priority="29" operator="equal">
      <formula>"Folyamatban"</formula>
    </cfRule>
    <cfRule type="cellIs" dxfId="1427" priority="30" operator="equal">
      <formula>"Kész"</formula>
    </cfRule>
  </conditionalFormatting>
  <conditionalFormatting sqref="D8">
    <cfRule type="cellIs" dxfId="1426" priority="27" operator="equal">
      <formula>"Folyamatban"</formula>
    </cfRule>
    <cfRule type="cellIs" dxfId="1425" priority="28" operator="equal">
      <formula>"Kész"</formula>
    </cfRule>
  </conditionalFormatting>
  <conditionalFormatting sqref="D7">
    <cfRule type="cellIs" dxfId="1424" priority="25" operator="equal">
      <formula>"Folyamatban"</formula>
    </cfRule>
    <cfRule type="cellIs" dxfId="1423" priority="26" operator="equal">
      <formula>"Kész"</formula>
    </cfRule>
  </conditionalFormatting>
  <conditionalFormatting sqref="D11">
    <cfRule type="cellIs" dxfId="1422" priority="23" operator="equal">
      <formula>"Folyamatban"</formula>
    </cfRule>
    <cfRule type="cellIs" dxfId="1421" priority="24" operator="equal">
      <formula>"Kész"</formula>
    </cfRule>
  </conditionalFormatting>
  <conditionalFormatting sqref="D12">
    <cfRule type="cellIs" dxfId="1420" priority="21" operator="equal">
      <formula>"Folyamatban"</formula>
    </cfRule>
    <cfRule type="cellIs" dxfId="1419" priority="22" operator="equal">
      <formula>"Kész"</formula>
    </cfRule>
  </conditionalFormatting>
  <conditionalFormatting sqref="D13:D16">
    <cfRule type="cellIs" dxfId="1418" priority="19" operator="equal">
      <formula>"Folyamatban"</formula>
    </cfRule>
    <cfRule type="cellIs" dxfId="1417" priority="20" operator="equal">
      <formula>"Kész"</formula>
    </cfRule>
  </conditionalFormatting>
  <conditionalFormatting sqref="D17">
    <cfRule type="cellIs" dxfId="1416" priority="17" operator="equal">
      <formula>"Folyamatban"</formula>
    </cfRule>
    <cfRule type="cellIs" dxfId="1415" priority="18" operator="equal">
      <formula>"Kész"</formula>
    </cfRule>
  </conditionalFormatting>
  <conditionalFormatting sqref="D18">
    <cfRule type="cellIs" dxfId="1414" priority="15" operator="equal">
      <formula>"Folyamatban"</formula>
    </cfRule>
    <cfRule type="cellIs" dxfId="1413" priority="16" operator="equal">
      <formula>"Kész"</formula>
    </cfRule>
  </conditionalFormatting>
  <conditionalFormatting sqref="D19:D23">
    <cfRule type="cellIs" dxfId="1412" priority="13" operator="equal">
      <formula>"Folyamatban"</formula>
    </cfRule>
    <cfRule type="cellIs" dxfId="1411" priority="14" operator="equal">
      <formula>"Kész"</formula>
    </cfRule>
  </conditionalFormatting>
  <conditionalFormatting sqref="D24">
    <cfRule type="cellIs" dxfId="1410" priority="11" operator="equal">
      <formula>"Folyamatban"</formula>
    </cfRule>
    <cfRule type="cellIs" dxfId="1409" priority="12" operator="equal">
      <formula>"Kész"</formula>
    </cfRule>
  </conditionalFormatting>
  <conditionalFormatting sqref="D25:D27">
    <cfRule type="cellIs" dxfId="1408" priority="9" operator="equal">
      <formula>"Folyamatban"</formula>
    </cfRule>
    <cfRule type="cellIs" dxfId="1407" priority="10" operator="equal">
      <formula>"Kész"</formula>
    </cfRule>
  </conditionalFormatting>
  <conditionalFormatting sqref="D28">
    <cfRule type="cellIs" dxfId="1406" priority="7" operator="equal">
      <formula>"Folyamatban"</formula>
    </cfRule>
    <cfRule type="cellIs" dxfId="1405" priority="8" operator="equal">
      <formula>"Kész"</formula>
    </cfRule>
  </conditionalFormatting>
  <conditionalFormatting sqref="D29">
    <cfRule type="cellIs" dxfId="1404" priority="5" operator="equal">
      <formula>"Folyamatban"</formula>
    </cfRule>
    <cfRule type="cellIs" dxfId="1403" priority="6" operator="equal">
      <formula>"Kész"</formula>
    </cfRule>
  </conditionalFormatting>
  <conditionalFormatting sqref="D30">
    <cfRule type="cellIs" dxfId="1402" priority="3" operator="equal">
      <formula>"Folyamatban"</formula>
    </cfRule>
    <cfRule type="cellIs" dxfId="1401" priority="4" operator="equal">
      <formula>"Kész"</formula>
    </cfRule>
  </conditionalFormatting>
  <conditionalFormatting sqref="D31">
    <cfRule type="cellIs" dxfId="1400" priority="1" operator="equal">
      <formula>"Folyamatban"</formula>
    </cfRule>
    <cfRule type="cellIs" dxfId="1399" priority="2" operator="equal">
      <formula>"Kész"</formula>
    </cfRule>
  </conditionalFormatting>
  <dataValidations disablePrompts="1" count="3">
    <dataValidation type="list" allowBlank="1" showInputMessage="1" showErrorMessage="1" sqref="D11:D31">
      <formula1>todo</formula1>
    </dataValidation>
    <dataValidation type="list" allowBlank="1" showInputMessage="1" showErrorMessage="1" sqref="B2:B31">
      <formula1>list01</formula1>
    </dataValidation>
    <dataValidation type="list" allowBlank="1" showInputMessage="1" showErrorMessage="1" sqref="D2:D10">
      <formula1>okvsnok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:B2"/>
  <sheetViews>
    <sheetView workbookViewId="0">
      <selection activeCell="D8" sqref="D8"/>
    </sheetView>
  </sheetViews>
  <sheetFormatPr defaultRowHeight="15" x14ac:dyDescent="0.25"/>
  <cols>
    <col min="1" max="1" width="13" customWidth="1"/>
    <col min="2" max="2" width="21.28515625" customWidth="1"/>
  </cols>
  <sheetData>
    <row r="1" spans="1:2" x14ac:dyDescent="0.25">
      <c r="A1" s="1" t="s">
        <v>579</v>
      </c>
      <c r="B1" s="1" t="s">
        <v>580</v>
      </c>
    </row>
    <row r="2" spans="1:2" x14ac:dyDescent="0.25">
      <c r="A2" s="1" t="s">
        <v>581</v>
      </c>
      <c r="B2" s="1" t="s">
        <v>582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K1"/>
  <sheetViews>
    <sheetView zoomScale="70" zoomScaleNormal="70" workbookViewId="0">
      <selection activeCell="F10" sqref="F10"/>
    </sheetView>
  </sheetViews>
  <sheetFormatPr defaultRowHeight="15" x14ac:dyDescent="0.25"/>
  <cols>
    <col min="1" max="1" width="21.7109375" customWidth="1"/>
    <col min="2" max="6" width="29" customWidth="1"/>
    <col min="7" max="7" width="20.42578125" customWidth="1"/>
    <col min="8" max="8" width="16.140625" customWidth="1"/>
    <col min="10" max="10" width="28.28515625" customWidth="1"/>
  </cols>
  <sheetData>
    <row r="1" spans="1:11" ht="40.15" customHeight="1" x14ac:dyDescent="0.25">
      <c r="A1" s="14"/>
      <c r="B1" s="2"/>
      <c r="C1" s="4"/>
      <c r="D1" s="17"/>
      <c r="E1" s="18"/>
      <c r="F1" s="4" t="str">
        <f>IFERROR(VLOOKUP(B1,targlist02,3,0),"Nincs Adat")</f>
        <v>Nincs Adat</v>
      </c>
      <c r="G1" s="4"/>
      <c r="H1" s="4"/>
      <c r="I1" s="2"/>
      <c r="J1" s="19" t="str">
        <f>IF(I1="H",IFERROR(VLOOKUP(E1,podone,1,0),"Nincs Po"),"Nem Heineken Költség")</f>
        <v>Nem Heineken Költség</v>
      </c>
      <c r="K1" s="2" t="str">
        <f>IFERROR(VLOOKUP(E1,poprice,4,0),"")</f>
        <v/>
      </c>
    </row>
  </sheetData>
  <conditionalFormatting sqref="K1">
    <cfRule type="cellIs" dxfId="1398" priority="8" operator="equal">
      <formula>"Nem Heineken Költség"</formula>
    </cfRule>
    <cfRule type="cellIs" dxfId="1397" priority="9" operator="equal">
      <formula>"Nincs Po"</formula>
    </cfRule>
  </conditionalFormatting>
  <conditionalFormatting sqref="J1">
    <cfRule type="cellIs" dxfId="1396" priority="5" operator="equal">
      <formula>"Nem Heineken Költség"</formula>
    </cfRule>
  </conditionalFormatting>
  <conditionalFormatting sqref="J1">
    <cfRule type="cellIs" dxfId="1395" priority="6" operator="equal">
      <formula>"Nincs Po"</formula>
    </cfRule>
  </conditionalFormatting>
  <conditionalFormatting sqref="I1">
    <cfRule type="cellIs" dxfId="1394" priority="3" operator="equal">
      <formula>"H"</formula>
    </cfRule>
  </conditionalFormatting>
  <conditionalFormatting sqref="D1">
    <cfRule type="cellIs" dxfId="1393" priority="1" operator="equal">
      <formula>"Folyamatban"</formula>
    </cfRule>
    <cfRule type="cellIs" dxfId="1392" priority="2" operator="equal">
      <formula>"Kész"</formula>
    </cfRule>
  </conditionalFormatting>
  <dataValidations count="2">
    <dataValidation type="list" allowBlank="1" showInputMessage="1" showErrorMessage="1" sqref="B1">
      <formula1>list01</formula1>
    </dataValidation>
    <dataValidation type="list" allowBlank="1" showInputMessage="1" showErrorMessage="1" sqref="D1">
      <formula1>okvsnok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9F4C9A69-1A25-4191-877E-6BD7F333356F}">
            <xm:f>NOT(ISERROR(SEARCH("SM-2024/",K1)))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K1</xm:sqref>
        </x14:conditionalFormatting>
        <x14:conditionalFormatting xmlns:xm="http://schemas.microsoft.com/office/excel/2006/main">
          <x14:cfRule type="containsText" priority="4" operator="containsText" id="{56AA39F4-132E-40D3-A080-83689017842F}">
            <xm:f>NOT(ISERROR(SEARCH("SM-2024/",J1)))</xm:f>
            <xm:f>"SM-2024/"</xm:f>
            <x14:dxf>
              <font>
                <b/>
                <i val="0"/>
                <color rgb="FFFFFF00"/>
              </font>
              <fill>
                <patternFill>
                  <bgColor rgb="FF7030A0"/>
                </patternFill>
              </fill>
            </x14:dxf>
          </x14:cfRule>
          <xm:sqref>J1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>
    <pageSetUpPr fitToPage="1"/>
  </sheetPr>
  <dimension ref="A1:J289"/>
  <sheetViews>
    <sheetView topLeftCell="A28" zoomScale="85" zoomScaleNormal="85" workbookViewId="0">
      <selection activeCell="E35" sqref="E35"/>
    </sheetView>
  </sheetViews>
  <sheetFormatPr defaultRowHeight="15" x14ac:dyDescent="0.25"/>
  <cols>
    <col min="1" max="1" width="22.140625" style="1" customWidth="1"/>
    <col min="2" max="2" width="30.85546875" customWidth="1"/>
    <col min="3" max="3" width="85.7109375" customWidth="1"/>
    <col min="4" max="4" width="16.7109375" customWidth="1"/>
    <col min="5" max="5" width="22.140625" style="193" customWidth="1"/>
    <col min="6" max="6" width="22.140625" customWidth="1"/>
    <col min="7" max="7" width="22.140625" style="1" customWidth="1"/>
    <col min="8" max="8" width="18.140625" style="1" customWidth="1"/>
    <col min="9" max="9" width="18.42578125" style="1" customWidth="1"/>
    <col min="10" max="10" width="18" style="1" customWidth="1"/>
  </cols>
  <sheetData>
    <row r="1" spans="1:8" ht="49.9" customHeight="1" x14ac:dyDescent="0.25">
      <c r="A1" s="231" t="s">
        <v>0</v>
      </c>
      <c r="B1" s="231" t="s">
        <v>93</v>
      </c>
      <c r="C1" s="568" t="s">
        <v>1</v>
      </c>
      <c r="D1" s="231" t="s">
        <v>92</v>
      </c>
      <c r="E1" s="569" t="s">
        <v>119</v>
      </c>
      <c r="F1" s="231" t="s">
        <v>359</v>
      </c>
      <c r="G1" s="231" t="s">
        <v>254</v>
      </c>
      <c r="H1" s="231" t="s">
        <v>416</v>
      </c>
    </row>
    <row r="2" spans="1:8" ht="49.9" customHeight="1" x14ac:dyDescent="0.25">
      <c r="A2" s="3">
        <v>45468</v>
      </c>
      <c r="B2" s="2" t="s">
        <v>80</v>
      </c>
      <c r="C2" s="2" t="s">
        <v>2546</v>
      </c>
      <c r="D2" s="2" t="s">
        <v>95</v>
      </c>
      <c r="E2" s="2" t="s">
        <v>2547</v>
      </c>
      <c r="F2" s="2" t="str">
        <f t="shared" ref="F2:F12" si="0">IFERROR(VLOOKUP(B2,targlist02,3,0),"Nincs Adat")</f>
        <v>PTP200R239154</v>
      </c>
      <c r="G2" s="2">
        <v>225</v>
      </c>
      <c r="H2" s="2">
        <v>232.03</v>
      </c>
    </row>
    <row r="3" spans="1:8" ht="49.9" customHeight="1" x14ac:dyDescent="0.25">
      <c r="A3" s="3">
        <v>45506</v>
      </c>
      <c r="B3" s="2" t="s">
        <v>81</v>
      </c>
      <c r="C3" s="106" t="s">
        <v>2707</v>
      </c>
      <c r="D3" s="2" t="s">
        <v>95</v>
      </c>
      <c r="E3" s="2" t="s">
        <v>2708</v>
      </c>
      <c r="F3" s="2" t="str">
        <f t="shared" si="0"/>
        <v>PTP200R239155</v>
      </c>
      <c r="G3" s="2">
        <v>792</v>
      </c>
      <c r="H3" s="2">
        <v>464.15</v>
      </c>
    </row>
    <row r="4" spans="1:8" ht="49.9" customHeight="1" x14ac:dyDescent="0.25">
      <c r="A4" s="3">
        <v>45527</v>
      </c>
      <c r="B4" s="2" t="s">
        <v>81</v>
      </c>
      <c r="C4" s="106" t="s">
        <v>2768</v>
      </c>
      <c r="D4" s="2" t="s">
        <v>95</v>
      </c>
      <c r="E4" s="2" t="s">
        <v>2769</v>
      </c>
      <c r="F4" s="2" t="str">
        <f t="shared" si="0"/>
        <v>PTP200R239155</v>
      </c>
      <c r="G4" s="2">
        <v>805</v>
      </c>
      <c r="H4" s="2">
        <v>131.80000000000001</v>
      </c>
    </row>
    <row r="5" spans="1:8" ht="49.9" customHeight="1" x14ac:dyDescent="0.25">
      <c r="A5" s="3">
        <v>45530</v>
      </c>
      <c r="B5" s="2" t="s">
        <v>81</v>
      </c>
      <c r="C5" s="2" t="s">
        <v>2829</v>
      </c>
      <c r="D5" s="2" t="s">
        <v>95</v>
      </c>
      <c r="E5" s="2" t="s">
        <v>2793</v>
      </c>
      <c r="F5" s="2" t="str">
        <f t="shared" si="0"/>
        <v>PTP200R239155</v>
      </c>
      <c r="G5" s="2">
        <v>805</v>
      </c>
      <c r="H5" s="2">
        <v>511.77</v>
      </c>
    </row>
    <row r="6" spans="1:8" ht="49.9" customHeight="1" x14ac:dyDescent="0.25">
      <c r="A6" s="3">
        <v>45534</v>
      </c>
      <c r="B6" s="2" t="s">
        <v>80</v>
      </c>
      <c r="C6" s="106" t="s">
        <v>2788</v>
      </c>
      <c r="D6" s="2" t="s">
        <v>95</v>
      </c>
      <c r="E6" s="2" t="s">
        <v>2789</v>
      </c>
      <c r="F6" s="2" t="str">
        <f t="shared" si="0"/>
        <v>PTP200R239154</v>
      </c>
      <c r="G6" s="2">
        <v>368</v>
      </c>
      <c r="H6" s="2">
        <v>425.67</v>
      </c>
    </row>
    <row r="7" spans="1:8" ht="49.9" customHeight="1" x14ac:dyDescent="0.25">
      <c r="A7" s="3">
        <v>45537</v>
      </c>
      <c r="B7" s="2" t="s">
        <v>23</v>
      </c>
      <c r="C7" s="2" t="s">
        <v>2798</v>
      </c>
      <c r="D7" s="2" t="s">
        <v>95</v>
      </c>
      <c r="E7" s="2" t="s">
        <v>2799</v>
      </c>
      <c r="F7" s="2" t="str">
        <f t="shared" si="0"/>
        <v>EUB09D700740</v>
      </c>
      <c r="G7" s="2">
        <v>2747</v>
      </c>
      <c r="H7" s="2">
        <v>136.13999999999999</v>
      </c>
    </row>
    <row r="8" spans="1:8" ht="49.9" customHeight="1" x14ac:dyDescent="0.25">
      <c r="A8" s="570">
        <v>45540</v>
      </c>
      <c r="B8" s="567" t="s">
        <v>3</v>
      </c>
      <c r="C8" s="567" t="s">
        <v>2816</v>
      </c>
      <c r="D8" s="2" t="s">
        <v>95</v>
      </c>
      <c r="E8" s="2" t="s">
        <v>2817</v>
      </c>
      <c r="F8" s="2" t="str">
        <f t="shared" si="0"/>
        <v>JA2N1E700428</v>
      </c>
      <c r="G8" s="2">
        <v>2563</v>
      </c>
      <c r="H8" s="2">
        <v>216.66</v>
      </c>
    </row>
    <row r="9" spans="1:8" ht="49.9" customHeight="1" x14ac:dyDescent="0.25">
      <c r="A9" s="3">
        <v>45546</v>
      </c>
      <c r="B9" s="2" t="s">
        <v>78</v>
      </c>
      <c r="C9" s="106" t="s">
        <v>2839</v>
      </c>
      <c r="D9" s="2" t="s">
        <v>95</v>
      </c>
      <c r="E9" s="2" t="s">
        <v>2843</v>
      </c>
      <c r="F9" s="2" t="str">
        <f t="shared" si="0"/>
        <v>PTP200R239152</v>
      </c>
      <c r="G9" s="2">
        <v>2230</v>
      </c>
      <c r="H9" s="2">
        <v>209.69</v>
      </c>
    </row>
    <row r="10" spans="1:8" ht="49.9" customHeight="1" x14ac:dyDescent="0.25">
      <c r="A10" s="3">
        <v>45546</v>
      </c>
      <c r="B10" s="2" t="s">
        <v>77</v>
      </c>
      <c r="C10" s="2" t="s">
        <v>2841</v>
      </c>
      <c r="D10" s="2" t="s">
        <v>95</v>
      </c>
      <c r="E10" s="2" t="s">
        <v>2842</v>
      </c>
      <c r="F10" s="2" t="str">
        <f t="shared" si="0"/>
        <v>PTP200R239151</v>
      </c>
      <c r="G10" s="2">
        <v>1536</v>
      </c>
      <c r="H10" s="2">
        <v>123.58</v>
      </c>
    </row>
    <row r="11" spans="1:8" ht="49.9" customHeight="1" x14ac:dyDescent="0.25">
      <c r="A11" s="3">
        <v>45546</v>
      </c>
      <c r="B11" s="2" t="s">
        <v>81</v>
      </c>
      <c r="C11" s="106" t="s">
        <v>2839</v>
      </c>
      <c r="D11" s="2" t="s">
        <v>95</v>
      </c>
      <c r="E11" s="2" t="s">
        <v>2840</v>
      </c>
      <c r="F11" s="2" t="str">
        <f t="shared" si="0"/>
        <v>PTP200R239155</v>
      </c>
      <c r="G11" s="2">
        <v>857</v>
      </c>
      <c r="H11" s="2">
        <v>123.58</v>
      </c>
    </row>
    <row r="12" spans="1:8" ht="49.9" customHeight="1" x14ac:dyDescent="0.25">
      <c r="A12" s="14">
        <v>45554</v>
      </c>
      <c r="B12" s="2" t="s">
        <v>24</v>
      </c>
      <c r="C12" s="22" t="s">
        <v>2864</v>
      </c>
      <c r="D12" s="111" t="s">
        <v>95</v>
      </c>
      <c r="E12" s="18" t="s">
        <v>2865</v>
      </c>
      <c r="F12" s="4" t="str">
        <f t="shared" si="0"/>
        <v>EUB09D700704</v>
      </c>
      <c r="G12" s="4">
        <v>4152</v>
      </c>
      <c r="H12" s="2">
        <v>205.49</v>
      </c>
    </row>
    <row r="13" spans="1:8" ht="49.9" customHeight="1" x14ac:dyDescent="0.25"/>
    <row r="14" spans="1:8" ht="49.9" customHeight="1" thickBot="1" x14ac:dyDescent="0.3"/>
    <row r="15" spans="1:8" ht="49.9" customHeight="1" thickBot="1" x14ac:dyDescent="0.3">
      <c r="A15" s="32" t="s">
        <v>0</v>
      </c>
      <c r="B15" s="32" t="s">
        <v>93</v>
      </c>
      <c r="C15" s="31" t="s">
        <v>1</v>
      </c>
      <c r="D15" s="32" t="s">
        <v>92</v>
      </c>
      <c r="E15" s="38" t="s">
        <v>119</v>
      </c>
      <c r="F15" s="32" t="s">
        <v>359</v>
      </c>
      <c r="G15" s="32" t="s">
        <v>254</v>
      </c>
      <c r="H15" s="32" t="s">
        <v>416</v>
      </c>
    </row>
    <row r="16" spans="1:8" ht="49.9" customHeight="1" x14ac:dyDescent="0.25">
      <c r="A16" s="29">
        <v>45558</v>
      </c>
      <c r="B16" s="29" t="s">
        <v>77</v>
      </c>
      <c r="C16" s="22" t="s">
        <v>2911</v>
      </c>
      <c r="D16" s="111" t="s">
        <v>95</v>
      </c>
      <c r="E16" s="19" t="s">
        <v>2910</v>
      </c>
      <c r="F16" s="4" t="str">
        <f>IFERROR(VLOOKUP(B16,targlist02,3,0),"Nincs Adat")</f>
        <v>PTP200R239151</v>
      </c>
      <c r="G16" s="4">
        <v>1554</v>
      </c>
      <c r="H16" s="4">
        <v>209.69</v>
      </c>
    </row>
    <row r="17" spans="1:9" ht="49.9" customHeight="1" x14ac:dyDescent="0.25">
      <c r="A17" s="3">
        <v>45553</v>
      </c>
      <c r="B17" s="2" t="s">
        <v>77</v>
      </c>
      <c r="C17" s="36" t="s">
        <v>2860</v>
      </c>
      <c r="D17" s="28" t="s">
        <v>95</v>
      </c>
      <c r="E17" s="13" t="s">
        <v>2861</v>
      </c>
      <c r="F17" s="2" t="str">
        <f>IFERROR(VLOOKUP(B17,targlist02,3,0),"Nincs Adat")</f>
        <v>PTP200R239151</v>
      </c>
      <c r="G17" s="2">
        <v>1551</v>
      </c>
      <c r="H17" s="2">
        <v>209.69</v>
      </c>
    </row>
    <row r="18" spans="1:9" ht="49.9" customHeight="1" thickBot="1" x14ac:dyDescent="0.3">
      <c r="A18" s="14">
        <v>45565</v>
      </c>
      <c r="B18" s="2" t="s">
        <v>142</v>
      </c>
      <c r="C18" s="22" t="s">
        <v>2913</v>
      </c>
      <c r="D18" s="212" t="s">
        <v>95</v>
      </c>
      <c r="E18" s="18" t="s">
        <v>2894</v>
      </c>
      <c r="F18" s="4" t="str">
        <f>IFERROR(VLOOKUP(B18,targlist02,3,0),"Nincs Adat")</f>
        <v>LO20N2RCB13B00112</v>
      </c>
      <c r="G18" s="4">
        <v>2228</v>
      </c>
      <c r="H18" s="2">
        <v>209.69</v>
      </c>
    </row>
    <row r="19" spans="1:9" ht="49.9" customHeight="1" thickBot="1" x14ac:dyDescent="0.3"/>
    <row r="20" spans="1:9" ht="49.9" customHeight="1" x14ac:dyDescent="0.25">
      <c r="A20" s="381" t="s">
        <v>0</v>
      </c>
      <c r="B20" s="354" t="s">
        <v>93</v>
      </c>
      <c r="C20" s="529" t="s">
        <v>1</v>
      </c>
      <c r="D20" s="231" t="s">
        <v>92</v>
      </c>
      <c r="E20" s="530" t="s">
        <v>119</v>
      </c>
      <c r="F20" s="354" t="s">
        <v>359</v>
      </c>
      <c r="G20" s="354" t="s">
        <v>254</v>
      </c>
      <c r="H20" s="209" t="s">
        <v>416</v>
      </c>
    </row>
    <row r="21" spans="1:9" ht="49.9" customHeight="1" x14ac:dyDescent="0.25">
      <c r="A21" s="3">
        <v>45511</v>
      </c>
      <c r="B21" s="2" t="s">
        <v>2449</v>
      </c>
      <c r="C21" s="106" t="s">
        <v>2729</v>
      </c>
      <c r="D21" s="2" t="s">
        <v>95</v>
      </c>
      <c r="E21" s="2" t="s">
        <v>2730</v>
      </c>
      <c r="F21" s="2" t="str">
        <f t="shared" ref="F21:F38" si="1">IFERROR(VLOOKUP(B21,targlist02,3,0),"Nincs Adat")</f>
        <v>RCB12B20003</v>
      </c>
      <c r="G21" s="2">
        <v>66</v>
      </c>
      <c r="H21" s="2">
        <v>247.19</v>
      </c>
      <c r="I21" s="1">
        <v>6170198098</v>
      </c>
    </row>
    <row r="22" spans="1:9" ht="49.9" customHeight="1" x14ac:dyDescent="0.25">
      <c r="A22" s="3">
        <v>45510</v>
      </c>
      <c r="B22" s="2" t="s">
        <v>141</v>
      </c>
      <c r="C22" s="2" t="s">
        <v>2725</v>
      </c>
      <c r="D22" s="2" t="s">
        <v>95</v>
      </c>
      <c r="E22" s="2" t="s">
        <v>2726</v>
      </c>
      <c r="F22" s="2" t="str">
        <f t="shared" si="1"/>
        <v>LO20N2RCB13B00110</v>
      </c>
      <c r="G22" s="2">
        <v>1587</v>
      </c>
      <c r="H22" s="2">
        <v>238.66</v>
      </c>
      <c r="I22" s="1">
        <v>6170198094</v>
      </c>
    </row>
    <row r="23" spans="1:9" ht="49.9" customHeight="1" x14ac:dyDescent="0.25">
      <c r="A23" s="3">
        <v>45506</v>
      </c>
      <c r="B23" s="2" t="s">
        <v>78</v>
      </c>
      <c r="C23" s="106" t="s">
        <v>2709</v>
      </c>
      <c r="D23" s="2" t="s">
        <v>95</v>
      </c>
      <c r="E23" s="2" t="s">
        <v>2710</v>
      </c>
      <c r="F23" s="2" t="str">
        <f t="shared" si="1"/>
        <v>PTP200R239152</v>
      </c>
      <c r="G23" s="2">
        <v>2104</v>
      </c>
      <c r="H23" s="2">
        <v>820.14</v>
      </c>
      <c r="I23" s="1">
        <v>6170198118</v>
      </c>
    </row>
    <row r="24" spans="1:9" ht="49.9" customHeight="1" x14ac:dyDescent="0.25">
      <c r="A24" s="3">
        <v>45504</v>
      </c>
      <c r="B24" s="2" t="s">
        <v>142</v>
      </c>
      <c r="C24" s="106" t="s">
        <v>2697</v>
      </c>
      <c r="D24" s="2" t="s">
        <v>95</v>
      </c>
      <c r="E24" s="2" t="s">
        <v>2698</v>
      </c>
      <c r="F24" s="2" t="str">
        <f t="shared" si="1"/>
        <v>LO20N2RCB13B00112</v>
      </c>
      <c r="G24" s="2">
        <v>2151</v>
      </c>
      <c r="H24" s="2">
        <v>497.43</v>
      </c>
      <c r="I24" s="1">
        <v>6170198091</v>
      </c>
    </row>
    <row r="25" spans="1:9" ht="49.9" customHeight="1" x14ac:dyDescent="0.25">
      <c r="A25" s="3">
        <v>45502</v>
      </c>
      <c r="B25" s="2" t="s">
        <v>81</v>
      </c>
      <c r="C25" s="106" t="s">
        <v>2693</v>
      </c>
      <c r="D25" s="2" t="s">
        <v>95</v>
      </c>
      <c r="E25" s="2" t="s">
        <v>2694</v>
      </c>
      <c r="F25" s="2" t="str">
        <f t="shared" si="1"/>
        <v>PTP200R239155</v>
      </c>
      <c r="G25" s="2">
        <v>788</v>
      </c>
      <c r="H25" s="2">
        <v>372.29</v>
      </c>
      <c r="I25" s="1">
        <v>6170198100</v>
      </c>
    </row>
    <row r="26" spans="1:9" ht="49.9" customHeight="1" x14ac:dyDescent="0.25">
      <c r="A26" s="3">
        <v>45498</v>
      </c>
      <c r="B26" s="2" t="s">
        <v>77</v>
      </c>
      <c r="C26" s="106" t="s">
        <v>2684</v>
      </c>
      <c r="D26" s="2" t="s">
        <v>95</v>
      </c>
      <c r="E26" s="2" t="s">
        <v>2685</v>
      </c>
      <c r="F26" s="2" t="str">
        <f t="shared" si="1"/>
        <v>PTP200R239151</v>
      </c>
      <c r="G26" s="2">
        <v>1588</v>
      </c>
      <c r="H26" s="2">
        <v>946.75</v>
      </c>
      <c r="I26" s="1">
        <v>6170198099</v>
      </c>
    </row>
    <row r="27" spans="1:9" ht="49.9" customHeight="1" x14ac:dyDescent="0.25">
      <c r="A27" s="3">
        <v>45498</v>
      </c>
      <c r="B27" s="2" t="s">
        <v>78</v>
      </c>
      <c r="C27" s="106" t="s">
        <v>2683</v>
      </c>
      <c r="D27" s="2" t="s">
        <v>95</v>
      </c>
      <c r="E27" s="2" t="s">
        <v>2682</v>
      </c>
      <c r="F27" s="2" t="str">
        <f t="shared" si="1"/>
        <v>PTP200R239152</v>
      </c>
      <c r="G27" s="2">
        <v>2080</v>
      </c>
      <c r="H27" s="2">
        <v>266.04000000000002</v>
      </c>
      <c r="I27" s="1">
        <v>6170198102</v>
      </c>
    </row>
    <row r="28" spans="1:9" ht="49.9" customHeight="1" x14ac:dyDescent="0.25">
      <c r="A28" s="3">
        <v>45492</v>
      </c>
      <c r="B28" s="2" t="s">
        <v>1785</v>
      </c>
      <c r="C28" s="2" t="s">
        <v>2669</v>
      </c>
      <c r="D28" s="2" t="s">
        <v>95</v>
      </c>
      <c r="E28" s="2" t="s">
        <v>2670</v>
      </c>
      <c r="F28" s="2" t="str">
        <f t="shared" si="1"/>
        <v>Nincs Adat</v>
      </c>
      <c r="G28" s="2">
        <v>0</v>
      </c>
      <c r="H28" s="2">
        <v>212.98</v>
      </c>
      <c r="I28" s="1">
        <v>6170198104</v>
      </c>
    </row>
    <row r="29" spans="1:9" ht="49.9" customHeight="1" x14ac:dyDescent="0.25">
      <c r="A29" s="3">
        <v>45489</v>
      </c>
      <c r="B29" s="2" t="s">
        <v>78</v>
      </c>
      <c r="C29" s="106" t="s">
        <v>2641</v>
      </c>
      <c r="D29" s="2" t="s">
        <v>95</v>
      </c>
      <c r="E29" s="2" t="s">
        <v>2642</v>
      </c>
      <c r="F29" s="2" t="str">
        <f t="shared" si="1"/>
        <v>PTP200R239152</v>
      </c>
      <c r="G29" s="2">
        <v>2056</v>
      </c>
      <c r="H29" s="2">
        <v>513.70000000000005</v>
      </c>
      <c r="I29" s="1">
        <v>6170198119</v>
      </c>
    </row>
    <row r="30" spans="1:9" ht="49.9" customHeight="1" x14ac:dyDescent="0.25">
      <c r="A30" s="3">
        <v>45489</v>
      </c>
      <c r="B30" s="2" t="s">
        <v>80</v>
      </c>
      <c r="C30" s="2" t="s">
        <v>2639</v>
      </c>
      <c r="D30" s="2" t="s">
        <v>95</v>
      </c>
      <c r="E30" s="2" t="s">
        <v>2640</v>
      </c>
      <c r="F30" s="2" t="str">
        <f t="shared" si="1"/>
        <v>PTP200R239154</v>
      </c>
      <c r="G30" s="2">
        <v>279</v>
      </c>
      <c r="H30" s="2">
        <v>183.27</v>
      </c>
      <c r="I30" s="1">
        <v>6170198096</v>
      </c>
    </row>
    <row r="31" spans="1:9" ht="49.9" customHeight="1" x14ac:dyDescent="0.25">
      <c r="A31" s="3">
        <v>45489</v>
      </c>
      <c r="B31" s="2" t="s">
        <v>79</v>
      </c>
      <c r="C31" s="106" t="s">
        <v>2637</v>
      </c>
      <c r="D31" s="2" t="s">
        <v>95</v>
      </c>
      <c r="E31" s="2" t="s">
        <v>2702</v>
      </c>
      <c r="F31" s="2" t="str">
        <f t="shared" si="1"/>
        <v>PTP200R239153</v>
      </c>
      <c r="G31" s="2">
        <v>1916</v>
      </c>
      <c r="H31" s="2">
        <v>425.67</v>
      </c>
      <c r="I31" s="1">
        <v>6170198116</v>
      </c>
    </row>
    <row r="32" spans="1:9" ht="49.9" customHeight="1" x14ac:dyDescent="0.25">
      <c r="A32" s="3">
        <v>45489</v>
      </c>
      <c r="B32" s="2" t="s">
        <v>79</v>
      </c>
      <c r="C32" s="106" t="s">
        <v>2637</v>
      </c>
      <c r="D32" s="2" t="s">
        <v>95</v>
      </c>
      <c r="E32" s="2" t="s">
        <v>2638</v>
      </c>
      <c r="F32" s="2" t="str">
        <f t="shared" ref="F32" si="2">IFERROR(VLOOKUP(B32,targlist02,3,0),"Nincs Adat")</f>
        <v>PTP200R239153</v>
      </c>
      <c r="G32" s="2">
        <v>1916</v>
      </c>
      <c r="H32" s="2" t="s">
        <v>2935</v>
      </c>
    </row>
    <row r="33" spans="1:9" ht="49.9" customHeight="1" x14ac:dyDescent="0.25">
      <c r="A33" s="3">
        <v>45488</v>
      </c>
      <c r="B33" s="2" t="s">
        <v>79</v>
      </c>
      <c r="C33" s="2" t="s">
        <v>2631</v>
      </c>
      <c r="D33" s="2" t="s">
        <v>95</v>
      </c>
      <c r="E33" s="2" t="s">
        <v>2632</v>
      </c>
      <c r="F33" s="2" t="str">
        <f t="shared" si="1"/>
        <v>PTP200R239153</v>
      </c>
      <c r="G33" s="2">
        <v>1911</v>
      </c>
      <c r="H33" s="2">
        <v>273.58</v>
      </c>
      <c r="I33" s="1">
        <v>6170198109</v>
      </c>
    </row>
    <row r="34" spans="1:9" ht="49.9" customHeight="1" x14ac:dyDescent="0.25">
      <c r="A34" s="3">
        <v>45484</v>
      </c>
      <c r="B34" s="2" t="s">
        <v>80</v>
      </c>
      <c r="C34" s="106" t="s">
        <v>2627</v>
      </c>
      <c r="D34" s="2" t="s">
        <v>95</v>
      </c>
      <c r="E34" s="2" t="s">
        <v>2628</v>
      </c>
      <c r="F34" s="2" t="str">
        <f t="shared" si="1"/>
        <v>PTP200R239154</v>
      </c>
      <c r="G34" s="2">
        <v>268</v>
      </c>
      <c r="H34" s="2">
        <v>273.58</v>
      </c>
      <c r="I34" s="1">
        <v>6170198090</v>
      </c>
    </row>
    <row r="35" spans="1:9" ht="49.9" customHeight="1" x14ac:dyDescent="0.25">
      <c r="A35" s="3">
        <v>45481</v>
      </c>
      <c r="B35" s="2" t="s">
        <v>141</v>
      </c>
      <c r="C35" s="106" t="s">
        <v>2832</v>
      </c>
      <c r="D35" s="2" t="s">
        <v>95</v>
      </c>
      <c r="E35" s="2" t="s">
        <v>2609</v>
      </c>
      <c r="F35" s="2" t="str">
        <f t="shared" si="1"/>
        <v>LO20N2RCB13B00110</v>
      </c>
      <c r="G35" s="2">
        <v>1532</v>
      </c>
      <c r="H35" s="2">
        <v>212.47</v>
      </c>
      <c r="I35" s="1">
        <v>6170198868</v>
      </c>
    </row>
    <row r="36" spans="1:9" ht="49.9" customHeight="1" x14ac:dyDescent="0.25">
      <c r="A36" s="3">
        <v>45476</v>
      </c>
      <c r="B36" s="2" t="s">
        <v>80</v>
      </c>
      <c r="C36" s="106" t="s">
        <v>2587</v>
      </c>
      <c r="D36" s="2" t="s">
        <v>95</v>
      </c>
      <c r="E36" s="2" t="s">
        <v>2588</v>
      </c>
      <c r="F36" s="2" t="str">
        <f t="shared" si="1"/>
        <v>PTP200R239154</v>
      </c>
      <c r="G36" s="2">
        <v>253</v>
      </c>
      <c r="H36" s="2">
        <v>452.08</v>
      </c>
      <c r="I36" s="1">
        <v>6170198093</v>
      </c>
    </row>
    <row r="37" spans="1:9" ht="49.9" customHeight="1" x14ac:dyDescent="0.25">
      <c r="A37" s="3">
        <v>45475</v>
      </c>
      <c r="B37" s="2" t="s">
        <v>77</v>
      </c>
      <c r="C37" s="106" t="s">
        <v>2580</v>
      </c>
      <c r="D37" s="2" t="s">
        <v>95</v>
      </c>
      <c r="E37" s="2" t="s">
        <v>2581</v>
      </c>
      <c r="F37" s="2" t="str">
        <f t="shared" si="1"/>
        <v>PTP200R239151</v>
      </c>
      <c r="G37" s="2">
        <v>1311</v>
      </c>
      <c r="H37" s="2">
        <v>456.11</v>
      </c>
      <c r="I37" s="1">
        <v>6170198092</v>
      </c>
    </row>
    <row r="38" spans="1:9" ht="49.9" customHeight="1" x14ac:dyDescent="0.25">
      <c r="A38" s="14">
        <v>45474</v>
      </c>
      <c r="B38" s="2" t="s">
        <v>20</v>
      </c>
      <c r="C38" s="4" t="s">
        <v>2833</v>
      </c>
      <c r="D38" s="22" t="s">
        <v>95</v>
      </c>
      <c r="E38" s="18" t="s">
        <v>2567</v>
      </c>
      <c r="F38" s="4" t="str">
        <f t="shared" si="1"/>
        <v>EUB09D700832</v>
      </c>
      <c r="G38" s="4">
        <v>4337</v>
      </c>
      <c r="H38" s="2">
        <v>927.05</v>
      </c>
      <c r="I38" s="1">
        <v>6170198114</v>
      </c>
    </row>
    <row r="39" spans="1:9" ht="49.9" customHeight="1" x14ac:dyDescent="0.25">
      <c r="A39" s="9"/>
      <c r="B39" s="1"/>
      <c r="C39" s="496"/>
      <c r="D39" s="1"/>
      <c r="E39" s="1"/>
      <c r="F39" s="1"/>
    </row>
    <row r="40" spans="1:9" ht="49.9" customHeight="1" x14ac:dyDescent="0.25">
      <c r="A40" s="9"/>
      <c r="B40" s="1"/>
      <c r="C40" s="496"/>
      <c r="D40" s="1"/>
      <c r="E40" s="1"/>
      <c r="F40" s="1"/>
    </row>
    <row r="41" spans="1:9" ht="49.9" customHeight="1" x14ac:dyDescent="0.25"/>
    <row r="42" spans="1:9" ht="15.75" thickBot="1" x14ac:dyDescent="0.3"/>
    <row r="43" spans="1:9" ht="49.9" customHeight="1" thickBot="1" x14ac:dyDescent="0.3">
      <c r="A43" s="204" t="s">
        <v>0</v>
      </c>
      <c r="B43" s="104" t="s">
        <v>93</v>
      </c>
      <c r="C43" s="237" t="s">
        <v>1</v>
      </c>
      <c r="D43" s="32" t="s">
        <v>92</v>
      </c>
      <c r="E43" s="235" t="s">
        <v>119</v>
      </c>
      <c r="F43" s="104" t="s">
        <v>359</v>
      </c>
      <c r="G43" s="104" t="s">
        <v>254</v>
      </c>
      <c r="H43" s="205" t="s">
        <v>416</v>
      </c>
    </row>
    <row r="44" spans="1:9" ht="49.9" customHeight="1" x14ac:dyDescent="0.25">
      <c r="A44" s="14">
        <v>45447</v>
      </c>
      <c r="B44" s="4" t="s">
        <v>4</v>
      </c>
      <c r="C44" s="22" t="s">
        <v>2481</v>
      </c>
      <c r="D44" s="111" t="s">
        <v>95</v>
      </c>
      <c r="E44" s="18" t="s">
        <v>2482</v>
      </c>
      <c r="F44" s="4" t="str">
        <f t="shared" ref="F44:F47" si="3">IFERROR(VLOOKUP(B44,targlist02,3,0),"Nincs Adat")</f>
        <v>JAG2N1E701604</v>
      </c>
      <c r="G44" s="4">
        <v>1900</v>
      </c>
      <c r="H44" s="17">
        <v>145.80000000000001</v>
      </c>
    </row>
    <row r="45" spans="1:9" ht="49.9" customHeight="1" x14ac:dyDescent="0.25">
      <c r="A45" s="14">
        <v>45447</v>
      </c>
      <c r="B45" s="2" t="s">
        <v>2</v>
      </c>
      <c r="C45" s="22" t="s">
        <v>2474</v>
      </c>
      <c r="D45" s="111" t="s">
        <v>95</v>
      </c>
      <c r="E45" s="18" t="s">
        <v>2480</v>
      </c>
      <c r="F45" s="4" t="str">
        <f t="shared" si="3"/>
        <v>JA2N1E700427</v>
      </c>
      <c r="G45" s="2">
        <v>2490</v>
      </c>
      <c r="H45" s="166">
        <v>59.69</v>
      </c>
    </row>
    <row r="46" spans="1:9" ht="49.9" customHeight="1" x14ac:dyDescent="0.25">
      <c r="A46" s="14">
        <v>45447</v>
      </c>
      <c r="B46" s="2" t="s">
        <v>3</v>
      </c>
      <c r="C46" s="22" t="s">
        <v>2474</v>
      </c>
      <c r="D46" s="111" t="s">
        <v>95</v>
      </c>
      <c r="E46" s="18" t="s">
        <v>2475</v>
      </c>
      <c r="F46" s="4" t="str">
        <f t="shared" si="3"/>
        <v>JA2N1E700428</v>
      </c>
      <c r="G46" s="4">
        <v>2180</v>
      </c>
      <c r="H46" s="166">
        <v>59.69</v>
      </c>
    </row>
    <row r="47" spans="1:9" ht="49.9" customHeight="1" thickBot="1" x14ac:dyDescent="0.3">
      <c r="A47" s="343">
        <v>45450</v>
      </c>
      <c r="B47" s="109" t="s">
        <v>2476</v>
      </c>
      <c r="C47" s="344" t="s">
        <v>2486</v>
      </c>
      <c r="D47" s="212" t="s">
        <v>95</v>
      </c>
      <c r="E47" s="203" t="s">
        <v>2485</v>
      </c>
      <c r="F47" s="201" t="str">
        <f t="shared" si="3"/>
        <v>Nincs Adat</v>
      </c>
      <c r="G47" s="201"/>
      <c r="H47" s="202">
        <v>361.7</v>
      </c>
    </row>
    <row r="48" spans="1:9" ht="22.9" customHeight="1" thickBot="1" x14ac:dyDescent="0.3">
      <c r="A48" s="343"/>
      <c r="B48" s="201"/>
      <c r="C48" s="344"/>
      <c r="D48" s="212"/>
      <c r="E48" s="203"/>
      <c r="F48" s="201"/>
      <c r="G48" s="201"/>
      <c r="H48" s="202"/>
    </row>
    <row r="49" spans="1:8" ht="49.9" customHeight="1" thickBot="1" x14ac:dyDescent="0.3">
      <c r="A49" s="204" t="s">
        <v>0</v>
      </c>
      <c r="B49" s="104" t="s">
        <v>93</v>
      </c>
      <c r="C49" s="237" t="s">
        <v>1</v>
      </c>
      <c r="D49" s="32" t="s">
        <v>92</v>
      </c>
      <c r="E49" s="235" t="s">
        <v>119</v>
      </c>
      <c r="F49" s="104" t="s">
        <v>359</v>
      </c>
      <c r="G49" s="104" t="s">
        <v>254</v>
      </c>
      <c r="H49" s="205" t="s">
        <v>416</v>
      </c>
    </row>
    <row r="50" spans="1:8" ht="36.6" customHeight="1" x14ac:dyDescent="0.25">
      <c r="A50" s="14">
        <v>45453</v>
      </c>
      <c r="B50" s="4" t="s">
        <v>2568</v>
      </c>
      <c r="C50" s="4" t="s">
        <v>2569</v>
      </c>
      <c r="D50" s="4" t="s">
        <v>95</v>
      </c>
      <c r="E50" s="4" t="s">
        <v>2570</v>
      </c>
      <c r="F50" s="4" t="s">
        <v>2571</v>
      </c>
      <c r="G50" s="4"/>
      <c r="H50" s="17">
        <v>421.28</v>
      </c>
    </row>
    <row r="51" spans="1:8" ht="32.450000000000003" customHeight="1" thickBot="1" x14ac:dyDescent="0.3">
      <c r="A51" s="108">
        <v>45456</v>
      </c>
      <c r="B51" s="109" t="s">
        <v>2568</v>
      </c>
      <c r="C51" s="109" t="s">
        <v>2572</v>
      </c>
      <c r="D51" s="109" t="s">
        <v>95</v>
      </c>
      <c r="E51" s="109" t="s">
        <v>2573</v>
      </c>
      <c r="F51" s="109" t="s">
        <v>2571</v>
      </c>
      <c r="G51" s="109"/>
      <c r="H51" s="110">
        <v>393.8</v>
      </c>
    </row>
    <row r="52" spans="1:8" ht="32.450000000000003" customHeight="1" thickBot="1" x14ac:dyDescent="0.3"/>
    <row r="53" spans="1:8" ht="32.450000000000003" customHeight="1" x14ac:dyDescent="0.25">
      <c r="A53" s="381" t="s">
        <v>0</v>
      </c>
      <c r="B53" s="354" t="s">
        <v>93</v>
      </c>
      <c r="C53" s="354" t="s">
        <v>1</v>
      </c>
      <c r="D53" s="354" t="s">
        <v>92</v>
      </c>
      <c r="E53" s="354" t="s">
        <v>119</v>
      </c>
      <c r="F53" s="354" t="s">
        <v>359</v>
      </c>
      <c r="G53" s="354" t="s">
        <v>254</v>
      </c>
      <c r="H53" s="209" t="s">
        <v>416</v>
      </c>
    </row>
    <row r="54" spans="1:8" ht="32.450000000000003" customHeight="1" x14ac:dyDescent="0.25">
      <c r="A54" s="3">
        <v>45429</v>
      </c>
      <c r="B54" s="2" t="s">
        <v>77</v>
      </c>
      <c r="C54" s="106" t="s">
        <v>2389</v>
      </c>
      <c r="D54" s="2" t="s">
        <v>95</v>
      </c>
      <c r="E54" s="2" t="s">
        <v>2390</v>
      </c>
      <c r="F54" s="2" t="str">
        <f t="shared" ref="F54" si="4">IFERROR(VLOOKUP(B54,targlist02,3,0),"Nincs Adat")</f>
        <v>PTP200R239151</v>
      </c>
      <c r="G54" s="2">
        <v>1156</v>
      </c>
      <c r="H54" s="2">
        <v>511.77</v>
      </c>
    </row>
    <row r="55" spans="1:8" ht="32.450000000000003" customHeight="1" x14ac:dyDescent="0.25">
      <c r="A55" s="3">
        <v>45427</v>
      </c>
      <c r="B55" s="2" t="s">
        <v>79</v>
      </c>
      <c r="C55" s="106" t="s">
        <v>2376</v>
      </c>
      <c r="D55" s="2" t="s">
        <v>95</v>
      </c>
      <c r="E55" s="2" t="s">
        <v>2377</v>
      </c>
      <c r="F55" s="2" t="str">
        <f>IFERROR(VLOOKUP(B55,targlist02,3,0),"Nincs Adat")</f>
        <v>PTP200R239153</v>
      </c>
      <c r="G55" s="2">
        <v>1796</v>
      </c>
      <c r="H55" s="2">
        <v>411.84</v>
      </c>
    </row>
    <row r="56" spans="1:8" ht="32.450000000000003" customHeight="1" x14ac:dyDescent="0.25">
      <c r="A56" s="3">
        <v>45425</v>
      </c>
      <c r="B56" s="2" t="s">
        <v>9</v>
      </c>
      <c r="C56" s="2" t="s">
        <v>2368</v>
      </c>
      <c r="D56" s="2" t="s">
        <v>95</v>
      </c>
      <c r="E56" s="2" t="s">
        <v>2356</v>
      </c>
      <c r="F56" s="2" t="str">
        <f t="shared" ref="F56:F62" si="5">IFERROR(VLOOKUP(B56,targlist02,3,0),"Nincs Adat")</f>
        <v>EUB09D700745</v>
      </c>
      <c r="G56" s="2">
        <v>4490</v>
      </c>
      <c r="H56" s="2">
        <v>59.69</v>
      </c>
    </row>
    <row r="57" spans="1:8" ht="32.450000000000003" customHeight="1" x14ac:dyDescent="0.25">
      <c r="A57" s="3">
        <v>45425</v>
      </c>
      <c r="B57" s="2" t="s">
        <v>7</v>
      </c>
      <c r="C57" s="2" t="s">
        <v>2369</v>
      </c>
      <c r="D57" s="2" t="s">
        <v>95</v>
      </c>
      <c r="E57" s="2" t="s">
        <v>2357</v>
      </c>
      <c r="F57" s="2" t="str">
        <f t="shared" si="5"/>
        <v>EUB09D700743</v>
      </c>
      <c r="G57" s="2">
        <v>5107</v>
      </c>
      <c r="H57" s="2">
        <v>145.80000000000001</v>
      </c>
    </row>
    <row r="58" spans="1:8" ht="32.450000000000003" customHeight="1" x14ac:dyDescent="0.25">
      <c r="A58" s="3">
        <v>45422</v>
      </c>
      <c r="B58" s="2" t="s">
        <v>9</v>
      </c>
      <c r="C58" s="2" t="s">
        <v>2363</v>
      </c>
      <c r="D58" s="2" t="s">
        <v>95</v>
      </c>
      <c r="E58" s="2" t="s">
        <v>2362</v>
      </c>
      <c r="F58" s="2" t="str">
        <f t="shared" si="5"/>
        <v>EUB09D700745</v>
      </c>
      <c r="G58" s="2">
        <v>4491</v>
      </c>
      <c r="H58" s="2">
        <v>205.49</v>
      </c>
    </row>
    <row r="59" spans="1:8" ht="32.450000000000003" customHeight="1" x14ac:dyDescent="0.25">
      <c r="A59" s="3">
        <v>45420</v>
      </c>
      <c r="B59" s="2" t="s">
        <v>79</v>
      </c>
      <c r="C59" s="2" t="s">
        <v>2328</v>
      </c>
      <c r="D59" s="2" t="s">
        <v>95</v>
      </c>
      <c r="E59" s="2" t="s">
        <v>2329</v>
      </c>
      <c r="F59" s="2" t="str">
        <f t="shared" si="5"/>
        <v>PTP200R239153</v>
      </c>
      <c r="G59" s="2">
        <v>1779</v>
      </c>
      <c r="H59" s="2">
        <v>205.49</v>
      </c>
    </row>
    <row r="60" spans="1:8" ht="32.450000000000003" customHeight="1" x14ac:dyDescent="0.25">
      <c r="A60" s="3">
        <v>45419</v>
      </c>
      <c r="B60" s="2" t="s">
        <v>78</v>
      </c>
      <c r="C60" s="106" t="s">
        <v>2312</v>
      </c>
      <c r="D60" s="2" t="s">
        <v>95</v>
      </c>
      <c r="E60" s="2" t="s">
        <v>2313</v>
      </c>
      <c r="F60" s="2" t="str">
        <f t="shared" si="5"/>
        <v>PTP200R239152</v>
      </c>
      <c r="G60" s="2">
        <v>1842</v>
      </c>
      <c r="H60" s="2">
        <v>348.95</v>
      </c>
    </row>
    <row r="61" spans="1:8" ht="32.450000000000003" customHeight="1" x14ac:dyDescent="0.25">
      <c r="A61" s="3">
        <v>45419</v>
      </c>
      <c r="B61" s="2" t="s">
        <v>23</v>
      </c>
      <c r="C61" s="2" t="s">
        <v>2318</v>
      </c>
      <c r="D61" s="2" t="s">
        <v>95</v>
      </c>
      <c r="E61" s="2" t="s">
        <v>2319</v>
      </c>
      <c r="F61" s="2" t="str">
        <f t="shared" si="5"/>
        <v>EUB09D700740</v>
      </c>
      <c r="G61" s="2">
        <v>2349</v>
      </c>
      <c r="H61" s="2">
        <v>273.3</v>
      </c>
    </row>
    <row r="62" spans="1:8" ht="32.450000000000003" customHeight="1" x14ac:dyDescent="0.25">
      <c r="A62" s="14">
        <v>45419</v>
      </c>
      <c r="B62" s="2" t="s">
        <v>22</v>
      </c>
      <c r="C62" s="4" t="s">
        <v>2326</v>
      </c>
      <c r="D62" s="17" t="s">
        <v>95</v>
      </c>
      <c r="E62" s="18" t="s">
        <v>2327</v>
      </c>
      <c r="F62" s="4" t="str">
        <f t="shared" si="5"/>
        <v>EUB09D700838</v>
      </c>
      <c r="G62" s="4">
        <v>2661</v>
      </c>
      <c r="H62" s="2">
        <v>145.80000000000001</v>
      </c>
    </row>
    <row r="63" spans="1:8" ht="15.75" thickBot="1" x14ac:dyDescent="0.3"/>
    <row r="64" spans="1:8" ht="49.9" customHeight="1" x14ac:dyDescent="0.25">
      <c r="A64" s="381" t="s">
        <v>0</v>
      </c>
      <c r="B64" s="354" t="s">
        <v>93</v>
      </c>
      <c r="C64" s="354" t="s">
        <v>1</v>
      </c>
      <c r="D64" s="354" t="s">
        <v>92</v>
      </c>
      <c r="E64" s="354" t="s">
        <v>119</v>
      </c>
      <c r="F64" s="354" t="s">
        <v>359</v>
      </c>
      <c r="G64" s="354" t="s">
        <v>254</v>
      </c>
      <c r="H64" s="209" t="s">
        <v>416</v>
      </c>
    </row>
    <row r="65" spans="1:8" ht="49.9" customHeight="1" x14ac:dyDescent="0.25">
      <c r="A65" s="3">
        <v>45440</v>
      </c>
      <c r="B65" s="2" t="s">
        <v>80</v>
      </c>
      <c r="C65" s="2" t="s">
        <v>2426</v>
      </c>
      <c r="D65" s="2" t="s">
        <v>95</v>
      </c>
      <c r="E65" s="2" t="s">
        <v>2427</v>
      </c>
      <c r="F65" s="2" t="str">
        <f>IFERROR(VLOOKUP(B65,targlist02,3,0),"Nincs Adat")</f>
        <v>PTP200R239154</v>
      </c>
      <c r="G65" s="2">
        <v>117</v>
      </c>
      <c r="H65" s="2">
        <v>187.48</v>
      </c>
    </row>
    <row r="66" spans="1:8" ht="49.9" customHeight="1" x14ac:dyDescent="0.25">
      <c r="A66" s="3">
        <v>45440</v>
      </c>
      <c r="B66" s="2" t="s">
        <v>142</v>
      </c>
      <c r="C66" s="106" t="s">
        <v>2428</v>
      </c>
      <c r="D66" s="2" t="s">
        <v>95</v>
      </c>
      <c r="E66" s="2" t="s">
        <v>2429</v>
      </c>
      <c r="F66" s="2" t="str">
        <f>IFERROR(VLOOKUP(B66,targlist02,3,0),"Nincs Adat")</f>
        <v>LO20N2RCB13B00112</v>
      </c>
      <c r="G66" s="2">
        <v>2039</v>
      </c>
      <c r="H66" s="2">
        <v>446.61</v>
      </c>
    </row>
    <row r="67" spans="1:8" ht="49.9" customHeight="1" x14ac:dyDescent="0.25">
      <c r="A67" s="3">
        <v>45434</v>
      </c>
      <c r="B67" s="2" t="s">
        <v>142</v>
      </c>
      <c r="C67" s="106" t="s">
        <v>2416</v>
      </c>
      <c r="D67" s="2" t="s">
        <v>95</v>
      </c>
      <c r="E67" s="2" t="s">
        <v>2417</v>
      </c>
      <c r="F67" s="2" t="str">
        <f>IFERROR(VLOOKUP(B67,targlist02,3,0),"Nincs Adat")</f>
        <v>LO20N2RCB13B00112</v>
      </c>
      <c r="G67" s="2">
        <v>2031</v>
      </c>
      <c r="H67" s="2">
        <v>286.23</v>
      </c>
    </row>
    <row r="68" spans="1:8" ht="49.9" customHeight="1" x14ac:dyDescent="0.25">
      <c r="A68" s="3">
        <v>45433</v>
      </c>
      <c r="B68" s="2" t="s">
        <v>78</v>
      </c>
      <c r="C68" s="106" t="s">
        <v>2397</v>
      </c>
      <c r="D68" s="2" t="s">
        <v>95</v>
      </c>
      <c r="E68" s="2" t="s">
        <v>2396</v>
      </c>
      <c r="F68" s="2" t="str">
        <f t="shared" ref="F68:F71" si="6">IFERROR(VLOOKUP(B68,targlist02,3,0),"Nincs Adat")</f>
        <v>PTP200R239152</v>
      </c>
      <c r="G68" s="2">
        <v>1886</v>
      </c>
      <c r="H68" s="2">
        <v>511.66</v>
      </c>
    </row>
    <row r="69" spans="1:8" ht="49.9" customHeight="1" x14ac:dyDescent="0.25">
      <c r="A69" s="3">
        <v>45433</v>
      </c>
      <c r="B69" s="2" t="s">
        <v>80</v>
      </c>
      <c r="C69" s="106" t="s">
        <v>2394</v>
      </c>
      <c r="D69" s="2" t="s">
        <v>95</v>
      </c>
      <c r="E69" s="2" t="s">
        <v>2395</v>
      </c>
      <c r="F69" s="2" t="str">
        <f t="shared" si="6"/>
        <v>PTP200R239154</v>
      </c>
      <c r="G69" s="2">
        <v>96</v>
      </c>
      <c r="H69" s="2">
        <v>209.69</v>
      </c>
    </row>
    <row r="70" spans="1:8" ht="49.9" customHeight="1" x14ac:dyDescent="0.25">
      <c r="A70" s="3">
        <v>45420</v>
      </c>
      <c r="B70" s="2" t="s">
        <v>77</v>
      </c>
      <c r="C70" s="106" t="s">
        <v>2354</v>
      </c>
      <c r="D70" s="2" t="s">
        <v>95</v>
      </c>
      <c r="E70" s="2" t="s">
        <v>2355</v>
      </c>
      <c r="F70" s="2" t="str">
        <f t="shared" si="6"/>
        <v>PTP200R239151</v>
      </c>
      <c r="G70" s="2">
        <v>1128</v>
      </c>
      <c r="H70" s="2">
        <v>601.5</v>
      </c>
    </row>
    <row r="71" spans="1:8" ht="49.9" customHeight="1" x14ac:dyDescent="0.25">
      <c r="A71" s="3">
        <v>45408</v>
      </c>
      <c r="B71" s="2" t="s">
        <v>81</v>
      </c>
      <c r="C71" s="106" t="s">
        <v>2289</v>
      </c>
      <c r="D71" s="2" t="s">
        <v>95</v>
      </c>
      <c r="E71" s="2" t="s">
        <v>2290</v>
      </c>
      <c r="F71" s="2" t="str">
        <f t="shared" si="6"/>
        <v>PTP200R239155</v>
      </c>
      <c r="G71" s="2">
        <v>457</v>
      </c>
      <c r="H71" s="2">
        <v>340.16</v>
      </c>
    </row>
    <row r="72" spans="1:8" ht="49.9" customHeight="1" x14ac:dyDescent="0.25">
      <c r="A72" s="3">
        <v>45443</v>
      </c>
      <c r="B72" s="2" t="s">
        <v>4</v>
      </c>
      <c r="C72" s="2" t="s">
        <v>2452</v>
      </c>
      <c r="D72" s="2" t="s">
        <v>95</v>
      </c>
      <c r="E72" s="2" t="s">
        <v>2453</v>
      </c>
      <c r="F72" s="2" t="str">
        <f t="shared" ref="F72:F83" si="7">IFERROR(VLOOKUP(B72,targlist02,3,0),"Nincs Adat")</f>
        <v>JAG2N1E701604</v>
      </c>
      <c r="G72" s="2">
        <v>2092</v>
      </c>
      <c r="H72" s="2">
        <v>59.69</v>
      </c>
    </row>
    <row r="73" spans="1:8" ht="49.9" customHeight="1" x14ac:dyDescent="0.25">
      <c r="A73" s="3">
        <v>45443</v>
      </c>
      <c r="B73" s="2" t="s">
        <v>26</v>
      </c>
      <c r="C73" s="2" t="s">
        <v>2454</v>
      </c>
      <c r="D73" s="2" t="s">
        <v>95</v>
      </c>
      <c r="E73" s="2" t="s">
        <v>2455</v>
      </c>
      <c r="F73" s="2" t="str">
        <f t="shared" si="7"/>
        <v>EFC09D60002</v>
      </c>
      <c r="G73" s="2">
        <v>6329</v>
      </c>
      <c r="H73" s="2">
        <v>59.69</v>
      </c>
    </row>
    <row r="74" spans="1:8" ht="49.9" customHeight="1" x14ac:dyDescent="0.25">
      <c r="A74" s="3">
        <v>45443</v>
      </c>
      <c r="B74" s="2" t="s">
        <v>25</v>
      </c>
      <c r="C74" s="2" t="s">
        <v>2456</v>
      </c>
      <c r="D74" s="2" t="s">
        <v>95</v>
      </c>
      <c r="E74" s="2" t="s">
        <v>2457</v>
      </c>
      <c r="F74" s="2" t="str">
        <f t="shared" si="7"/>
        <v>EUB09D700741</v>
      </c>
      <c r="G74" s="2">
        <v>2950</v>
      </c>
      <c r="H74" s="2">
        <v>59.69</v>
      </c>
    </row>
    <row r="75" spans="1:8" ht="49.9" customHeight="1" x14ac:dyDescent="0.25">
      <c r="A75" s="3">
        <v>45443</v>
      </c>
      <c r="B75" s="2" t="s">
        <v>24</v>
      </c>
      <c r="C75" s="2" t="s">
        <v>2458</v>
      </c>
      <c r="D75" s="2" t="s">
        <v>95</v>
      </c>
      <c r="E75" s="2" t="s">
        <v>2459</v>
      </c>
      <c r="F75" s="2" t="str">
        <f t="shared" si="7"/>
        <v>EUB09D700704</v>
      </c>
      <c r="G75" s="2">
        <v>3039</v>
      </c>
      <c r="H75" s="2">
        <v>145.80000000000001</v>
      </c>
    </row>
    <row r="76" spans="1:8" ht="49.9" customHeight="1" x14ac:dyDescent="0.25">
      <c r="A76" s="3">
        <v>45440</v>
      </c>
      <c r="B76" s="2" t="s">
        <v>23</v>
      </c>
      <c r="C76" s="2" t="s">
        <v>2430</v>
      </c>
      <c r="D76" s="2" t="s">
        <v>95</v>
      </c>
      <c r="E76" s="2" t="s">
        <v>2431</v>
      </c>
      <c r="F76" s="2" t="str">
        <f t="shared" si="7"/>
        <v>EUB09D700740</v>
      </c>
      <c r="G76" s="2">
        <v>2365</v>
      </c>
      <c r="H76" s="2">
        <v>59.69</v>
      </c>
    </row>
    <row r="77" spans="1:8" ht="49.9" customHeight="1" x14ac:dyDescent="0.25">
      <c r="A77" s="3">
        <v>45440</v>
      </c>
      <c r="B77" s="2" t="s">
        <v>22</v>
      </c>
      <c r="C77" s="2" t="s">
        <v>2432</v>
      </c>
      <c r="D77" s="2" t="s">
        <v>95</v>
      </c>
      <c r="E77" s="2" t="s">
        <v>2433</v>
      </c>
      <c r="F77" s="2" t="str">
        <f t="shared" si="7"/>
        <v>EUB09D700838</v>
      </c>
      <c r="G77" s="2">
        <v>2863</v>
      </c>
      <c r="H77" s="2">
        <v>59.69</v>
      </c>
    </row>
    <row r="78" spans="1:8" ht="49.9" customHeight="1" x14ac:dyDescent="0.25">
      <c r="A78" s="14">
        <v>45440</v>
      </c>
      <c r="B78" s="2" t="s">
        <v>21</v>
      </c>
      <c r="C78" s="4" t="s">
        <v>2434</v>
      </c>
      <c r="D78" s="17" t="s">
        <v>95</v>
      </c>
      <c r="E78" s="18" t="s">
        <v>2435</v>
      </c>
      <c r="F78" s="4" t="str">
        <f t="shared" si="7"/>
        <v>EUB09D700842</v>
      </c>
      <c r="G78" s="4">
        <v>4934</v>
      </c>
      <c r="H78" s="2">
        <v>59.69</v>
      </c>
    </row>
    <row r="79" spans="1:8" ht="49.9" customHeight="1" x14ac:dyDescent="0.25">
      <c r="A79" s="3">
        <v>45440</v>
      </c>
      <c r="B79" s="2" t="s">
        <v>20</v>
      </c>
      <c r="C79" s="2" t="s">
        <v>2436</v>
      </c>
      <c r="D79" s="2" t="s">
        <v>95</v>
      </c>
      <c r="E79" s="2" t="s">
        <v>2437</v>
      </c>
      <c r="F79" s="2" t="str">
        <f t="shared" si="7"/>
        <v>EUB09D700832</v>
      </c>
      <c r="G79" s="2">
        <v>4100</v>
      </c>
      <c r="H79" s="2">
        <v>59.69</v>
      </c>
    </row>
    <row r="80" spans="1:8" ht="49.9" customHeight="1" x14ac:dyDescent="0.25">
      <c r="A80" s="3">
        <v>45434</v>
      </c>
      <c r="B80" s="2" t="s">
        <v>19</v>
      </c>
      <c r="C80" s="2" t="s">
        <v>2407</v>
      </c>
      <c r="D80" s="2" t="s">
        <v>95</v>
      </c>
      <c r="E80" s="2" t="s">
        <v>2406</v>
      </c>
      <c r="F80" s="2" t="str">
        <f t="shared" si="7"/>
        <v>EUB09D700836</v>
      </c>
      <c r="G80" s="2">
        <v>5838</v>
      </c>
      <c r="H80" s="2">
        <v>59.69</v>
      </c>
    </row>
    <row r="81" spans="1:10" ht="49.9" customHeight="1" x14ac:dyDescent="0.25">
      <c r="A81" s="3">
        <v>45434</v>
      </c>
      <c r="B81" s="2" t="s">
        <v>18</v>
      </c>
      <c r="C81" s="2" t="s">
        <v>2408</v>
      </c>
      <c r="D81" s="2" t="s">
        <v>95</v>
      </c>
      <c r="E81" s="2" t="s">
        <v>2409</v>
      </c>
      <c r="F81" s="2" t="str">
        <f t="shared" si="7"/>
        <v>EUB09D700992</v>
      </c>
      <c r="G81" s="112">
        <v>6426</v>
      </c>
      <c r="H81" s="2">
        <v>59.69</v>
      </c>
    </row>
    <row r="82" spans="1:10" ht="49.9" customHeight="1" x14ac:dyDescent="0.25">
      <c r="A82" s="14">
        <v>45434</v>
      </c>
      <c r="B82" s="2" t="s">
        <v>17</v>
      </c>
      <c r="C82" s="4" t="s">
        <v>2410</v>
      </c>
      <c r="D82" s="17" t="s">
        <v>95</v>
      </c>
      <c r="E82" s="18" t="s">
        <v>2411</v>
      </c>
      <c r="F82" s="4" t="str">
        <f t="shared" si="7"/>
        <v>EUB09D700852</v>
      </c>
      <c r="G82" s="43">
        <v>5065</v>
      </c>
      <c r="H82" s="2">
        <v>59.69</v>
      </c>
    </row>
    <row r="83" spans="1:10" ht="49.9" customHeight="1" x14ac:dyDescent="0.25">
      <c r="A83" s="14">
        <v>45434</v>
      </c>
      <c r="B83" s="2" t="s">
        <v>16</v>
      </c>
      <c r="C83" s="4" t="s">
        <v>2413</v>
      </c>
      <c r="D83" s="17" t="s">
        <v>95</v>
      </c>
      <c r="E83" s="18" t="s">
        <v>2412</v>
      </c>
      <c r="F83" s="4" t="str">
        <f t="shared" si="7"/>
        <v>EUB09D700851</v>
      </c>
      <c r="G83" s="4">
        <v>4440</v>
      </c>
      <c r="H83" s="2">
        <v>59.69</v>
      </c>
    </row>
    <row r="84" spans="1:10" ht="49.9" customHeight="1" x14ac:dyDescent="0.25">
      <c r="A84" s="14">
        <v>45433</v>
      </c>
      <c r="B84" s="2" t="s">
        <v>15</v>
      </c>
      <c r="C84" s="4" t="s">
        <v>2404</v>
      </c>
      <c r="D84" s="17" t="s">
        <v>95</v>
      </c>
      <c r="E84" s="18" t="s">
        <v>2405</v>
      </c>
      <c r="F84" s="4" t="str">
        <f t="shared" ref="F84:F91" si="8">IFERROR(VLOOKUP(B84,targlist02,3,0),"Nincs Adat")</f>
        <v>EUB09D700705</v>
      </c>
      <c r="G84" s="4">
        <v>1852</v>
      </c>
      <c r="H84" s="2">
        <v>59.69</v>
      </c>
    </row>
    <row r="85" spans="1:10" ht="49.9" customHeight="1" x14ac:dyDescent="0.25">
      <c r="A85" s="14">
        <v>45433</v>
      </c>
      <c r="B85" s="2" t="s">
        <v>14</v>
      </c>
      <c r="C85" s="4" t="s">
        <v>2402</v>
      </c>
      <c r="D85" s="17" t="s">
        <v>95</v>
      </c>
      <c r="E85" s="18" t="s">
        <v>2403</v>
      </c>
      <c r="F85" s="4" t="str">
        <f t="shared" si="8"/>
        <v>EUB09D700269</v>
      </c>
      <c r="G85" s="4">
        <v>3992</v>
      </c>
      <c r="H85" s="2">
        <v>59.69</v>
      </c>
    </row>
    <row r="86" spans="1:10" ht="49.9" customHeight="1" x14ac:dyDescent="0.25">
      <c r="A86" s="14">
        <v>45433</v>
      </c>
      <c r="B86" s="2" t="s">
        <v>13</v>
      </c>
      <c r="C86" s="4" t="s">
        <v>2400</v>
      </c>
      <c r="D86" s="17" t="s">
        <v>95</v>
      </c>
      <c r="E86" s="18" t="s">
        <v>2401</v>
      </c>
      <c r="F86" s="4" t="str">
        <f t="shared" si="8"/>
        <v>EUB09D700268</v>
      </c>
      <c r="G86" s="4">
        <v>4193</v>
      </c>
      <c r="H86" s="2">
        <v>59.69</v>
      </c>
    </row>
    <row r="87" spans="1:10" ht="49.9" customHeight="1" x14ac:dyDescent="0.25">
      <c r="A87" s="14">
        <v>45433</v>
      </c>
      <c r="B87" s="2" t="s">
        <v>12</v>
      </c>
      <c r="C87" s="4" t="s">
        <v>2398</v>
      </c>
      <c r="D87" s="17" t="s">
        <v>95</v>
      </c>
      <c r="E87" s="18" t="s">
        <v>2399</v>
      </c>
      <c r="F87" s="4" t="str">
        <f t="shared" si="8"/>
        <v>EUB09D700267</v>
      </c>
      <c r="G87" s="4">
        <v>1543</v>
      </c>
      <c r="H87" s="2">
        <v>59.69</v>
      </c>
    </row>
    <row r="88" spans="1:10" ht="49.9" customHeight="1" x14ac:dyDescent="0.25">
      <c r="A88" s="14">
        <v>45429</v>
      </c>
      <c r="B88" s="2" t="s">
        <v>11</v>
      </c>
      <c r="C88" s="4" t="s">
        <v>2391</v>
      </c>
      <c r="D88" s="17" t="s">
        <v>95</v>
      </c>
      <c r="E88" s="18" t="s">
        <v>2385</v>
      </c>
      <c r="F88" s="4" t="str">
        <f t="shared" si="8"/>
        <v>EUB09D700850</v>
      </c>
      <c r="G88" s="4">
        <v>6187</v>
      </c>
      <c r="H88" s="2">
        <v>59.69</v>
      </c>
    </row>
    <row r="89" spans="1:10" ht="49.9" customHeight="1" x14ac:dyDescent="0.25">
      <c r="A89" s="14">
        <v>45429</v>
      </c>
      <c r="B89" s="2" t="s">
        <v>10</v>
      </c>
      <c r="C89" s="4" t="s">
        <v>2468</v>
      </c>
      <c r="D89" s="17" t="s">
        <v>95</v>
      </c>
      <c r="E89" s="18" t="s">
        <v>2386</v>
      </c>
      <c r="F89" s="4" t="str">
        <f t="shared" si="8"/>
        <v>EUB09D700794</v>
      </c>
      <c r="G89" s="4">
        <v>4065</v>
      </c>
      <c r="H89" s="2">
        <v>59.69</v>
      </c>
    </row>
    <row r="90" spans="1:10" ht="49.9" customHeight="1" x14ac:dyDescent="0.25">
      <c r="A90" s="14">
        <v>45429</v>
      </c>
      <c r="B90" s="2" t="s">
        <v>8</v>
      </c>
      <c r="C90" s="4" t="s">
        <v>2392</v>
      </c>
      <c r="D90" s="17" t="s">
        <v>95</v>
      </c>
      <c r="E90" s="18" t="s">
        <v>2387</v>
      </c>
      <c r="F90" s="4" t="str">
        <f t="shared" si="8"/>
        <v>EUB09D700744</v>
      </c>
      <c r="G90" s="4">
        <v>4948</v>
      </c>
      <c r="H90" s="2">
        <v>59.69</v>
      </c>
    </row>
    <row r="91" spans="1:10" ht="49.9" customHeight="1" x14ac:dyDescent="0.25">
      <c r="A91" s="14">
        <v>45429</v>
      </c>
      <c r="B91" s="2" t="s">
        <v>6</v>
      </c>
      <c r="C91" s="4" t="s">
        <v>2393</v>
      </c>
      <c r="D91" s="17" t="s">
        <v>95</v>
      </c>
      <c r="E91" s="18" t="s">
        <v>2388</v>
      </c>
      <c r="F91" s="4" t="str">
        <f t="shared" si="8"/>
        <v>EUB09D700742</v>
      </c>
      <c r="G91" s="4">
        <v>5600</v>
      </c>
      <c r="H91" s="2">
        <v>59.69</v>
      </c>
    </row>
    <row r="92" spans="1:10" ht="49.9" customHeight="1" x14ac:dyDescent="0.25"/>
    <row r="93" spans="1:10" ht="49.9" customHeight="1" x14ac:dyDescent="0.25"/>
    <row r="94" spans="1:10" ht="49.9" customHeight="1" x14ac:dyDescent="0.25"/>
    <row r="95" spans="1:10" ht="49.9" customHeight="1" thickBot="1" x14ac:dyDescent="0.3"/>
    <row r="96" spans="1:10" ht="49.9" customHeight="1" thickBot="1" x14ac:dyDescent="0.3">
      <c r="A96" s="381" t="s">
        <v>0</v>
      </c>
      <c r="B96" s="354" t="s">
        <v>93</v>
      </c>
      <c r="C96" s="354" t="s">
        <v>1</v>
      </c>
      <c r="D96" s="354" t="s">
        <v>92</v>
      </c>
      <c r="E96" s="354" t="s">
        <v>119</v>
      </c>
      <c r="F96" s="354" t="s">
        <v>359</v>
      </c>
      <c r="G96" s="354" t="s">
        <v>254</v>
      </c>
      <c r="H96" s="354" t="s">
        <v>416</v>
      </c>
      <c r="I96" s="104" t="s">
        <v>1391</v>
      </c>
      <c r="J96" s="205" t="s">
        <v>1651</v>
      </c>
    </row>
    <row r="97" spans="1:10" ht="49.9" customHeight="1" x14ac:dyDescent="0.25">
      <c r="A97" s="3">
        <v>45408</v>
      </c>
      <c r="B97" s="2" t="s">
        <v>81</v>
      </c>
      <c r="C97" s="106" t="s">
        <v>2289</v>
      </c>
      <c r="D97" s="2" t="s">
        <v>95</v>
      </c>
      <c r="E97" s="2" t="s">
        <v>2290</v>
      </c>
      <c r="F97" s="2" t="str">
        <f t="shared" ref="F97:F107" si="9">IFERROR(VLOOKUP(B97,targlist02,3,0),"Nincs Adat")</f>
        <v>PTP200R239155</v>
      </c>
      <c r="G97" s="2">
        <v>457</v>
      </c>
      <c r="H97" s="2">
        <v>340.16</v>
      </c>
    </row>
    <row r="98" spans="1:10" ht="49.9" customHeight="1" x14ac:dyDescent="0.25">
      <c r="A98" s="3">
        <v>45407</v>
      </c>
      <c r="B98" s="2" t="s">
        <v>158</v>
      </c>
      <c r="C98" s="106" t="s">
        <v>2294</v>
      </c>
      <c r="D98" s="2" t="s">
        <v>95</v>
      </c>
      <c r="E98" s="2" t="s">
        <v>2295</v>
      </c>
      <c r="F98" s="2" t="str">
        <f t="shared" si="9"/>
        <v>F24537B00022</v>
      </c>
      <c r="G98" s="2">
        <v>2891</v>
      </c>
      <c r="H98" s="2">
        <v>496.79</v>
      </c>
    </row>
    <row r="99" spans="1:10" ht="49.9" customHeight="1" x14ac:dyDescent="0.25">
      <c r="A99" s="3">
        <v>45400</v>
      </c>
      <c r="B99" s="2" t="s">
        <v>77</v>
      </c>
      <c r="C99" s="106" t="s">
        <v>2249</v>
      </c>
      <c r="D99" s="2" t="s">
        <v>95</v>
      </c>
      <c r="E99" s="2" t="s">
        <v>2250</v>
      </c>
      <c r="F99" s="2" t="str">
        <f t="shared" si="9"/>
        <v>PTP200R239151</v>
      </c>
      <c r="G99" s="2">
        <v>1091</v>
      </c>
      <c r="H99" s="2">
        <v>343.41</v>
      </c>
    </row>
    <row r="100" spans="1:10" ht="49.9" customHeight="1" x14ac:dyDescent="0.25">
      <c r="A100" s="3">
        <v>45397</v>
      </c>
      <c r="B100" s="2" t="s">
        <v>79</v>
      </c>
      <c r="C100" s="106" t="s">
        <v>2237</v>
      </c>
      <c r="D100" s="2" t="s">
        <v>95</v>
      </c>
      <c r="E100" s="2" t="s">
        <v>2238</v>
      </c>
      <c r="F100" s="2" t="str">
        <f t="shared" si="9"/>
        <v>PTP200R239153</v>
      </c>
      <c r="G100" s="2">
        <v>1707</v>
      </c>
      <c r="H100" s="2">
        <v>711.72</v>
      </c>
    </row>
    <row r="101" spans="1:10" ht="49.9" customHeight="1" x14ac:dyDescent="0.25">
      <c r="A101" s="3">
        <v>45391</v>
      </c>
      <c r="B101" s="2" t="s">
        <v>9</v>
      </c>
      <c r="C101" s="2" t="s">
        <v>2215</v>
      </c>
      <c r="D101" s="2" t="s">
        <v>95</v>
      </c>
      <c r="E101" s="2" t="s">
        <v>2216</v>
      </c>
      <c r="F101" s="2" t="str">
        <f t="shared" si="9"/>
        <v>EUB09D700745</v>
      </c>
      <c r="G101" s="2">
        <v>4482</v>
      </c>
      <c r="H101" s="2">
        <v>563.63</v>
      </c>
    </row>
    <row r="102" spans="1:10" ht="49.9" customHeight="1" x14ac:dyDescent="0.25">
      <c r="A102" s="3">
        <v>45386</v>
      </c>
      <c r="B102" s="2" t="s">
        <v>81</v>
      </c>
      <c r="C102" s="106" t="s">
        <v>2203</v>
      </c>
      <c r="D102" s="2" t="s">
        <v>95</v>
      </c>
      <c r="E102" s="2" t="s">
        <v>2204</v>
      </c>
      <c r="F102" s="2" t="str">
        <f t="shared" si="9"/>
        <v>PTP200R239155</v>
      </c>
      <c r="G102" s="2">
        <v>421</v>
      </c>
      <c r="H102" s="2">
        <v>481.93</v>
      </c>
    </row>
    <row r="103" spans="1:10" ht="49.9" customHeight="1" x14ac:dyDescent="0.25">
      <c r="A103" s="3">
        <v>45385</v>
      </c>
      <c r="B103" s="2" t="s">
        <v>78</v>
      </c>
      <c r="C103" s="106" t="s">
        <v>2187</v>
      </c>
      <c r="D103" s="2" t="s">
        <v>95</v>
      </c>
      <c r="E103" s="2" t="s">
        <v>2188</v>
      </c>
      <c r="F103" s="2" t="str">
        <f t="shared" si="9"/>
        <v>PTP200R239152</v>
      </c>
      <c r="G103" s="2">
        <v>1750</v>
      </c>
      <c r="H103" s="2">
        <v>1058.93</v>
      </c>
    </row>
    <row r="104" spans="1:10" ht="49.9" customHeight="1" x14ac:dyDescent="0.25">
      <c r="A104" s="3">
        <v>45384</v>
      </c>
      <c r="B104" s="2" t="s">
        <v>80</v>
      </c>
      <c r="C104" s="106" t="s">
        <v>2193</v>
      </c>
      <c r="D104" s="2" t="s">
        <v>95</v>
      </c>
      <c r="E104" s="2" t="s">
        <v>2194</v>
      </c>
      <c r="F104" s="2" t="str">
        <f t="shared" si="9"/>
        <v>PTP200R239154</v>
      </c>
      <c r="G104" s="2">
        <v>22</v>
      </c>
      <c r="H104" s="2">
        <v>362.34</v>
      </c>
    </row>
    <row r="105" spans="1:10" ht="49.9" customHeight="1" x14ac:dyDescent="0.25">
      <c r="A105" s="14">
        <v>45384</v>
      </c>
      <c r="B105" s="2" t="s">
        <v>24</v>
      </c>
      <c r="C105" s="4" t="s">
        <v>2197</v>
      </c>
      <c r="D105" s="17" t="s">
        <v>95</v>
      </c>
      <c r="E105" s="18" t="s">
        <v>2198</v>
      </c>
      <c r="F105" s="4" t="str">
        <f t="shared" si="9"/>
        <v>EUB09D700704</v>
      </c>
      <c r="G105" s="4">
        <v>2736</v>
      </c>
      <c r="H105" s="2">
        <v>205.49</v>
      </c>
    </row>
    <row r="106" spans="1:10" ht="49.9" customHeight="1" x14ac:dyDescent="0.25">
      <c r="A106" s="14">
        <v>45384</v>
      </c>
      <c r="B106" s="2" t="s">
        <v>24</v>
      </c>
      <c r="C106" s="178" t="s">
        <v>2181</v>
      </c>
      <c r="D106" s="17" t="s">
        <v>95</v>
      </c>
      <c r="E106" s="18" t="s">
        <v>2182</v>
      </c>
      <c r="F106" s="4" t="str">
        <f t="shared" si="9"/>
        <v>EUB09D700704</v>
      </c>
      <c r="G106" s="4">
        <v>2736</v>
      </c>
      <c r="H106" s="2">
        <v>145.80000000000001</v>
      </c>
    </row>
    <row r="107" spans="1:10" ht="49.9" customHeight="1" x14ac:dyDescent="0.25">
      <c r="A107" s="14">
        <v>45377</v>
      </c>
      <c r="B107" s="2" t="s">
        <v>80</v>
      </c>
      <c r="C107" s="178" t="s">
        <v>2160</v>
      </c>
      <c r="D107" s="17" t="s">
        <v>95</v>
      </c>
      <c r="E107" s="18" t="s">
        <v>2161</v>
      </c>
      <c r="F107" s="4" t="str">
        <f t="shared" si="9"/>
        <v>PTP200R239154</v>
      </c>
      <c r="G107" s="4">
        <v>11</v>
      </c>
      <c r="H107" s="2">
        <v>511.77</v>
      </c>
    </row>
    <row r="108" spans="1:10" ht="49.9" customHeight="1" x14ac:dyDescent="0.25">
      <c r="A108" s="9"/>
      <c r="B108" s="1"/>
      <c r="C108" s="496"/>
      <c r="D108" s="1"/>
      <c r="E108" s="1"/>
      <c r="F108" s="1"/>
    </row>
    <row r="109" spans="1:10" ht="49.9" customHeight="1" x14ac:dyDescent="0.25">
      <c r="A109" s="9"/>
      <c r="B109" s="1"/>
      <c r="C109" s="496"/>
      <c r="D109" s="1"/>
      <c r="E109" s="1"/>
      <c r="F109" s="1"/>
    </row>
    <row r="110" spans="1:10" ht="49.9" customHeight="1" x14ac:dyDescent="0.25">
      <c r="A110" s="9"/>
      <c r="B110" s="1"/>
      <c r="C110" s="496"/>
      <c r="D110" s="1"/>
      <c r="E110" s="1"/>
      <c r="F110" s="1"/>
    </row>
    <row r="111" spans="1:10" ht="49.9" customHeight="1" thickBot="1" x14ac:dyDescent="0.3"/>
    <row r="112" spans="1:10" s="1" customFormat="1" ht="49.9" customHeight="1" thickBot="1" x14ac:dyDescent="0.3">
      <c r="A112" s="204" t="s">
        <v>0</v>
      </c>
      <c r="B112" s="104" t="s">
        <v>93</v>
      </c>
      <c r="C112" s="104" t="s">
        <v>1</v>
      </c>
      <c r="D112" s="104" t="s">
        <v>92</v>
      </c>
      <c r="E112" s="104" t="s">
        <v>119</v>
      </c>
      <c r="F112" s="104" t="s">
        <v>359</v>
      </c>
      <c r="G112" s="104" t="s">
        <v>254</v>
      </c>
      <c r="H112" s="104" t="s">
        <v>416</v>
      </c>
      <c r="I112" s="104" t="s">
        <v>1391</v>
      </c>
      <c r="J112" s="205" t="s">
        <v>1651</v>
      </c>
    </row>
    <row r="113" spans="1:10" s="1" customFormat="1" ht="69.599999999999994" customHeight="1" x14ac:dyDescent="0.25">
      <c r="A113" s="468">
        <v>45369</v>
      </c>
      <c r="B113" s="471" t="s">
        <v>80</v>
      </c>
      <c r="C113" s="470" t="s">
        <v>2110</v>
      </c>
      <c r="D113" s="471" t="s">
        <v>95</v>
      </c>
      <c r="E113" s="471" t="s">
        <v>2111</v>
      </c>
      <c r="F113" s="471" t="str">
        <f t="shared" ref="F113:F117" si="10">IFERROR(VLOOKUP(B113,targlist02,3,0),"Nincs Adat")</f>
        <v>PTP200R239154</v>
      </c>
      <c r="G113" s="472">
        <v>0</v>
      </c>
      <c r="H113" s="472">
        <v>904.05</v>
      </c>
      <c r="I113" s="4">
        <v>6170116655</v>
      </c>
      <c r="J113" s="17"/>
    </row>
    <row r="114" spans="1:10" s="1" customFormat="1" ht="49.9" customHeight="1" x14ac:dyDescent="0.25">
      <c r="A114" s="474">
        <v>45363</v>
      </c>
      <c r="B114" s="469" t="s">
        <v>79</v>
      </c>
      <c r="C114" s="473" t="s">
        <v>2091</v>
      </c>
      <c r="D114" s="469" t="s">
        <v>95</v>
      </c>
      <c r="E114" s="469" t="s">
        <v>2092</v>
      </c>
      <c r="F114" s="469" t="str">
        <f t="shared" si="10"/>
        <v>PTP200R239153</v>
      </c>
      <c r="G114" s="469">
        <v>1593</v>
      </c>
      <c r="H114" s="469">
        <v>145.80000000000001</v>
      </c>
      <c r="I114" s="2">
        <v>6170116653</v>
      </c>
      <c r="J114" s="166"/>
    </row>
    <row r="115" spans="1:10" ht="49.9" customHeight="1" x14ac:dyDescent="0.25">
      <c r="A115" s="474">
        <v>45362</v>
      </c>
      <c r="B115" s="469" t="s">
        <v>78</v>
      </c>
      <c r="C115" s="473" t="s">
        <v>2089</v>
      </c>
      <c r="D115" s="469" t="s">
        <v>95</v>
      </c>
      <c r="E115" s="469" t="s">
        <v>2076</v>
      </c>
      <c r="F115" s="469" t="str">
        <f t="shared" si="10"/>
        <v>PTP200R239152</v>
      </c>
      <c r="G115" s="469">
        <v>1703</v>
      </c>
      <c r="H115" s="2">
        <v>403.64</v>
      </c>
      <c r="I115" s="2">
        <v>6170116651</v>
      </c>
      <c r="J115" s="166"/>
    </row>
    <row r="116" spans="1:10" ht="49.9" customHeight="1" x14ac:dyDescent="0.25">
      <c r="A116" s="474">
        <v>45364</v>
      </c>
      <c r="B116" s="469" t="s">
        <v>79</v>
      </c>
      <c r="C116" s="473" t="s">
        <v>2103</v>
      </c>
      <c r="D116" s="469" t="s">
        <v>95</v>
      </c>
      <c r="E116" s="469" t="s">
        <v>2104</v>
      </c>
      <c r="F116" s="469" t="str">
        <f t="shared" si="10"/>
        <v>PTP200R239153</v>
      </c>
      <c r="G116" s="469">
        <v>1593</v>
      </c>
      <c r="H116" s="2">
        <v>340.16</v>
      </c>
      <c r="I116" s="2">
        <v>6170116644</v>
      </c>
      <c r="J116" s="166"/>
    </row>
    <row r="117" spans="1:10" ht="49.9" customHeight="1" thickBot="1" x14ac:dyDescent="0.3">
      <c r="A117" s="475">
        <v>45352</v>
      </c>
      <c r="B117" s="476" t="s">
        <v>77</v>
      </c>
      <c r="C117" s="477" t="s">
        <v>2032</v>
      </c>
      <c r="D117" s="476" t="s">
        <v>95</v>
      </c>
      <c r="E117" s="476" t="s">
        <v>2033</v>
      </c>
      <c r="F117" s="476" t="str">
        <f t="shared" si="10"/>
        <v>PTP200R239151</v>
      </c>
      <c r="G117" s="109">
        <v>1000</v>
      </c>
      <c r="H117" s="109">
        <v>836.07</v>
      </c>
      <c r="I117" s="109">
        <v>6170116649</v>
      </c>
      <c r="J117" s="110"/>
    </row>
    <row r="118" spans="1:10" ht="49.9" customHeight="1" x14ac:dyDescent="0.25">
      <c r="A118" s="168"/>
      <c r="B118" s="128"/>
      <c r="C118" s="128"/>
      <c r="D118" s="128"/>
      <c r="E118" s="409"/>
      <c r="F118" s="128"/>
      <c r="G118" s="4"/>
      <c r="H118" s="4"/>
      <c r="I118" s="4"/>
      <c r="J118" s="17"/>
    </row>
    <row r="119" spans="1:10" ht="49.9" customHeight="1" x14ac:dyDescent="0.25">
      <c r="A119" s="141"/>
      <c r="B119" s="105"/>
      <c r="C119" s="105"/>
      <c r="D119" s="105"/>
      <c r="E119" s="317"/>
      <c r="F119" s="105"/>
      <c r="G119" s="2"/>
      <c r="H119" s="2"/>
      <c r="I119" s="2"/>
      <c r="J119" s="166"/>
    </row>
    <row r="120" spans="1:10" ht="49.9" customHeight="1" thickBot="1" x14ac:dyDescent="0.3">
      <c r="A120" s="167"/>
      <c r="B120" s="345"/>
      <c r="C120" s="345"/>
      <c r="D120" s="345"/>
      <c r="E120" s="467"/>
      <c r="F120" s="345"/>
      <c r="G120" s="109"/>
      <c r="H120" s="109"/>
      <c r="I120" s="109"/>
      <c r="J120" s="110"/>
    </row>
    <row r="121" spans="1:10" ht="49.9" customHeight="1" thickBot="1" x14ac:dyDescent="0.3"/>
    <row r="122" spans="1:10" ht="49.9" customHeight="1" x14ac:dyDescent="0.25">
      <c r="A122" s="240" t="s">
        <v>0</v>
      </c>
      <c r="B122" s="210" t="s">
        <v>93</v>
      </c>
      <c r="C122" s="210" t="s">
        <v>1</v>
      </c>
      <c r="D122" s="210" t="s">
        <v>92</v>
      </c>
      <c r="E122" s="210" t="s">
        <v>119</v>
      </c>
      <c r="F122" s="210" t="s">
        <v>359</v>
      </c>
      <c r="G122" s="210" t="s">
        <v>254</v>
      </c>
      <c r="H122" s="210" t="s">
        <v>416</v>
      </c>
      <c r="I122" s="210" t="s">
        <v>1391</v>
      </c>
      <c r="J122" s="397" t="s">
        <v>1651</v>
      </c>
    </row>
    <row r="123" spans="1:10" ht="49.9" customHeight="1" x14ac:dyDescent="0.25">
      <c r="A123" s="404">
        <v>45335</v>
      </c>
      <c r="B123" s="228" t="s">
        <v>80</v>
      </c>
      <c r="C123" s="405" t="s">
        <v>1916</v>
      </c>
      <c r="D123" s="228" t="s">
        <v>95</v>
      </c>
      <c r="E123" s="228" t="s">
        <v>1917</v>
      </c>
      <c r="F123" s="228" t="str">
        <f>IFERROR(VLOOKUP(B123,targlist02,3,0),"Nincs Adat")</f>
        <v>PTP200R239154</v>
      </c>
      <c r="G123" s="228">
        <v>28</v>
      </c>
      <c r="H123" s="2">
        <v>363.89</v>
      </c>
      <c r="I123" s="2">
        <v>6170100545</v>
      </c>
      <c r="J123" s="407"/>
    </row>
    <row r="124" spans="1:10" ht="49.9" customHeight="1" x14ac:dyDescent="0.25">
      <c r="A124" s="404">
        <v>45334</v>
      </c>
      <c r="B124" s="228" t="s">
        <v>78</v>
      </c>
      <c r="C124" s="228" t="s">
        <v>1908</v>
      </c>
      <c r="D124" s="228" t="s">
        <v>95</v>
      </c>
      <c r="E124" s="228" t="s">
        <v>1909</v>
      </c>
      <c r="F124" s="228" t="str">
        <f>IFERROR(VLOOKUP(B124,targlist02,3,0),"Nincs Adat")</f>
        <v>PTP200R239152</v>
      </c>
      <c r="G124" s="228">
        <v>1655</v>
      </c>
      <c r="H124" s="2">
        <v>123.58</v>
      </c>
      <c r="I124" s="2">
        <v>6170100486</v>
      </c>
      <c r="J124" s="407"/>
    </row>
    <row r="125" spans="1:10" ht="49.9" customHeight="1" x14ac:dyDescent="0.25">
      <c r="A125" s="404">
        <v>45334</v>
      </c>
      <c r="B125" s="228" t="s">
        <v>158</v>
      </c>
      <c r="C125" s="405" t="s">
        <v>1911</v>
      </c>
      <c r="D125" s="228" t="s">
        <v>95</v>
      </c>
      <c r="E125" s="228" t="s">
        <v>1910</v>
      </c>
      <c r="F125" s="228" t="str">
        <f>IFERROR(VLOOKUP(B125,targlist02,3,0),"Nincs Adat")</f>
        <v>F24537B00022</v>
      </c>
      <c r="G125" s="228">
        <v>3862</v>
      </c>
      <c r="H125" s="2">
        <v>663.55</v>
      </c>
      <c r="I125" s="2">
        <v>6170100513</v>
      </c>
      <c r="J125" s="407"/>
    </row>
    <row r="126" spans="1:10" ht="49.9" customHeight="1" x14ac:dyDescent="0.25">
      <c r="A126" s="404">
        <v>45322</v>
      </c>
      <c r="B126" s="228" t="s">
        <v>15</v>
      </c>
      <c r="C126" s="228" t="s">
        <v>1845</v>
      </c>
      <c r="D126" s="228" t="s">
        <v>95</v>
      </c>
      <c r="E126" s="228" t="s">
        <v>1846</v>
      </c>
      <c r="F126" s="228" t="str">
        <f t="shared" ref="F126:F130" si="11">IFERROR(VLOOKUP(B126,targlist02,3,0),"Nincs Adat")</f>
        <v>EUB09D700705</v>
      </c>
      <c r="G126" s="228">
        <v>1543</v>
      </c>
      <c r="H126" s="2">
        <v>59.69</v>
      </c>
      <c r="I126" s="2">
        <v>6170100716</v>
      </c>
      <c r="J126" s="407"/>
    </row>
    <row r="127" spans="1:10" ht="49.9" customHeight="1" x14ac:dyDescent="0.25">
      <c r="A127" s="404">
        <v>45322</v>
      </c>
      <c r="B127" s="228" t="s">
        <v>15</v>
      </c>
      <c r="C127" s="228" t="s">
        <v>1845</v>
      </c>
      <c r="D127" s="228" t="s">
        <v>95</v>
      </c>
      <c r="E127" s="228" t="s">
        <v>1847</v>
      </c>
      <c r="F127" s="228" t="str">
        <f t="shared" si="11"/>
        <v>EUB09D700705</v>
      </c>
      <c r="G127" s="228">
        <v>1543</v>
      </c>
      <c r="H127" s="2">
        <v>145.80000000000001</v>
      </c>
      <c r="I127" s="2">
        <v>6170100509</v>
      </c>
      <c r="J127" s="407"/>
    </row>
    <row r="128" spans="1:10" ht="49.9" customHeight="1" thickBot="1" x14ac:dyDescent="0.3">
      <c r="A128" s="404">
        <v>45322</v>
      </c>
      <c r="B128" s="228" t="s">
        <v>81</v>
      </c>
      <c r="C128" s="228" t="s">
        <v>1848</v>
      </c>
      <c r="D128" s="228" t="s">
        <v>95</v>
      </c>
      <c r="E128" s="228" t="s">
        <v>1849</v>
      </c>
      <c r="F128" s="228" t="str">
        <f t="shared" si="11"/>
        <v>PTP200R239155</v>
      </c>
      <c r="G128" s="228">
        <v>370</v>
      </c>
      <c r="H128" s="2">
        <v>392.1</v>
      </c>
      <c r="I128" s="2">
        <v>6170100554</v>
      </c>
      <c r="J128" s="408"/>
    </row>
    <row r="129" spans="1:10" ht="49.9" customHeight="1" x14ac:dyDescent="0.25">
      <c r="A129" s="404">
        <v>45324</v>
      </c>
      <c r="B129" s="228" t="s">
        <v>77</v>
      </c>
      <c r="C129" s="228" t="s">
        <v>1876</v>
      </c>
      <c r="D129" s="228" t="s">
        <v>95</v>
      </c>
      <c r="E129" s="228" t="s">
        <v>1877</v>
      </c>
      <c r="F129" s="228" t="str">
        <f t="shared" si="11"/>
        <v>PTP200R239151</v>
      </c>
      <c r="G129" s="228">
        <v>976</v>
      </c>
      <c r="H129" s="2">
        <v>426.21</v>
      </c>
      <c r="I129" s="2">
        <v>6170100510</v>
      </c>
    </row>
    <row r="130" spans="1:10" ht="49.9" customHeight="1" x14ac:dyDescent="0.25">
      <c r="A130" s="404">
        <v>45330</v>
      </c>
      <c r="B130" s="228" t="s">
        <v>78</v>
      </c>
      <c r="C130" s="405" t="s">
        <v>1904</v>
      </c>
      <c r="D130" s="228" t="s">
        <v>95</v>
      </c>
      <c r="E130" s="228" t="s">
        <v>1905</v>
      </c>
      <c r="F130" s="228" t="str">
        <f t="shared" si="11"/>
        <v>PTP200R239152</v>
      </c>
      <c r="G130" s="228">
        <v>1654</v>
      </c>
      <c r="H130" s="2">
        <v>209.69</v>
      </c>
      <c r="I130" s="2">
        <v>6170100999</v>
      </c>
    </row>
    <row r="131" spans="1:10" ht="49.9" customHeight="1" thickBot="1" x14ac:dyDescent="0.3">
      <c r="A131" s="2"/>
      <c r="B131" s="105"/>
      <c r="C131" s="105"/>
      <c r="D131" s="105"/>
      <c r="E131" s="409"/>
      <c r="F131" s="128"/>
      <c r="G131" s="4"/>
      <c r="H131" s="4"/>
    </row>
    <row r="132" spans="1:10" ht="49.9" customHeight="1" thickBot="1" x14ac:dyDescent="0.3">
      <c r="A132" s="398" t="s">
        <v>0</v>
      </c>
      <c r="B132" s="399" t="s">
        <v>93</v>
      </c>
      <c r="C132" s="400" t="s">
        <v>1</v>
      </c>
      <c r="D132" s="401" t="s">
        <v>92</v>
      </c>
      <c r="E132" s="402" t="s">
        <v>119</v>
      </c>
      <c r="F132" s="399" t="s">
        <v>359</v>
      </c>
      <c r="G132" s="399" t="s">
        <v>254</v>
      </c>
      <c r="H132" s="403" t="s">
        <v>416</v>
      </c>
      <c r="I132" s="381" t="s">
        <v>1391</v>
      </c>
      <c r="J132" s="205" t="s">
        <v>1651</v>
      </c>
    </row>
    <row r="133" spans="1:10" s="1" customFormat="1" ht="49.9" customHeight="1" x14ac:dyDescent="0.25">
      <c r="A133" s="3">
        <v>45316</v>
      </c>
      <c r="B133" s="2" t="s">
        <v>1470</v>
      </c>
      <c r="C133" s="2" t="s">
        <v>1784</v>
      </c>
      <c r="D133" s="371" t="s">
        <v>95</v>
      </c>
      <c r="E133" s="2" t="s">
        <v>1786</v>
      </c>
      <c r="F133" s="2"/>
      <c r="G133" s="2"/>
      <c r="H133" s="2">
        <v>50.29</v>
      </c>
      <c r="I133" s="2"/>
      <c r="J133" s="19"/>
    </row>
    <row r="134" spans="1:10" s="1" customFormat="1" ht="49.9" customHeight="1" x14ac:dyDescent="0.25">
      <c r="A134" s="3">
        <v>45252.382213425924</v>
      </c>
      <c r="B134" s="2" t="s">
        <v>2</v>
      </c>
      <c r="C134" s="2" t="s">
        <v>1128</v>
      </c>
      <c r="D134" s="2" t="s">
        <v>95</v>
      </c>
      <c r="E134" s="2" t="s">
        <v>1176</v>
      </c>
      <c r="F134" s="2" t="str">
        <f t="shared" ref="F134" si="12">IFERROR(VLOOKUP(B134,targlist02,3,0),"Nincs Adat")</f>
        <v>JA2N1E700427</v>
      </c>
      <c r="G134" s="2">
        <v>1751</v>
      </c>
      <c r="H134" s="2">
        <v>496.32</v>
      </c>
      <c r="I134" s="2"/>
      <c r="J134" s="2"/>
    </row>
    <row r="135" spans="1:10" ht="49.9" customHeight="1" thickBot="1" x14ac:dyDescent="0.3"/>
    <row r="136" spans="1:10" ht="49.9" customHeight="1" thickBot="1" x14ac:dyDescent="0.3">
      <c r="A136" s="204" t="s">
        <v>0</v>
      </c>
      <c r="B136" s="104" t="s">
        <v>93</v>
      </c>
      <c r="C136" s="237" t="s">
        <v>1</v>
      </c>
      <c r="D136" s="32" t="s">
        <v>92</v>
      </c>
      <c r="E136" s="235" t="s">
        <v>119</v>
      </c>
      <c r="F136" s="104" t="s">
        <v>359</v>
      </c>
      <c r="G136" s="104" t="s">
        <v>254</v>
      </c>
      <c r="H136" s="205" t="s">
        <v>416</v>
      </c>
      <c r="I136" s="381" t="s">
        <v>1391</v>
      </c>
      <c r="J136" s="209" t="s">
        <v>1651</v>
      </c>
    </row>
    <row r="137" spans="1:10" ht="49.9" customHeight="1" x14ac:dyDescent="0.25">
      <c r="A137" s="370">
        <v>45257</v>
      </c>
      <c r="B137" s="372" t="s">
        <v>15</v>
      </c>
      <c r="C137" s="372" t="s">
        <v>1154</v>
      </c>
      <c r="D137" s="373" t="s">
        <v>95</v>
      </c>
      <c r="E137" s="374" t="s">
        <v>1155</v>
      </c>
      <c r="F137" s="372" t="str">
        <f t="shared" ref="F137:F138" si="13">IFERROR(VLOOKUP(B137,targlist02,3,0),"Nincs Adat")</f>
        <v>EUB09D700705</v>
      </c>
      <c r="G137" s="372">
        <v>1541</v>
      </c>
      <c r="H137" s="340">
        <v>162.04</v>
      </c>
      <c r="I137" s="2">
        <v>6170094611</v>
      </c>
      <c r="J137" s="2"/>
    </row>
    <row r="138" spans="1:10" ht="49.9" customHeight="1" x14ac:dyDescent="0.25">
      <c r="A138" s="370">
        <v>45251</v>
      </c>
      <c r="B138" s="371" t="s">
        <v>15</v>
      </c>
      <c r="C138" s="372" t="s">
        <v>1120</v>
      </c>
      <c r="D138" s="373" t="s">
        <v>95</v>
      </c>
      <c r="E138" s="374" t="s">
        <v>1121</v>
      </c>
      <c r="F138" s="372" t="str">
        <f t="shared" si="13"/>
        <v>EUB09D700705</v>
      </c>
      <c r="G138" s="371">
        <v>1540</v>
      </c>
      <c r="H138" s="382">
        <v>150.88</v>
      </c>
      <c r="I138" s="2">
        <v>6170094614</v>
      </c>
      <c r="J138" s="2"/>
    </row>
    <row r="139" spans="1:10" ht="49.9" customHeight="1" x14ac:dyDescent="0.25">
      <c r="A139" s="370">
        <v>45258</v>
      </c>
      <c r="B139" s="371" t="s">
        <v>15</v>
      </c>
      <c r="C139" s="372" t="s">
        <v>1829</v>
      </c>
      <c r="D139" s="373" t="s">
        <v>95</v>
      </c>
      <c r="E139" s="374" t="s">
        <v>1480</v>
      </c>
      <c r="F139" s="372" t="str">
        <f>IFERROR(VLOOKUP(B139,targlist02,3,0),"Nincs Adat")</f>
        <v>EUB09D700705</v>
      </c>
      <c r="G139" s="371">
        <v>1541</v>
      </c>
      <c r="H139" s="382">
        <v>448.49</v>
      </c>
      <c r="I139" s="2">
        <v>6170094621</v>
      </c>
      <c r="J139" s="2"/>
    </row>
    <row r="140" spans="1:10" ht="49.9" customHeight="1" x14ac:dyDescent="0.25">
      <c r="A140" s="370">
        <v>45196</v>
      </c>
      <c r="B140" s="371" t="s">
        <v>24</v>
      </c>
      <c r="C140" s="372" t="s">
        <v>1830</v>
      </c>
      <c r="D140" s="373" t="s">
        <v>95</v>
      </c>
      <c r="E140" s="374" t="s">
        <v>930</v>
      </c>
      <c r="F140" s="372" t="str">
        <f t="shared" ref="F140:F141" si="14">IFERROR(VLOOKUP(B140,targlist02,3,0),"Nincs Adat")</f>
        <v>EUB09D700704</v>
      </c>
      <c r="G140" s="371">
        <v>2648</v>
      </c>
      <c r="H140" s="382">
        <v>236.98</v>
      </c>
      <c r="I140" s="2">
        <v>6170094622</v>
      </c>
      <c r="J140" s="2"/>
    </row>
    <row r="141" spans="1:10" ht="49.9" customHeight="1" x14ac:dyDescent="0.25">
      <c r="A141" s="370">
        <v>45238</v>
      </c>
      <c r="B141" s="371" t="s">
        <v>15</v>
      </c>
      <c r="C141" s="372" t="s">
        <v>1038</v>
      </c>
      <c r="D141" s="373" t="s">
        <v>95</v>
      </c>
      <c r="E141" s="374" t="s">
        <v>1039</v>
      </c>
      <c r="F141" s="372" t="str">
        <f t="shared" si="14"/>
        <v>EUB09D700705</v>
      </c>
      <c r="G141" s="371">
        <v>1539</v>
      </c>
      <c r="H141" s="382">
        <v>150.88</v>
      </c>
      <c r="I141" s="2">
        <v>6170094628</v>
      </c>
      <c r="J141" s="2"/>
    </row>
    <row r="142" spans="1:10" ht="49.9" customHeight="1" x14ac:dyDescent="0.25">
      <c r="A142" s="370">
        <v>45238</v>
      </c>
      <c r="B142" s="371" t="s">
        <v>15</v>
      </c>
      <c r="C142" s="372" t="s">
        <v>1831</v>
      </c>
      <c r="D142" s="373" t="s">
        <v>95</v>
      </c>
      <c r="E142" s="374" t="s">
        <v>1545</v>
      </c>
      <c r="F142" s="372" t="str">
        <f>IFERROR(VLOOKUP(B142,targlist02,3,0),"Nincs Adat")</f>
        <v>EUB09D700705</v>
      </c>
      <c r="G142" s="371">
        <v>1539</v>
      </c>
      <c r="H142" s="382">
        <v>478.59</v>
      </c>
      <c r="I142" s="2">
        <v>6170094731</v>
      </c>
      <c r="J142" s="2"/>
    </row>
    <row r="143" spans="1:10" ht="49.9" customHeight="1" x14ac:dyDescent="0.25">
      <c r="A143" s="370">
        <v>45239</v>
      </c>
      <c r="B143" s="371" t="s">
        <v>15</v>
      </c>
      <c r="C143" s="372" t="s">
        <v>1832</v>
      </c>
      <c r="D143" s="373" t="s">
        <v>95</v>
      </c>
      <c r="E143" s="374" t="s">
        <v>1548</v>
      </c>
      <c r="F143" s="372" t="str">
        <f>IFERROR(VLOOKUP(B143,targlist02,3,0),"Nincs Adat")</f>
        <v>EUB09D700705</v>
      </c>
      <c r="G143" s="371">
        <v>1539</v>
      </c>
      <c r="H143" s="382">
        <v>100.58</v>
      </c>
      <c r="I143" s="2">
        <v>61700094617</v>
      </c>
      <c r="J143" s="2"/>
    </row>
    <row r="144" spans="1:10" ht="49.9" customHeight="1" x14ac:dyDescent="0.25">
      <c r="A144" s="370">
        <v>45239</v>
      </c>
      <c r="B144" s="371" t="s">
        <v>15</v>
      </c>
      <c r="C144" s="372" t="s">
        <v>1832</v>
      </c>
      <c r="D144" s="373" t="s">
        <v>95</v>
      </c>
      <c r="E144" s="374" t="s">
        <v>1051</v>
      </c>
      <c r="F144" s="372" t="str">
        <f>IFERROR(VLOOKUP(B144,targlist02,3,0),"Nincs Adat")</f>
        <v>EUB09D700705</v>
      </c>
      <c r="G144" s="371">
        <v>1539</v>
      </c>
      <c r="H144" s="382">
        <v>100.58</v>
      </c>
      <c r="I144" s="2">
        <v>6170094713</v>
      </c>
      <c r="J144" s="2"/>
    </row>
    <row r="145" spans="1:10" ht="49.9" customHeight="1" x14ac:dyDescent="0.25">
      <c r="A145" s="355">
        <v>45309</v>
      </c>
      <c r="B145" s="228" t="s">
        <v>80</v>
      </c>
      <c r="C145" s="338" t="s">
        <v>1791</v>
      </c>
      <c r="D145" s="356" t="s">
        <v>95</v>
      </c>
      <c r="E145" s="357" t="s">
        <v>1792</v>
      </c>
      <c r="F145" s="228" t="str">
        <f t="shared" ref="F145:F150" si="15">IFERROR(VLOOKUP(B145,targlist02,3,0),"Nincs Adat")</f>
        <v>PTP200R239154</v>
      </c>
      <c r="G145" s="228">
        <v>49</v>
      </c>
      <c r="H145" s="21">
        <v>50.29</v>
      </c>
      <c r="I145" s="2">
        <v>6170094626</v>
      </c>
      <c r="J145" s="2"/>
    </row>
    <row r="146" spans="1:10" ht="49.9" customHeight="1" x14ac:dyDescent="0.25">
      <c r="A146" s="14">
        <v>45303.488444097224</v>
      </c>
      <c r="B146" s="2" t="s">
        <v>3</v>
      </c>
      <c r="C146" s="337" t="s">
        <v>1833</v>
      </c>
      <c r="D146" s="17" t="s">
        <v>95</v>
      </c>
      <c r="E146" s="18" t="s">
        <v>1370</v>
      </c>
      <c r="F146" s="2" t="str">
        <f t="shared" si="15"/>
        <v>JA2N1E700428</v>
      </c>
      <c r="G146" s="2">
        <v>1673</v>
      </c>
      <c r="H146" s="21">
        <v>234.75</v>
      </c>
      <c r="I146" s="2">
        <v>6170094619</v>
      </c>
      <c r="J146" s="2"/>
    </row>
    <row r="147" spans="1:10" ht="49.9" customHeight="1" x14ac:dyDescent="0.25">
      <c r="A147" s="14">
        <v>45301</v>
      </c>
      <c r="B147" s="2" t="s">
        <v>79</v>
      </c>
      <c r="C147" s="337" t="s">
        <v>1379</v>
      </c>
      <c r="D147" s="17" t="s">
        <v>95</v>
      </c>
      <c r="E147" s="18" t="s">
        <v>1380</v>
      </c>
      <c r="F147" s="2" t="str">
        <f t="shared" si="15"/>
        <v>PTP200R239153</v>
      </c>
      <c r="G147" s="2">
        <v>1441</v>
      </c>
      <c r="H147" s="21">
        <v>233.43</v>
      </c>
      <c r="I147" s="2">
        <v>6170094610</v>
      </c>
      <c r="J147" s="2"/>
    </row>
    <row r="148" spans="1:10" ht="49.9" customHeight="1" x14ac:dyDescent="0.25">
      <c r="A148" s="14">
        <v>45301</v>
      </c>
      <c r="B148" s="2" t="s">
        <v>78</v>
      </c>
      <c r="C148" s="337" t="s">
        <v>1379</v>
      </c>
      <c r="D148" s="17" t="s">
        <v>95</v>
      </c>
      <c r="E148" s="18" t="s">
        <v>1381</v>
      </c>
      <c r="F148" s="4" t="str">
        <f t="shared" si="15"/>
        <v>PTP200R239152</v>
      </c>
      <c r="G148" s="2">
        <v>1593</v>
      </c>
      <c r="H148" s="21">
        <v>111.76</v>
      </c>
      <c r="I148" s="2">
        <v>6170094618</v>
      </c>
      <c r="J148" s="2"/>
    </row>
    <row r="149" spans="1:10" ht="49.9" customHeight="1" x14ac:dyDescent="0.25">
      <c r="A149" s="14">
        <v>45302</v>
      </c>
      <c r="B149" s="2" t="s">
        <v>79</v>
      </c>
      <c r="C149" s="337" t="s">
        <v>1386</v>
      </c>
      <c r="D149" s="17" t="s">
        <v>95</v>
      </c>
      <c r="E149" s="18" t="s">
        <v>1387</v>
      </c>
      <c r="F149" s="2" t="str">
        <f t="shared" si="15"/>
        <v>PTP200R239153</v>
      </c>
      <c r="G149" s="2">
        <v>1443</v>
      </c>
      <c r="H149" s="21">
        <v>512.41999999999996</v>
      </c>
      <c r="I149" s="2">
        <v>6170094612</v>
      </c>
      <c r="J149" s="2"/>
    </row>
    <row r="150" spans="1:10" ht="49.9" customHeight="1" x14ac:dyDescent="0.25">
      <c r="A150" s="355">
        <v>45317</v>
      </c>
      <c r="B150" s="228" t="s">
        <v>81</v>
      </c>
      <c r="C150" s="337" t="s">
        <v>1803</v>
      </c>
      <c r="D150" s="356" t="s">
        <v>95</v>
      </c>
      <c r="E150" s="357" t="s">
        <v>1804</v>
      </c>
      <c r="F150" s="228" t="str">
        <f t="shared" si="15"/>
        <v>PTP200R239155</v>
      </c>
      <c r="G150" s="228">
        <v>370</v>
      </c>
      <c r="H150" s="21">
        <v>251.46</v>
      </c>
      <c r="I150" s="2">
        <v>6170094616</v>
      </c>
      <c r="J150" s="2"/>
    </row>
    <row r="151" spans="1:10" ht="49.9" customHeight="1" x14ac:dyDescent="0.25">
      <c r="A151" s="355">
        <v>45320</v>
      </c>
      <c r="B151" s="228" t="s">
        <v>81</v>
      </c>
      <c r="C151" s="338" t="s">
        <v>1816</v>
      </c>
      <c r="D151" s="356" t="s">
        <v>95</v>
      </c>
      <c r="E151" s="357" t="s">
        <v>1817</v>
      </c>
      <c r="F151" s="228" t="str">
        <f>IFERROR(VLOOKUP(B151,targlist02,3,0),"Nincs Adat")</f>
        <v>PTP200R239155</v>
      </c>
      <c r="G151" s="2">
        <v>370</v>
      </c>
      <c r="H151" s="21">
        <v>287.27</v>
      </c>
      <c r="I151" s="2">
        <v>9170094606</v>
      </c>
      <c r="J151" s="2"/>
    </row>
    <row r="152" spans="1:10" ht="49.9" customHeight="1" thickBot="1" x14ac:dyDescent="0.3">
      <c r="I152" s="2"/>
      <c r="J152" s="2"/>
    </row>
    <row r="153" spans="1:10" ht="49.9" customHeight="1" thickBot="1" x14ac:dyDescent="0.3">
      <c r="A153" s="204" t="s">
        <v>0</v>
      </c>
      <c r="B153" s="104" t="s">
        <v>93</v>
      </c>
      <c r="C153" s="237" t="s">
        <v>1</v>
      </c>
      <c r="D153" s="32" t="s">
        <v>92</v>
      </c>
      <c r="E153" s="235" t="s">
        <v>119</v>
      </c>
      <c r="F153" s="104" t="s">
        <v>359</v>
      </c>
      <c r="G153" s="104" t="s">
        <v>254</v>
      </c>
      <c r="H153" s="237" t="s">
        <v>416</v>
      </c>
      <c r="I153" s="383" t="s">
        <v>1391</v>
      </c>
      <c r="J153" s="384" t="s">
        <v>1651</v>
      </c>
    </row>
    <row r="154" spans="1:10" ht="49.9" customHeight="1" x14ac:dyDescent="0.25">
      <c r="A154" s="14">
        <v>45303.494004050925</v>
      </c>
      <c r="B154" s="4" t="s">
        <v>81</v>
      </c>
      <c r="C154" s="340" t="s">
        <v>1389</v>
      </c>
      <c r="D154" s="111" t="s">
        <v>95</v>
      </c>
      <c r="E154" s="18" t="s">
        <v>1390</v>
      </c>
      <c r="F154" s="4" t="str">
        <f t="shared" ref="F154:F158" si="16">IFERROR(VLOOKUP(B154,targlist02,3,0),"Nincs Adat")</f>
        <v>PTP200R239155</v>
      </c>
      <c r="G154" s="4">
        <v>358</v>
      </c>
      <c r="H154" s="22">
        <v>211.07</v>
      </c>
      <c r="I154" s="168">
        <v>6170090692</v>
      </c>
      <c r="J154" s="17" t="s">
        <v>1823</v>
      </c>
    </row>
    <row r="155" spans="1:10" ht="49.9" customHeight="1" x14ac:dyDescent="0.25">
      <c r="A155" s="15">
        <v>45303</v>
      </c>
      <c r="B155" s="2" t="s">
        <v>80</v>
      </c>
      <c r="C155" s="341" t="s">
        <v>1399</v>
      </c>
      <c r="D155" s="28" t="s">
        <v>95</v>
      </c>
      <c r="E155" s="13" t="s">
        <v>1400</v>
      </c>
      <c r="F155" s="2" t="str">
        <f t="shared" si="16"/>
        <v>PTP200R239154</v>
      </c>
      <c r="G155" s="2">
        <v>15</v>
      </c>
      <c r="H155" s="21">
        <v>170.69</v>
      </c>
      <c r="I155" s="141">
        <v>6170090698</v>
      </c>
      <c r="J155" s="166" t="s">
        <v>1824</v>
      </c>
    </row>
    <row r="156" spans="1:10" ht="49.9" customHeight="1" x14ac:dyDescent="0.25">
      <c r="A156" s="15">
        <v>45307</v>
      </c>
      <c r="B156" s="2" t="s">
        <v>77</v>
      </c>
      <c r="C156" s="341" t="s">
        <v>1414</v>
      </c>
      <c r="D156" s="28" t="s">
        <v>95</v>
      </c>
      <c r="E156" s="13" t="s">
        <v>1415</v>
      </c>
      <c r="F156" s="2" t="str">
        <f t="shared" si="16"/>
        <v>PTP200R239151</v>
      </c>
      <c r="G156" s="2">
        <v>951</v>
      </c>
      <c r="H156" s="21">
        <v>184.29</v>
      </c>
      <c r="I156" s="141">
        <v>6170090706</v>
      </c>
      <c r="J156" s="166" t="s">
        <v>1825</v>
      </c>
    </row>
    <row r="157" spans="1:10" ht="49.9" customHeight="1" x14ac:dyDescent="0.25">
      <c r="A157" s="15">
        <v>45309</v>
      </c>
      <c r="B157" s="2" t="s">
        <v>80</v>
      </c>
      <c r="C157" s="342" t="s">
        <v>1438</v>
      </c>
      <c r="D157" s="28" t="s">
        <v>95</v>
      </c>
      <c r="E157" s="13" t="s">
        <v>1439</v>
      </c>
      <c r="F157" s="2" t="str">
        <f t="shared" si="16"/>
        <v>PTP200R239154</v>
      </c>
      <c r="G157" s="2">
        <v>26</v>
      </c>
      <c r="H157" s="21">
        <v>299.12</v>
      </c>
      <c r="I157" s="141">
        <v>6170090748</v>
      </c>
      <c r="J157" s="166" t="s">
        <v>1826</v>
      </c>
    </row>
    <row r="158" spans="1:10" ht="49.9" customHeight="1" x14ac:dyDescent="0.25">
      <c r="A158" s="15">
        <v>45309</v>
      </c>
      <c r="B158" s="2" t="s">
        <v>79</v>
      </c>
      <c r="C158" s="341" t="s">
        <v>1436</v>
      </c>
      <c r="D158" s="28" t="s">
        <v>95</v>
      </c>
      <c r="E158" s="13" t="s">
        <v>1437</v>
      </c>
      <c r="F158" s="2" t="str">
        <f t="shared" si="16"/>
        <v>PTP200R239153</v>
      </c>
      <c r="G158" s="2">
        <v>1593</v>
      </c>
      <c r="H158" s="21">
        <v>649.88</v>
      </c>
      <c r="I158" s="141">
        <v>6170090758</v>
      </c>
      <c r="J158" s="166" t="s">
        <v>1827</v>
      </c>
    </row>
    <row r="159" spans="1:10" ht="49.9" customHeight="1" thickBot="1" x14ac:dyDescent="0.3">
      <c r="A159" s="343">
        <v>45314</v>
      </c>
      <c r="B159" s="109" t="s">
        <v>1470</v>
      </c>
      <c r="C159" s="344" t="s">
        <v>1469</v>
      </c>
      <c r="D159" s="212" t="s">
        <v>95</v>
      </c>
      <c r="E159" s="203" t="s">
        <v>1468</v>
      </c>
      <c r="F159" s="201" t="str">
        <f>IFERROR(VLOOKUP(B159,targlist02,3,0),"Nincs Adat")</f>
        <v>Nincs Adat</v>
      </c>
      <c r="G159" s="109"/>
      <c r="H159" s="211">
        <v>170.69</v>
      </c>
      <c r="I159" s="167">
        <v>6170090787</v>
      </c>
      <c r="J159" s="110" t="s">
        <v>1828</v>
      </c>
    </row>
    <row r="160" spans="1:10" ht="49.9" customHeight="1" x14ac:dyDescent="0.25"/>
    <row r="161" spans="1:10" ht="49.9" customHeight="1" thickBot="1" x14ac:dyDescent="0.3"/>
    <row r="162" spans="1:10" ht="49.9" customHeight="1" thickBot="1" x14ac:dyDescent="0.3">
      <c r="A162" s="204" t="s">
        <v>0</v>
      </c>
      <c r="B162" s="104" t="s">
        <v>93</v>
      </c>
      <c r="C162" s="104" t="s">
        <v>1</v>
      </c>
      <c r="D162" s="104" t="s">
        <v>92</v>
      </c>
      <c r="E162" s="354" t="s">
        <v>119</v>
      </c>
      <c r="F162" s="354" t="s">
        <v>359</v>
      </c>
      <c r="G162" s="354" t="s">
        <v>254</v>
      </c>
      <c r="H162" s="354" t="s">
        <v>416</v>
      </c>
      <c r="I162" s="209" t="s">
        <v>1391</v>
      </c>
      <c r="J162" s="209" t="s">
        <v>1651</v>
      </c>
    </row>
    <row r="163" spans="1:10" ht="49.9" customHeight="1" x14ac:dyDescent="0.25">
      <c r="A163" s="14">
        <v>45294.623420601849</v>
      </c>
      <c r="B163" s="4" t="s">
        <v>141</v>
      </c>
      <c r="C163" s="4" t="s">
        <v>1357</v>
      </c>
      <c r="D163" s="4" t="s">
        <v>95</v>
      </c>
      <c r="E163" s="2" t="s">
        <v>1358</v>
      </c>
      <c r="F163" s="2" t="str">
        <f t="shared" ref="F163:F166" si="17">IFERROR(VLOOKUP(B163,targlist02,3,0),"Nincs Adat")</f>
        <v>LO20N2RCB13B00110</v>
      </c>
      <c r="G163" s="2">
        <v>1120</v>
      </c>
      <c r="H163" s="2">
        <v>374.4</v>
      </c>
      <c r="I163" s="2">
        <v>6170086369</v>
      </c>
      <c r="J163" s="2" t="s">
        <v>1818</v>
      </c>
    </row>
    <row r="164" spans="1:10" ht="49.9" customHeight="1" x14ac:dyDescent="0.25">
      <c r="A164" s="15">
        <v>45293.381372453703</v>
      </c>
      <c r="B164" s="2" t="s">
        <v>79</v>
      </c>
      <c r="C164" s="2" t="s">
        <v>420</v>
      </c>
      <c r="D164" s="2" t="s">
        <v>95</v>
      </c>
      <c r="E164" s="2" t="s">
        <v>1341</v>
      </c>
      <c r="F164" s="2" t="str">
        <f t="shared" si="17"/>
        <v>PTP200R239153</v>
      </c>
      <c r="G164" s="2">
        <v>1417</v>
      </c>
      <c r="H164" s="2">
        <v>451.56</v>
      </c>
      <c r="I164" s="2">
        <v>6170086359</v>
      </c>
      <c r="J164" s="2" t="s">
        <v>1819</v>
      </c>
    </row>
    <row r="165" spans="1:10" ht="49.9" customHeight="1" x14ac:dyDescent="0.25">
      <c r="A165" s="15">
        <v>45287</v>
      </c>
      <c r="B165" s="2" t="s">
        <v>79</v>
      </c>
      <c r="C165" s="2" t="s">
        <v>722</v>
      </c>
      <c r="D165" s="2" t="s">
        <v>95</v>
      </c>
      <c r="E165" s="2" t="s">
        <v>1335</v>
      </c>
      <c r="F165" s="2" t="str">
        <f t="shared" si="17"/>
        <v>PTP200R239153</v>
      </c>
      <c r="G165" s="2">
        <v>1414</v>
      </c>
      <c r="H165" s="2">
        <v>114.19</v>
      </c>
      <c r="I165" s="2">
        <v>6170086358</v>
      </c>
      <c r="J165" s="2" t="s">
        <v>1820</v>
      </c>
    </row>
    <row r="166" spans="1:10" ht="49.9" customHeight="1" x14ac:dyDescent="0.25">
      <c r="A166" s="16">
        <v>45293.381372453703</v>
      </c>
      <c r="B166" s="8" t="s">
        <v>81</v>
      </c>
      <c r="C166" s="8" t="s">
        <v>722</v>
      </c>
      <c r="D166" s="8" t="s">
        <v>95</v>
      </c>
      <c r="E166" s="2" t="s">
        <v>1342</v>
      </c>
      <c r="F166" s="2" t="str">
        <f t="shared" si="17"/>
        <v>PTP200R239155</v>
      </c>
      <c r="G166" s="2">
        <v>349</v>
      </c>
      <c r="H166" s="2">
        <v>114.19</v>
      </c>
      <c r="I166" s="2">
        <v>6170088121</v>
      </c>
      <c r="J166" s="2" t="s">
        <v>1821</v>
      </c>
    </row>
    <row r="167" spans="1:10" ht="49.9" customHeight="1" thickBot="1" x14ac:dyDescent="0.3">
      <c r="A167" s="3">
        <v>45313</v>
      </c>
      <c r="B167" s="124"/>
      <c r="C167" s="8" t="s">
        <v>1445</v>
      </c>
      <c r="D167" s="8" t="s">
        <v>95</v>
      </c>
      <c r="E167" s="317"/>
      <c r="F167" s="105"/>
      <c r="G167" s="2"/>
      <c r="H167" s="2">
        <v>462.03</v>
      </c>
      <c r="I167" s="2">
        <v>6170089117</v>
      </c>
      <c r="J167" s="2" t="s">
        <v>1822</v>
      </c>
    </row>
    <row r="168" spans="1:10" ht="49.9" customHeight="1" thickBot="1" x14ac:dyDescent="0.3">
      <c r="A168" s="234"/>
      <c r="B168" s="572" t="s">
        <v>1446</v>
      </c>
      <c r="C168" s="573"/>
      <c r="D168" s="573"/>
      <c r="E168" s="574"/>
      <c r="F168" s="574"/>
      <c r="G168" s="574"/>
      <c r="H168" s="574"/>
      <c r="I168" s="575"/>
    </row>
    <row r="169" spans="1:10" ht="49.9" customHeight="1" thickBot="1" x14ac:dyDescent="0.3">
      <c r="A169" s="32" t="s">
        <v>0</v>
      </c>
      <c r="B169" s="32" t="s">
        <v>93</v>
      </c>
      <c r="C169" s="32" t="s">
        <v>1</v>
      </c>
      <c r="D169" s="31" t="s">
        <v>92</v>
      </c>
      <c r="E169" s="32" t="s">
        <v>119</v>
      </c>
      <c r="F169" s="32" t="s">
        <v>359</v>
      </c>
      <c r="G169" s="32" t="s">
        <v>254</v>
      </c>
      <c r="H169" s="38" t="s">
        <v>416</v>
      </c>
      <c r="I169" s="231" t="s">
        <v>1391</v>
      </c>
    </row>
    <row r="170" spans="1:10" ht="49.9" customHeight="1" x14ac:dyDescent="0.25">
      <c r="A170" s="224">
        <v>45243</v>
      </c>
      <c r="B170" s="111" t="s">
        <v>158</v>
      </c>
      <c r="C170" s="111" t="s">
        <v>509</v>
      </c>
      <c r="D170" s="18" t="s">
        <v>95</v>
      </c>
      <c r="E170" s="111" t="s">
        <v>1078</v>
      </c>
      <c r="F170" s="111" t="str">
        <f t="shared" ref="F170:F174" si="18">IFERROR(VLOOKUP(B170,targlist02,3,0),"Nincs Adat")</f>
        <v>F24537B00022</v>
      </c>
      <c r="G170" s="111">
        <v>2830</v>
      </c>
      <c r="H170" s="18">
        <v>114.19</v>
      </c>
      <c r="I170" s="232">
        <v>6170078233</v>
      </c>
      <c r="J170" s="1">
        <v>0</v>
      </c>
    </row>
    <row r="171" spans="1:10" ht="49.9" customHeight="1" x14ac:dyDescent="0.25">
      <c r="A171" s="224">
        <v>45251.379942129628</v>
      </c>
      <c r="B171" s="28" t="s">
        <v>79</v>
      </c>
      <c r="C171" s="227" t="s">
        <v>1289</v>
      </c>
      <c r="D171" s="18" t="s">
        <v>95</v>
      </c>
      <c r="E171" s="111" t="s">
        <v>1124</v>
      </c>
      <c r="F171" s="111" t="str">
        <f t="shared" si="18"/>
        <v>PTP200R239153</v>
      </c>
      <c r="G171" s="28">
        <v>1324</v>
      </c>
      <c r="H171" s="10">
        <v>356.58</v>
      </c>
      <c r="I171" s="28">
        <v>6170078221</v>
      </c>
      <c r="J171" s="1">
        <v>0</v>
      </c>
    </row>
    <row r="172" spans="1:10" ht="49.9" customHeight="1" x14ac:dyDescent="0.25">
      <c r="A172" s="224">
        <v>45252.379369675924</v>
      </c>
      <c r="B172" s="28" t="s">
        <v>78</v>
      </c>
      <c r="C172" s="111" t="s">
        <v>1290</v>
      </c>
      <c r="D172" s="18" t="s">
        <v>95</v>
      </c>
      <c r="E172" s="111" t="s">
        <v>1123</v>
      </c>
      <c r="F172" s="111" t="str">
        <f t="shared" si="18"/>
        <v>PTP200R239152</v>
      </c>
      <c r="G172" s="28">
        <v>1502</v>
      </c>
      <c r="H172" s="10">
        <v>356.58</v>
      </c>
      <c r="I172" s="28">
        <v>6170078160</v>
      </c>
      <c r="J172" s="1">
        <v>0</v>
      </c>
    </row>
    <row r="173" spans="1:10" ht="49.9" customHeight="1" x14ac:dyDescent="0.25">
      <c r="A173" s="224">
        <v>45266</v>
      </c>
      <c r="B173" s="28" t="s">
        <v>79</v>
      </c>
      <c r="C173" s="111" t="s">
        <v>509</v>
      </c>
      <c r="D173" s="18" t="s">
        <v>95</v>
      </c>
      <c r="E173" s="111" t="s">
        <v>1188</v>
      </c>
      <c r="F173" s="111" t="str">
        <f t="shared" si="18"/>
        <v>PTP200R239153</v>
      </c>
      <c r="G173" s="28">
        <v>1366</v>
      </c>
      <c r="H173" s="10">
        <v>184.29</v>
      </c>
      <c r="I173" s="28">
        <v>6170078113</v>
      </c>
      <c r="J173" s="1">
        <v>0</v>
      </c>
    </row>
    <row r="174" spans="1:10" ht="49.9" customHeight="1" x14ac:dyDescent="0.25">
      <c r="A174" s="224">
        <v>45268</v>
      </c>
      <c r="B174" s="28" t="s">
        <v>80</v>
      </c>
      <c r="C174" s="111" t="s">
        <v>1291</v>
      </c>
      <c r="D174" s="18" t="s">
        <v>95</v>
      </c>
      <c r="E174" s="111" t="s">
        <v>1200</v>
      </c>
      <c r="F174" s="111" t="str">
        <f t="shared" si="18"/>
        <v>PTP200R239154</v>
      </c>
      <c r="G174" s="28">
        <v>120</v>
      </c>
      <c r="H174" s="10">
        <v>178.1</v>
      </c>
      <c r="I174" s="28">
        <v>6170078371</v>
      </c>
      <c r="J174" s="1">
        <v>0</v>
      </c>
    </row>
    <row r="175" spans="1:10" ht="49.9" customHeight="1" thickBot="1" x14ac:dyDescent="0.3">
      <c r="A175" s="225">
        <v>45272</v>
      </c>
      <c r="B175" s="226" t="s">
        <v>78</v>
      </c>
      <c r="C175" s="212" t="s">
        <v>1292</v>
      </c>
      <c r="D175" s="203" t="s">
        <v>95</v>
      </c>
      <c r="E175" s="212" t="s">
        <v>1293</v>
      </c>
      <c r="F175" s="212" t="str">
        <f>IFERROR(VLOOKUP(B175,targlist02,3,0),"Nincs Adat")</f>
        <v>PTP200R239152</v>
      </c>
      <c r="G175" s="226">
        <v>1558</v>
      </c>
      <c r="H175" s="230">
        <v>375.69</v>
      </c>
      <c r="I175" s="226">
        <v>6170078146</v>
      </c>
      <c r="J175" s="1">
        <v>0</v>
      </c>
    </row>
    <row r="176" spans="1:10" ht="49.9" customHeight="1" x14ac:dyDescent="0.25"/>
    <row r="177" spans="1:10" ht="49.9" customHeight="1" x14ac:dyDescent="0.25"/>
    <row r="178" spans="1:10" ht="49.9" customHeight="1" thickBot="1" x14ac:dyDescent="0.3"/>
    <row r="179" spans="1:10" ht="49.9" customHeight="1" thickBot="1" x14ac:dyDescent="0.3">
      <c r="A179" s="204" t="s">
        <v>0</v>
      </c>
      <c r="B179" s="104" t="s">
        <v>93</v>
      </c>
      <c r="C179" s="104" t="s">
        <v>1</v>
      </c>
      <c r="D179" s="104" t="s">
        <v>92</v>
      </c>
      <c r="E179" s="104" t="s">
        <v>119</v>
      </c>
      <c r="F179" s="104" t="s">
        <v>359</v>
      </c>
      <c r="G179" s="104" t="s">
        <v>254</v>
      </c>
      <c r="H179" s="209" t="s">
        <v>416</v>
      </c>
      <c r="I179" s="231" t="s">
        <v>1391</v>
      </c>
    </row>
    <row r="180" spans="1:10" ht="49.9" customHeight="1" x14ac:dyDescent="0.25">
      <c r="A180" s="29">
        <v>45182</v>
      </c>
      <c r="B180" s="4" t="s">
        <v>142</v>
      </c>
      <c r="C180" s="4" t="s">
        <v>885</v>
      </c>
      <c r="D180" s="4" t="s">
        <v>95</v>
      </c>
      <c r="E180" s="4" t="s">
        <v>886</v>
      </c>
      <c r="F180" s="4" t="str">
        <f t="shared" ref="F180:F181" si="19">IFERROR(VLOOKUP(B180,targlist02,3,0),"Nincs Adat")</f>
        <v>LO20N2RCB13B00112</v>
      </c>
      <c r="G180" s="4">
        <v>1500</v>
      </c>
      <c r="H180" s="2">
        <v>114.19</v>
      </c>
      <c r="I180" s="2">
        <v>6170064496</v>
      </c>
      <c r="J180" s="1">
        <v>0</v>
      </c>
    </row>
    <row r="181" spans="1:10" ht="49.9" customHeight="1" x14ac:dyDescent="0.25">
      <c r="A181" s="3">
        <v>45182</v>
      </c>
      <c r="B181" s="2" t="s">
        <v>141</v>
      </c>
      <c r="C181" s="2" t="s">
        <v>883</v>
      </c>
      <c r="D181" s="2" t="s">
        <v>95</v>
      </c>
      <c r="E181" s="2" t="s">
        <v>884</v>
      </c>
      <c r="F181" s="2" t="str">
        <f t="shared" si="19"/>
        <v>LO20N2RCB13B00110</v>
      </c>
      <c r="G181" s="2">
        <v>940</v>
      </c>
      <c r="H181" s="2">
        <v>1525.1</v>
      </c>
      <c r="I181" s="2">
        <v>6170064404</v>
      </c>
      <c r="J181" s="1">
        <v>0</v>
      </c>
    </row>
    <row r="182" spans="1:10" ht="49.9" customHeight="1" x14ac:dyDescent="0.25"/>
    <row r="183" spans="1:10" ht="49.9" customHeight="1" thickBot="1" x14ac:dyDescent="0.3"/>
    <row r="184" spans="1:10" ht="51.6" customHeight="1" thickBot="1" x14ac:dyDescent="0.3">
      <c r="A184" s="34" t="s">
        <v>0</v>
      </c>
      <c r="B184" s="204" t="s">
        <v>93</v>
      </c>
      <c r="C184" s="104" t="s">
        <v>1</v>
      </c>
      <c r="D184" s="104" t="s">
        <v>92</v>
      </c>
      <c r="E184" s="104" t="s">
        <v>119</v>
      </c>
      <c r="F184" s="104" t="s">
        <v>359</v>
      </c>
      <c r="G184" s="104" t="s">
        <v>254</v>
      </c>
      <c r="H184" s="104" t="s">
        <v>416</v>
      </c>
      <c r="I184" s="205" t="s">
        <v>1391</v>
      </c>
    </row>
    <row r="185" spans="1:10" ht="51.6" customHeight="1" x14ac:dyDescent="0.25">
      <c r="A185" s="242">
        <v>45173.504062499997</v>
      </c>
      <c r="B185" s="168" t="s">
        <v>78</v>
      </c>
      <c r="C185" s="4" t="s">
        <v>850</v>
      </c>
      <c r="D185" s="4" t="s">
        <v>95</v>
      </c>
      <c r="E185" s="4" t="s">
        <v>851</v>
      </c>
      <c r="F185" s="4" t="str">
        <f t="shared" ref="F185:F188" si="20">IFERROR(VLOOKUP(B185,targlist02,3,0),"Nincs Adat")</f>
        <v>PTP200R239152</v>
      </c>
      <c r="G185" s="4">
        <v>1325</v>
      </c>
      <c r="H185" s="4">
        <v>345.21</v>
      </c>
      <c r="I185" s="17">
        <v>6170060099</v>
      </c>
      <c r="J185" s="1">
        <v>0</v>
      </c>
    </row>
    <row r="186" spans="1:10" ht="51.6" customHeight="1" x14ac:dyDescent="0.25">
      <c r="A186" s="242">
        <v>45173.503622685188</v>
      </c>
      <c r="B186" s="141" t="s">
        <v>80</v>
      </c>
      <c r="C186" s="2" t="s">
        <v>848</v>
      </c>
      <c r="D186" s="2" t="s">
        <v>95</v>
      </c>
      <c r="E186" s="2" t="s">
        <v>849</v>
      </c>
      <c r="F186" s="2" t="str">
        <f t="shared" si="20"/>
        <v>PTP200R239154</v>
      </c>
      <c r="G186" s="2">
        <v>315</v>
      </c>
      <c r="H186" s="2">
        <v>426.3</v>
      </c>
      <c r="I186" s="166">
        <v>6170060137</v>
      </c>
      <c r="J186" s="1">
        <v>0</v>
      </c>
    </row>
    <row r="187" spans="1:10" ht="51.6" customHeight="1" x14ac:dyDescent="0.25">
      <c r="A187" s="242">
        <v>45173.503252314818</v>
      </c>
      <c r="B187" s="141" t="s">
        <v>79</v>
      </c>
      <c r="C187" s="2" t="s">
        <v>846</v>
      </c>
      <c r="D187" s="2" t="s">
        <v>95</v>
      </c>
      <c r="E187" s="2" t="s">
        <v>847</v>
      </c>
      <c r="F187" s="2" t="str">
        <f t="shared" si="20"/>
        <v>PTP200R239153</v>
      </c>
      <c r="G187" s="2">
        <v>739</v>
      </c>
      <c r="H187" s="2">
        <v>64.31</v>
      </c>
      <c r="I187" s="166">
        <v>6170060100</v>
      </c>
      <c r="J187" s="1">
        <v>0</v>
      </c>
    </row>
    <row r="188" spans="1:10" ht="51.6" customHeight="1" thickBot="1" x14ac:dyDescent="0.3">
      <c r="A188" s="248">
        <v>45181</v>
      </c>
      <c r="B188" s="167" t="s">
        <v>78</v>
      </c>
      <c r="C188" s="109" t="s">
        <v>850</v>
      </c>
      <c r="D188" s="109" t="s">
        <v>95</v>
      </c>
      <c r="E188" s="109" t="s">
        <v>876</v>
      </c>
      <c r="F188" s="109" t="str">
        <f t="shared" si="20"/>
        <v>PTP200R239152</v>
      </c>
      <c r="G188" s="109">
        <v>1354</v>
      </c>
      <c r="H188" s="109">
        <v>164.48</v>
      </c>
      <c r="I188" s="110">
        <v>6170060097</v>
      </c>
      <c r="J188" s="1">
        <v>0</v>
      </c>
    </row>
    <row r="189" spans="1:10" ht="51.6" customHeight="1" x14ac:dyDescent="0.25"/>
    <row r="190" spans="1:10" ht="51.6" customHeight="1" x14ac:dyDescent="0.25"/>
    <row r="191" spans="1:10" ht="51.6" customHeight="1" thickBot="1" x14ac:dyDescent="0.3"/>
    <row r="192" spans="1:10" ht="49.9" customHeight="1" thickBot="1" x14ac:dyDescent="0.3">
      <c r="A192" s="34" t="s">
        <v>0</v>
      </c>
      <c r="B192" s="32" t="s">
        <v>93</v>
      </c>
      <c r="C192" s="32" t="s">
        <v>1</v>
      </c>
      <c r="D192" s="235" t="s">
        <v>92</v>
      </c>
      <c r="E192" s="104" t="s">
        <v>119</v>
      </c>
      <c r="F192" s="104" t="s">
        <v>359</v>
      </c>
      <c r="G192" s="104" t="s">
        <v>254</v>
      </c>
      <c r="H192" s="205" t="s">
        <v>416</v>
      </c>
      <c r="I192" s="231" t="s">
        <v>1391</v>
      </c>
    </row>
    <row r="193" spans="1:10" ht="49.9" customHeight="1" x14ac:dyDescent="0.25">
      <c r="A193" s="242">
        <v>45119.355162037034</v>
      </c>
      <c r="B193" s="168" t="s">
        <v>77</v>
      </c>
      <c r="C193" s="4" t="s">
        <v>692</v>
      </c>
      <c r="D193" s="17" t="s">
        <v>95</v>
      </c>
      <c r="E193" s="18" t="s">
        <v>693</v>
      </c>
      <c r="F193" s="4" t="str">
        <f t="shared" ref="F193:F199" si="21">IFERROR(VLOOKUP(B193,targlist02,3,0),"Nincs Adat")</f>
        <v>PTP200R239151</v>
      </c>
      <c r="G193" s="4">
        <v>590</v>
      </c>
      <c r="H193" s="22">
        <v>201.17</v>
      </c>
      <c r="I193" s="166">
        <v>6170039223</v>
      </c>
      <c r="J193" s="1">
        <v>0</v>
      </c>
    </row>
    <row r="194" spans="1:10" ht="49.9" customHeight="1" x14ac:dyDescent="0.25">
      <c r="A194" s="242">
        <v>45119.355613425927</v>
      </c>
      <c r="B194" s="141" t="s">
        <v>78</v>
      </c>
      <c r="C194" s="4" t="s">
        <v>623</v>
      </c>
      <c r="D194" s="17" t="s">
        <v>95</v>
      </c>
      <c r="E194" s="18" t="s">
        <v>694</v>
      </c>
      <c r="F194" s="4" t="str">
        <f t="shared" si="21"/>
        <v>PTP200R239152</v>
      </c>
      <c r="G194" s="4">
        <v>1127</v>
      </c>
      <c r="H194" s="21">
        <v>311.12</v>
      </c>
      <c r="I194" s="166">
        <v>6170039226</v>
      </c>
      <c r="J194" s="1">
        <v>0</v>
      </c>
    </row>
    <row r="195" spans="1:10" ht="49.9" customHeight="1" x14ac:dyDescent="0.25">
      <c r="A195" s="242">
        <v>45125.427719907406</v>
      </c>
      <c r="B195" s="141" t="s">
        <v>79</v>
      </c>
      <c r="C195" s="4" t="s">
        <v>768</v>
      </c>
      <c r="D195" s="17" t="s">
        <v>95</v>
      </c>
      <c r="E195" s="18" t="s">
        <v>700</v>
      </c>
      <c r="F195" s="4" t="str">
        <f t="shared" si="21"/>
        <v>PTP200R239153</v>
      </c>
      <c r="G195" s="4">
        <v>909</v>
      </c>
      <c r="H195" s="21">
        <v>489.81</v>
      </c>
      <c r="I195" s="166">
        <v>6170039217</v>
      </c>
      <c r="J195" s="1">
        <v>0</v>
      </c>
    </row>
    <row r="196" spans="1:10" ht="49.9" customHeight="1" x14ac:dyDescent="0.25">
      <c r="A196" s="242">
        <v>45126.427245370367</v>
      </c>
      <c r="B196" s="141" t="s">
        <v>80</v>
      </c>
      <c r="C196" s="178" t="s">
        <v>766</v>
      </c>
      <c r="D196" s="17" t="s">
        <v>95</v>
      </c>
      <c r="E196" s="18" t="s">
        <v>699</v>
      </c>
      <c r="F196" s="4" t="str">
        <f t="shared" si="21"/>
        <v>PTP200R239154</v>
      </c>
      <c r="G196" s="4">
        <v>158</v>
      </c>
      <c r="H196" s="21">
        <v>334.96</v>
      </c>
      <c r="I196" s="166">
        <v>6170039218</v>
      </c>
      <c r="J196" s="1">
        <v>0</v>
      </c>
    </row>
    <row r="197" spans="1:10" ht="49.9" customHeight="1" x14ac:dyDescent="0.25">
      <c r="A197" s="242">
        <v>45127.390092592592</v>
      </c>
      <c r="B197" s="141" t="s">
        <v>80</v>
      </c>
      <c r="C197" s="4" t="s">
        <v>722</v>
      </c>
      <c r="D197" s="17" t="s">
        <v>95</v>
      </c>
      <c r="E197" s="18" t="s">
        <v>723</v>
      </c>
      <c r="F197" s="4" t="str">
        <f t="shared" si="21"/>
        <v>PTP200R239154</v>
      </c>
      <c r="G197" s="4">
        <v>178</v>
      </c>
      <c r="H197" s="21">
        <v>184.29</v>
      </c>
      <c r="I197" s="166">
        <v>6170039219</v>
      </c>
      <c r="J197" s="1">
        <v>0</v>
      </c>
    </row>
    <row r="198" spans="1:10" ht="49.9" customHeight="1" x14ac:dyDescent="0.25">
      <c r="A198" s="242">
        <v>45132.393506944441</v>
      </c>
      <c r="B198" s="141" t="s">
        <v>79</v>
      </c>
      <c r="C198" s="4" t="s">
        <v>726</v>
      </c>
      <c r="D198" s="17" t="s">
        <v>95</v>
      </c>
      <c r="E198" s="18" t="s">
        <v>727</v>
      </c>
      <c r="F198" s="4" t="str">
        <f t="shared" si="21"/>
        <v>PTP200R239153</v>
      </c>
      <c r="G198" s="4">
        <v>920</v>
      </c>
      <c r="H198" s="21">
        <v>260.83</v>
      </c>
      <c r="I198" s="166">
        <v>6170039220</v>
      </c>
      <c r="J198" s="1">
        <v>0</v>
      </c>
    </row>
    <row r="199" spans="1:10" ht="49.9" customHeight="1" thickBot="1" x14ac:dyDescent="0.3">
      <c r="A199" s="248">
        <v>45133.39634259259</v>
      </c>
      <c r="B199" s="167" t="s">
        <v>77</v>
      </c>
      <c r="C199" s="201" t="s">
        <v>734</v>
      </c>
      <c r="D199" s="202" t="s">
        <v>95</v>
      </c>
      <c r="E199" s="203" t="s">
        <v>735</v>
      </c>
      <c r="F199" s="201" t="str">
        <f t="shared" si="21"/>
        <v>PTP200R239151</v>
      </c>
      <c r="G199" s="201">
        <v>642</v>
      </c>
      <c r="H199" s="239">
        <v>185.71</v>
      </c>
      <c r="I199" s="110">
        <v>6170039222</v>
      </c>
      <c r="J199" s="1">
        <v>0</v>
      </c>
    </row>
    <row r="200" spans="1:10" ht="49.9" customHeight="1" thickBot="1" x14ac:dyDescent="0.3"/>
    <row r="201" spans="1:10" ht="46.9" customHeight="1" thickBot="1" x14ac:dyDescent="0.3">
      <c r="A201" s="233" t="s">
        <v>0</v>
      </c>
      <c r="B201" s="204" t="s">
        <v>93</v>
      </c>
      <c r="C201" s="104" t="s">
        <v>1</v>
      </c>
      <c r="D201" s="104" t="s">
        <v>92</v>
      </c>
      <c r="E201" s="104" t="s">
        <v>119</v>
      </c>
      <c r="F201" s="104" t="s">
        <v>359</v>
      </c>
      <c r="G201" s="104" t="s">
        <v>254</v>
      </c>
      <c r="H201" s="237" t="s">
        <v>416</v>
      </c>
      <c r="I201" s="32" t="s">
        <v>1391</v>
      </c>
    </row>
    <row r="202" spans="1:10" ht="46.9" customHeight="1" x14ac:dyDescent="0.25">
      <c r="A202" s="25">
        <v>45098.332826041667</v>
      </c>
      <c r="B202" s="168" t="s">
        <v>80</v>
      </c>
      <c r="C202" s="4" t="s">
        <v>623</v>
      </c>
      <c r="D202" s="4" t="s">
        <v>95</v>
      </c>
      <c r="E202" s="4" t="s">
        <v>634</v>
      </c>
      <c r="F202" s="4" t="str">
        <f t="shared" ref="F202:F203" si="22">IFERROR(VLOOKUP(B202,targlist02,3,0),"Nincs Adat")</f>
        <v>PTP200R239154</v>
      </c>
      <c r="G202" s="4">
        <v>70</v>
      </c>
      <c r="H202" s="4">
        <v>561.61</v>
      </c>
      <c r="I202" s="246">
        <v>4502259253</v>
      </c>
      <c r="J202" s="1">
        <v>0</v>
      </c>
    </row>
    <row r="203" spans="1:10" ht="46.9" customHeight="1" x14ac:dyDescent="0.25">
      <c r="A203" s="25">
        <v>45100.332334375002</v>
      </c>
      <c r="B203" s="141" t="s">
        <v>80</v>
      </c>
      <c r="C203" s="2" t="s">
        <v>647</v>
      </c>
      <c r="D203" s="2" t="s">
        <v>95</v>
      </c>
      <c r="E203" s="2" t="s">
        <v>646</v>
      </c>
      <c r="F203" s="2" t="str">
        <f t="shared" si="22"/>
        <v>PTP200R239154</v>
      </c>
      <c r="G203" s="2">
        <v>77</v>
      </c>
      <c r="H203" s="2">
        <v>653.66999999999996</v>
      </c>
      <c r="I203" s="246">
        <v>4502259255</v>
      </c>
      <c r="J203" s="1">
        <v>0</v>
      </c>
    </row>
    <row r="204" spans="1:10" ht="46.9" customHeight="1" thickBot="1" x14ac:dyDescent="0.3">
      <c r="A204" s="25">
        <v>45112.331656249997</v>
      </c>
      <c r="B204" s="167" t="s">
        <v>78</v>
      </c>
      <c r="C204" s="109" t="s">
        <v>678</v>
      </c>
      <c r="D204" s="109" t="s">
        <v>95</v>
      </c>
      <c r="E204" s="109" t="s">
        <v>674</v>
      </c>
      <c r="F204" s="109" t="str">
        <f>IFERROR(VLOOKUP(B204,targlist02,3,0),"Nincs Adat")</f>
        <v>PTP200R239152</v>
      </c>
      <c r="G204" s="109">
        <v>1119</v>
      </c>
      <c r="H204" s="109">
        <v>339.43</v>
      </c>
      <c r="I204" s="247">
        <v>4502259256</v>
      </c>
      <c r="J204" s="1">
        <v>0</v>
      </c>
    </row>
    <row r="205" spans="1:10" ht="46.9" customHeight="1" thickBot="1" x14ac:dyDescent="0.3">
      <c r="A205" s="233" t="s">
        <v>0</v>
      </c>
      <c r="B205" s="204" t="s">
        <v>93</v>
      </c>
      <c r="C205" s="104" t="s">
        <v>1</v>
      </c>
      <c r="D205" s="104" t="s">
        <v>92</v>
      </c>
      <c r="E205" s="104" t="s">
        <v>119</v>
      </c>
      <c r="F205" s="104" t="s">
        <v>359</v>
      </c>
      <c r="G205" s="104" t="s">
        <v>254</v>
      </c>
      <c r="H205" s="237" t="s">
        <v>416</v>
      </c>
      <c r="I205" s="32" t="s">
        <v>1391</v>
      </c>
    </row>
    <row r="206" spans="1:10" ht="46.9" customHeight="1" thickBot="1" x14ac:dyDescent="0.3">
      <c r="A206" s="25">
        <v>45089.33443865741</v>
      </c>
      <c r="B206" s="244" t="s">
        <v>79</v>
      </c>
      <c r="C206" s="245" t="s">
        <v>1444</v>
      </c>
      <c r="D206" s="201" t="s">
        <v>95</v>
      </c>
      <c r="E206" s="201" t="s">
        <v>599</v>
      </c>
      <c r="F206" s="201" t="str">
        <f t="shared" ref="F206" si="23">IFERROR(VLOOKUP(B206,targlist02,3,0),"Nincs Adat")</f>
        <v>PTP200R239153</v>
      </c>
      <c r="G206" s="201">
        <v>770</v>
      </c>
      <c r="H206" s="201"/>
      <c r="I206" s="202"/>
      <c r="J206" s="13">
        <v>642.80999999999995</v>
      </c>
    </row>
    <row r="207" spans="1:10" ht="46.9" customHeight="1" thickBot="1" x14ac:dyDescent="0.3"/>
    <row r="208" spans="1:10" ht="38.450000000000003" customHeight="1" thickBot="1" x14ac:dyDescent="0.3">
      <c r="A208" s="233" t="s">
        <v>0</v>
      </c>
      <c r="B208" s="204" t="s">
        <v>93</v>
      </c>
      <c r="C208" s="104" t="s">
        <v>1</v>
      </c>
      <c r="D208" s="104" t="s">
        <v>92</v>
      </c>
      <c r="E208" s="104" t="s">
        <v>119</v>
      </c>
      <c r="F208" s="104" t="s">
        <v>359</v>
      </c>
      <c r="G208" s="104" t="s">
        <v>254</v>
      </c>
      <c r="H208" s="237" t="s">
        <v>416</v>
      </c>
      <c r="I208" s="32" t="s">
        <v>1391</v>
      </c>
    </row>
    <row r="209" spans="1:10" ht="47.45" customHeight="1" x14ac:dyDescent="0.25">
      <c r="A209" s="25">
        <v>45084.34184155093</v>
      </c>
      <c r="B209" s="168" t="s">
        <v>24</v>
      </c>
      <c r="C209" s="4" t="s">
        <v>540</v>
      </c>
      <c r="D209" s="4" t="s">
        <v>95</v>
      </c>
      <c r="E209" s="4" t="s">
        <v>541</v>
      </c>
      <c r="F209" s="4" t="str">
        <f t="shared" ref="F209:F211" si="24">IFERROR(VLOOKUP(B209,targlist02,3,0),"Nincs Adat")</f>
        <v>EUB09D700704</v>
      </c>
      <c r="G209" s="4"/>
      <c r="H209" s="4">
        <v>100.58</v>
      </c>
      <c r="I209" s="17">
        <v>4502253934</v>
      </c>
      <c r="J209" s="1">
        <v>0</v>
      </c>
    </row>
    <row r="210" spans="1:10" ht="47.45" customHeight="1" x14ac:dyDescent="0.25">
      <c r="A210" s="25">
        <v>45078.506793981483</v>
      </c>
      <c r="B210" s="141" t="s">
        <v>78</v>
      </c>
      <c r="C210" s="106" t="s">
        <v>534</v>
      </c>
      <c r="D210" s="2" t="s">
        <v>95</v>
      </c>
      <c r="E210" s="2" t="s">
        <v>535</v>
      </c>
      <c r="F210" s="2" t="str">
        <f t="shared" si="24"/>
        <v>PTP200R239152</v>
      </c>
      <c r="G210" s="2">
        <v>1047</v>
      </c>
      <c r="H210" s="2">
        <v>639.78</v>
      </c>
      <c r="I210" s="166">
        <v>4502253935</v>
      </c>
      <c r="J210" s="1">
        <v>0</v>
      </c>
    </row>
    <row r="211" spans="1:10" ht="47.45" customHeight="1" x14ac:dyDescent="0.25">
      <c r="A211" s="25">
        <v>45078.506793981483</v>
      </c>
      <c r="B211" s="141" t="s">
        <v>78</v>
      </c>
      <c r="C211" s="2" t="s">
        <v>537</v>
      </c>
      <c r="D211" s="2" t="s">
        <v>95</v>
      </c>
      <c r="E211" s="2" t="s">
        <v>536</v>
      </c>
      <c r="F211" s="2" t="str">
        <f t="shared" si="24"/>
        <v>PTP200R239152</v>
      </c>
      <c r="G211" s="2">
        <v>1010</v>
      </c>
      <c r="H211" s="2">
        <v>301.66000000000003</v>
      </c>
      <c r="I211" s="166">
        <v>4502253936</v>
      </c>
      <c r="J211" s="1">
        <v>0</v>
      </c>
    </row>
    <row r="212" spans="1:10" ht="47.45" customHeight="1" x14ac:dyDescent="0.25">
      <c r="A212" s="25">
        <v>45068.500902777778</v>
      </c>
      <c r="B212" s="141" t="s">
        <v>80</v>
      </c>
      <c r="C212" s="106" t="s">
        <v>516</v>
      </c>
      <c r="D212" s="2" t="s">
        <v>95</v>
      </c>
      <c r="E212" s="2" t="s">
        <v>517</v>
      </c>
      <c r="F212" s="2" t="str">
        <f t="shared" ref="F212" si="25">IFERROR(VLOOKUP(B212,targlist02,3,0),"Nincs Adat")</f>
        <v>PTP200R239154</v>
      </c>
      <c r="G212" s="2">
        <v>906</v>
      </c>
      <c r="H212" s="2">
        <v>780.54</v>
      </c>
      <c r="I212" s="166">
        <v>4502253937</v>
      </c>
      <c r="J212" s="1">
        <v>0</v>
      </c>
    </row>
    <row r="213" spans="1:10" ht="47.65" customHeight="1" x14ac:dyDescent="0.25">
      <c r="A213" s="25">
        <v>45065.639166666668</v>
      </c>
      <c r="B213" s="141" t="s">
        <v>9</v>
      </c>
      <c r="C213" s="2" t="s">
        <v>598</v>
      </c>
      <c r="D213" s="2" t="s">
        <v>95</v>
      </c>
      <c r="E213" s="2" t="s">
        <v>515</v>
      </c>
      <c r="F213" s="2" t="str">
        <f>IFERROR(VLOOKUP(B213,targlist02,3,0),"Nincs Adat")</f>
        <v>EUB09D700745</v>
      </c>
      <c r="G213" s="2">
        <v>2666</v>
      </c>
      <c r="H213" s="2">
        <v>120.4</v>
      </c>
      <c r="I213" s="166">
        <v>4502253932</v>
      </c>
      <c r="J213" s="1">
        <v>0</v>
      </c>
    </row>
    <row r="214" spans="1:10" s="1" customFormat="1" ht="33" customHeight="1" thickBot="1" x14ac:dyDescent="0.3">
      <c r="A214" s="25">
        <v>45076</v>
      </c>
      <c r="B214" s="167" t="s">
        <v>81</v>
      </c>
      <c r="C214" s="109" t="s">
        <v>526</v>
      </c>
      <c r="D214" s="109" t="s">
        <v>95</v>
      </c>
      <c r="E214" s="109" t="s">
        <v>527</v>
      </c>
      <c r="F214" s="109" t="str">
        <f>IFERROR(VLOOKUP(B214,targlist02,3,0),"Nincs Adat")</f>
        <v>PTP200R239155</v>
      </c>
      <c r="G214" s="109">
        <v>738</v>
      </c>
      <c r="H214" s="109">
        <v>339.43</v>
      </c>
      <c r="I214" s="110">
        <v>4502253941</v>
      </c>
      <c r="J214" s="1">
        <v>0</v>
      </c>
    </row>
    <row r="215" spans="1:10" ht="25.15" customHeight="1" x14ac:dyDescent="0.25"/>
    <row r="216" spans="1:10" ht="25.15" customHeight="1" x14ac:dyDescent="0.25"/>
    <row r="217" spans="1:10" ht="25.15" customHeight="1" thickBot="1" x14ac:dyDescent="0.3"/>
    <row r="218" spans="1:10" ht="25.15" customHeight="1" x14ac:dyDescent="0.25">
      <c r="A218" s="233" t="s">
        <v>0</v>
      </c>
      <c r="B218" s="240" t="s">
        <v>93</v>
      </c>
      <c r="C218" s="210" t="s">
        <v>1</v>
      </c>
      <c r="D218" s="241" t="s">
        <v>92</v>
      </c>
      <c r="E218" s="240" t="s">
        <v>119</v>
      </c>
      <c r="F218" s="210" t="s">
        <v>359</v>
      </c>
      <c r="G218" s="210" t="s">
        <v>254</v>
      </c>
      <c r="H218" s="241" t="s">
        <v>416</v>
      </c>
      <c r="I218" s="231" t="s">
        <v>1391</v>
      </c>
    </row>
    <row r="219" spans="1:10" ht="25.15" customHeight="1" x14ac:dyDescent="0.25">
      <c r="A219" s="25">
        <v>45043.397042592595</v>
      </c>
      <c r="B219" s="141" t="s">
        <v>11</v>
      </c>
      <c r="C219" s="2" t="s">
        <v>463</v>
      </c>
      <c r="D219" s="21" t="s">
        <v>95</v>
      </c>
      <c r="E219" s="141" t="s">
        <v>452</v>
      </c>
      <c r="F219" s="2" t="str">
        <f>IFERROR(VLOOKUP(B219,targlist02,3,0),"Nincs Adat")</f>
        <v>EUB09D700850</v>
      </c>
      <c r="G219" s="2">
        <v>2587</v>
      </c>
      <c r="H219" s="2">
        <v>50.29</v>
      </c>
      <c r="I219" s="166">
        <v>4502246986</v>
      </c>
      <c r="J219" s="1">
        <v>0</v>
      </c>
    </row>
    <row r="220" spans="1:10" ht="25.15" customHeight="1" x14ac:dyDescent="0.25">
      <c r="A220" s="25">
        <v>45049.328921527776</v>
      </c>
      <c r="B220" s="141" t="s">
        <v>11</v>
      </c>
      <c r="C220" s="2" t="s">
        <v>464</v>
      </c>
      <c r="D220" s="21" t="s">
        <v>95</v>
      </c>
      <c r="E220" s="141" t="s">
        <v>465</v>
      </c>
      <c r="F220" s="2" t="str">
        <f>IFERROR(VLOOKUP(B220,targlist02,3,0),"Nincs Adat")</f>
        <v>EUB09D700850</v>
      </c>
      <c r="G220" s="2">
        <v>2595</v>
      </c>
      <c r="H220" s="2">
        <v>50.29</v>
      </c>
      <c r="I220" s="166">
        <v>4502246985</v>
      </c>
      <c r="J220" s="1">
        <v>0</v>
      </c>
    </row>
    <row r="221" spans="1:10" ht="25.15" customHeight="1" x14ac:dyDescent="0.25">
      <c r="A221" s="25">
        <v>45050.421422800922</v>
      </c>
      <c r="B221" s="141" t="s">
        <v>144</v>
      </c>
      <c r="C221" s="2" t="s">
        <v>497</v>
      </c>
      <c r="D221" s="21" t="s">
        <v>95</v>
      </c>
      <c r="E221" s="141" t="s">
        <v>473</v>
      </c>
      <c r="F221" s="112"/>
      <c r="G221" s="2">
        <v>2544</v>
      </c>
      <c r="H221" s="2">
        <v>803.66</v>
      </c>
      <c r="I221" s="166">
        <v>4502246984</v>
      </c>
      <c r="J221" s="1">
        <v>0</v>
      </c>
    </row>
    <row r="222" spans="1:10" ht="25.15" customHeight="1" x14ac:dyDescent="0.25">
      <c r="A222" s="25">
        <v>45061</v>
      </c>
      <c r="B222" s="141" t="s">
        <v>80</v>
      </c>
      <c r="C222" s="106" t="s">
        <v>498</v>
      </c>
      <c r="D222" s="21" t="s">
        <v>95</v>
      </c>
      <c r="E222" s="141" t="s">
        <v>499</v>
      </c>
      <c r="F222" s="2" t="str">
        <f>IFERROR(VLOOKUP(B222,targlist02,3,0),"Nincs Adat")</f>
        <v>PTP200R239154</v>
      </c>
      <c r="G222" s="2">
        <v>1117</v>
      </c>
      <c r="H222" s="2">
        <v>234.35</v>
      </c>
      <c r="I222" s="166">
        <v>4502246983</v>
      </c>
      <c r="J222" s="1">
        <v>0</v>
      </c>
    </row>
    <row r="223" spans="1:10" ht="25.15" customHeight="1" x14ac:dyDescent="0.25">
      <c r="A223" s="25">
        <v>45063.91815972222</v>
      </c>
      <c r="B223" s="141" t="s">
        <v>78</v>
      </c>
      <c r="C223" s="106" t="s">
        <v>494</v>
      </c>
      <c r="D223" s="21" t="s">
        <v>95</v>
      </c>
      <c r="E223" s="141" t="s">
        <v>493</v>
      </c>
      <c r="F223" s="2" t="str">
        <f>IFERROR(VLOOKUP(B223,targlist02,3,0),"Nincs Adat")</f>
        <v>PTP200R239152</v>
      </c>
      <c r="G223" s="2">
        <v>957</v>
      </c>
      <c r="H223" s="2">
        <v>560.07000000000005</v>
      </c>
      <c r="I223" s="166">
        <v>4502246982</v>
      </c>
      <c r="J223" s="1">
        <v>0</v>
      </c>
    </row>
    <row r="224" spans="1:10" ht="25.15" customHeight="1" thickBot="1" x14ac:dyDescent="0.3">
      <c r="A224" s="25">
        <v>45063.91815972222</v>
      </c>
      <c r="B224" s="167" t="s">
        <v>77</v>
      </c>
      <c r="C224" s="243" t="s">
        <v>495</v>
      </c>
      <c r="D224" s="239" t="s">
        <v>95</v>
      </c>
      <c r="E224" s="167" t="s">
        <v>496</v>
      </c>
      <c r="F224" s="109" t="str">
        <f>IFERROR(VLOOKUP(B224,targlist02,3,0),"Nincs Adat")</f>
        <v>PTP200R239151</v>
      </c>
      <c r="G224" s="109">
        <v>350</v>
      </c>
      <c r="H224" s="109">
        <v>738.42</v>
      </c>
      <c r="I224" s="110">
        <v>4502246978</v>
      </c>
      <c r="J224" s="1">
        <v>0</v>
      </c>
    </row>
    <row r="225" spans="1:10" ht="25.15" customHeight="1" x14ac:dyDescent="0.25"/>
    <row r="226" spans="1:10" ht="25.15" customHeight="1" x14ac:dyDescent="0.25"/>
    <row r="227" spans="1:10" ht="25.15" customHeight="1" x14ac:dyDescent="0.25"/>
    <row r="228" spans="1:10" ht="25.15" customHeight="1" thickBot="1" x14ac:dyDescent="0.3"/>
    <row r="229" spans="1:10" ht="25.15" customHeight="1" thickBot="1" x14ac:dyDescent="0.3">
      <c r="A229" s="32" t="s">
        <v>0</v>
      </c>
      <c r="B229" s="32" t="s">
        <v>93</v>
      </c>
      <c r="C229" s="32" t="s">
        <v>1</v>
      </c>
      <c r="D229" s="32" t="s">
        <v>92</v>
      </c>
      <c r="E229" s="32" t="s">
        <v>119</v>
      </c>
      <c r="F229" s="32" t="s">
        <v>359</v>
      </c>
      <c r="G229" s="32" t="s">
        <v>254</v>
      </c>
      <c r="H229" s="34" t="s">
        <v>416</v>
      </c>
      <c r="I229" s="231" t="s">
        <v>1391</v>
      </c>
    </row>
    <row r="230" spans="1:10" s="1" customFormat="1" ht="25.15" customHeight="1" x14ac:dyDescent="0.25">
      <c r="A230" s="14">
        <v>45036.392083333332</v>
      </c>
      <c r="B230" s="4" t="s">
        <v>81</v>
      </c>
      <c r="C230" s="4" t="s">
        <v>438</v>
      </c>
      <c r="D230" s="4" t="s">
        <v>95</v>
      </c>
      <c r="E230" s="4" t="s">
        <v>439</v>
      </c>
      <c r="F230" s="4" t="s">
        <v>337</v>
      </c>
      <c r="G230" s="4">
        <v>653</v>
      </c>
      <c r="H230" s="22">
        <v>114.19</v>
      </c>
      <c r="I230" s="28">
        <v>4502238714</v>
      </c>
      <c r="J230" s="1">
        <v>0</v>
      </c>
    </row>
    <row r="231" spans="1:10" ht="25.15" customHeight="1" thickBot="1" x14ac:dyDescent="0.3">
      <c r="A231" s="108">
        <v>45028.445755439818</v>
      </c>
      <c r="B231" s="109" t="s">
        <v>80</v>
      </c>
      <c r="C231" s="109" t="s">
        <v>420</v>
      </c>
      <c r="D231" s="109" t="s">
        <v>95</v>
      </c>
      <c r="E231" s="109" t="s">
        <v>429</v>
      </c>
      <c r="F231" s="109" t="s">
        <v>336</v>
      </c>
      <c r="G231" s="109">
        <v>1008</v>
      </c>
      <c r="H231" s="239">
        <v>213.59</v>
      </c>
      <c r="I231" s="226">
        <v>4502238712</v>
      </c>
      <c r="J231" s="1">
        <v>0</v>
      </c>
    </row>
    <row r="232" spans="1:10" ht="25.15" customHeight="1" x14ac:dyDescent="0.25"/>
    <row r="233" spans="1:10" ht="25.15" customHeight="1" x14ac:dyDescent="0.25"/>
    <row r="234" spans="1:10" ht="25.15" customHeight="1" x14ac:dyDescent="0.25"/>
    <row r="235" spans="1:10" ht="25.15" customHeight="1" thickBot="1" x14ac:dyDescent="0.3"/>
    <row r="236" spans="1:10" ht="24.95" customHeight="1" thickBot="1" x14ac:dyDescent="0.3">
      <c r="A236" s="34" t="s">
        <v>0</v>
      </c>
      <c r="B236" s="34" t="s">
        <v>93</v>
      </c>
      <c r="C236" s="34" t="s">
        <v>1</v>
      </c>
      <c r="D236" s="237" t="s">
        <v>92</v>
      </c>
      <c r="E236" s="32" t="s">
        <v>119</v>
      </c>
      <c r="F236" s="32" t="s">
        <v>359</v>
      </c>
      <c r="G236" s="32" t="s">
        <v>254</v>
      </c>
      <c r="H236" s="236" t="s">
        <v>416</v>
      </c>
      <c r="I236" s="209" t="s">
        <v>1391</v>
      </c>
    </row>
    <row r="237" spans="1:10" ht="24.95" customHeight="1" x14ac:dyDescent="0.25">
      <c r="A237" s="242">
        <v>45006</v>
      </c>
      <c r="B237" s="141" t="s">
        <v>79</v>
      </c>
      <c r="C237" s="4" t="s">
        <v>393</v>
      </c>
      <c r="D237" s="22" t="s">
        <v>95</v>
      </c>
      <c r="E237" s="121" t="s">
        <v>460</v>
      </c>
      <c r="F237" s="4" t="str">
        <f t="shared" ref="F237:F240" si="26">IFERROR(VLOOKUP(B237,targlist02,3,0),"Nincs Adat")</f>
        <v>PTP200R239153</v>
      </c>
      <c r="G237" s="4">
        <v>801</v>
      </c>
      <c r="H237" s="2">
        <v>433.41</v>
      </c>
      <c r="I237" s="166">
        <v>4502231670</v>
      </c>
      <c r="J237" s="1">
        <v>0</v>
      </c>
    </row>
    <row r="238" spans="1:10" ht="24.95" customHeight="1" x14ac:dyDescent="0.25">
      <c r="A238" s="242">
        <v>45006</v>
      </c>
      <c r="B238" s="141" t="s">
        <v>78</v>
      </c>
      <c r="C238" s="4" t="s">
        <v>391</v>
      </c>
      <c r="D238" s="22" t="s">
        <v>95</v>
      </c>
      <c r="E238" s="121" t="s">
        <v>392</v>
      </c>
      <c r="F238" s="4" t="str">
        <f t="shared" si="26"/>
        <v>PTP200R239152</v>
      </c>
      <c r="G238" s="4">
        <v>799</v>
      </c>
      <c r="H238" s="2">
        <v>144.27000000000001</v>
      </c>
      <c r="I238" s="166">
        <v>4502231673</v>
      </c>
      <c r="J238" s="1">
        <v>0</v>
      </c>
    </row>
    <row r="239" spans="1:10" ht="24.95" customHeight="1" x14ac:dyDescent="0.25">
      <c r="A239" s="242">
        <v>45009</v>
      </c>
      <c r="B239" s="141" t="s">
        <v>80</v>
      </c>
      <c r="C239" s="4" t="s">
        <v>399</v>
      </c>
      <c r="D239" s="22" t="s">
        <v>95</v>
      </c>
      <c r="E239" s="121" t="s">
        <v>400</v>
      </c>
      <c r="F239" s="4" t="str">
        <f t="shared" si="26"/>
        <v>PTP200R239154</v>
      </c>
      <c r="G239" s="4">
        <v>954</v>
      </c>
      <c r="H239" s="2">
        <v>143.80000000000001</v>
      </c>
      <c r="I239" s="166">
        <v>4502231674</v>
      </c>
      <c r="J239" s="1">
        <v>0</v>
      </c>
    </row>
    <row r="240" spans="1:10" ht="24.95" customHeight="1" thickBot="1" x14ac:dyDescent="0.3">
      <c r="A240" s="242">
        <v>45009</v>
      </c>
      <c r="B240" s="167" t="s">
        <v>78</v>
      </c>
      <c r="C240" s="201" t="s">
        <v>397</v>
      </c>
      <c r="D240" s="211" t="s">
        <v>95</v>
      </c>
      <c r="E240" s="238" t="s">
        <v>398</v>
      </c>
      <c r="F240" s="201" t="str">
        <f t="shared" si="26"/>
        <v>PTP200R239152</v>
      </c>
      <c r="G240" s="201">
        <v>799</v>
      </c>
      <c r="H240" s="109">
        <v>239.27</v>
      </c>
      <c r="I240" s="110">
        <v>4502231676</v>
      </c>
      <c r="J240" s="1">
        <v>0</v>
      </c>
    </row>
    <row r="241" spans="1:10" ht="24.95" customHeight="1" x14ac:dyDescent="0.25"/>
    <row r="242" spans="1:10" ht="24.95" customHeight="1" thickBot="1" x14ac:dyDescent="0.3"/>
    <row r="243" spans="1:10" ht="24.95" customHeight="1" thickBot="1" x14ac:dyDescent="0.3">
      <c r="A243" s="34" t="s">
        <v>0</v>
      </c>
      <c r="B243" s="34" t="s">
        <v>93</v>
      </c>
      <c r="C243" s="34" t="s">
        <v>1</v>
      </c>
      <c r="D243" s="104" t="s">
        <v>92</v>
      </c>
      <c r="E243" s="38" t="s">
        <v>119</v>
      </c>
      <c r="F243" s="32" t="s">
        <v>359</v>
      </c>
      <c r="G243" s="34" t="s">
        <v>254</v>
      </c>
      <c r="H243" s="32" t="s">
        <v>416</v>
      </c>
      <c r="I243" s="32" t="s">
        <v>1391</v>
      </c>
    </row>
    <row r="244" spans="1:10" ht="24.95" customHeight="1" x14ac:dyDescent="0.25">
      <c r="A244" s="242">
        <v>45001</v>
      </c>
      <c r="B244" s="141" t="s">
        <v>142</v>
      </c>
      <c r="C244" s="4" t="s">
        <v>372</v>
      </c>
      <c r="D244" s="17" t="s">
        <v>95</v>
      </c>
      <c r="E244" s="18" t="s">
        <v>394</v>
      </c>
      <c r="F244" s="4" t="str">
        <f t="shared" ref="F244:F246" si="27">IFERROR(VLOOKUP(B244,targlist02,3,0),"Nincs Adat")</f>
        <v>LO20N2RCB13B00112</v>
      </c>
      <c r="G244" s="22">
        <v>832</v>
      </c>
      <c r="H244" s="4">
        <v>649.57000000000005</v>
      </c>
      <c r="I244" s="17">
        <v>4502229907</v>
      </c>
      <c r="J244" s="1">
        <v>0</v>
      </c>
    </row>
    <row r="245" spans="1:10" ht="24.95" customHeight="1" x14ac:dyDescent="0.25">
      <c r="A245" s="242">
        <v>45001</v>
      </c>
      <c r="B245" s="141" t="s">
        <v>80</v>
      </c>
      <c r="C245" s="4" t="s">
        <v>374</v>
      </c>
      <c r="D245" s="17" t="s">
        <v>95</v>
      </c>
      <c r="E245" s="18" t="s">
        <v>375</v>
      </c>
      <c r="F245" s="4" t="str">
        <f t="shared" si="27"/>
        <v>PTP200R239154</v>
      </c>
      <c r="G245" s="22">
        <v>935</v>
      </c>
      <c r="H245" s="2">
        <v>608.03</v>
      </c>
      <c r="I245" s="166">
        <v>4502229909</v>
      </c>
      <c r="J245" s="1">
        <v>0</v>
      </c>
    </row>
    <row r="246" spans="1:10" ht="24.95" customHeight="1" thickBot="1" x14ac:dyDescent="0.3">
      <c r="A246" s="242">
        <v>45002</v>
      </c>
      <c r="B246" s="167" t="s">
        <v>15</v>
      </c>
      <c r="C246" s="201" t="s">
        <v>371</v>
      </c>
      <c r="D246" s="202" t="s">
        <v>95</v>
      </c>
      <c r="E246" s="203" t="s">
        <v>373</v>
      </c>
      <c r="F246" s="201" t="str">
        <f t="shared" si="27"/>
        <v>EUB09D700705</v>
      </c>
      <c r="G246" s="211">
        <v>481</v>
      </c>
      <c r="H246" s="109">
        <v>100.58</v>
      </c>
      <c r="I246" s="110">
        <v>4502229911</v>
      </c>
      <c r="J246" s="1">
        <v>0</v>
      </c>
    </row>
    <row r="247" spans="1:10" ht="24.95" customHeight="1" x14ac:dyDescent="0.25"/>
    <row r="248" spans="1:10" ht="24.95" customHeight="1" x14ac:dyDescent="0.25"/>
    <row r="249" spans="1:10" ht="24.95" customHeight="1" thickBot="1" x14ac:dyDescent="0.3"/>
    <row r="250" spans="1:10" ht="25.9" customHeight="1" thickBot="1" x14ac:dyDescent="0.3">
      <c r="A250" s="34" t="s">
        <v>0</v>
      </c>
      <c r="B250" s="34" t="s">
        <v>93</v>
      </c>
      <c r="C250" s="34" t="s">
        <v>1</v>
      </c>
      <c r="D250" s="104" t="s">
        <v>92</v>
      </c>
      <c r="E250" s="38" t="s">
        <v>119</v>
      </c>
      <c r="F250" s="32" t="s">
        <v>359</v>
      </c>
      <c r="G250" s="34" t="s">
        <v>254</v>
      </c>
      <c r="H250" s="204" t="s">
        <v>416</v>
      </c>
      <c r="I250" s="205" t="s">
        <v>1391</v>
      </c>
    </row>
    <row r="251" spans="1:10" ht="25.15" customHeight="1" x14ac:dyDescent="0.25">
      <c r="A251" s="242">
        <v>44991.49014548611</v>
      </c>
      <c r="B251" s="168" t="s">
        <v>79</v>
      </c>
      <c r="C251" s="22" t="s">
        <v>255</v>
      </c>
      <c r="D251" s="4" t="s">
        <v>95</v>
      </c>
      <c r="E251" s="18" t="s">
        <v>294</v>
      </c>
      <c r="F251" s="103" t="s">
        <v>335</v>
      </c>
      <c r="G251" s="22">
        <v>755</v>
      </c>
      <c r="H251" s="168">
        <v>192.41</v>
      </c>
      <c r="I251" s="17">
        <v>4502229901</v>
      </c>
      <c r="J251" s="1">
        <v>0</v>
      </c>
    </row>
    <row r="252" spans="1:10" ht="25.15" customHeight="1" x14ac:dyDescent="0.25">
      <c r="A252" s="242">
        <v>44992.340423726855</v>
      </c>
      <c r="B252" s="141" t="s">
        <v>78</v>
      </c>
      <c r="C252" s="22" t="s">
        <v>296</v>
      </c>
      <c r="D252" s="2" t="s">
        <v>95</v>
      </c>
      <c r="E252" s="18" t="s">
        <v>297</v>
      </c>
      <c r="F252" s="102" t="str">
        <f t="shared" ref="F252:F255" si="28">IFERROR(VLOOKUP(B252,targlist02,3,0),"Nincs Adat")</f>
        <v>PTP200R239152</v>
      </c>
      <c r="G252" s="22">
        <v>791</v>
      </c>
      <c r="H252" s="141">
        <v>328.19</v>
      </c>
      <c r="I252" s="166">
        <v>4502229903</v>
      </c>
      <c r="J252" s="1">
        <v>0</v>
      </c>
    </row>
    <row r="253" spans="1:10" ht="25.15" customHeight="1" x14ac:dyDescent="0.25">
      <c r="A253" s="242">
        <v>44987.334230439817</v>
      </c>
      <c r="B253" s="141" t="s">
        <v>80</v>
      </c>
      <c r="C253" s="22" t="s">
        <v>282</v>
      </c>
      <c r="D253" s="2" t="s">
        <v>95</v>
      </c>
      <c r="E253" s="18" t="s">
        <v>283</v>
      </c>
      <c r="F253" s="102" t="str">
        <f t="shared" si="28"/>
        <v>PTP200R239154</v>
      </c>
      <c r="G253" s="22">
        <v>872</v>
      </c>
      <c r="H253" s="141">
        <v>184.29</v>
      </c>
      <c r="I253" s="166">
        <v>4502229900</v>
      </c>
      <c r="J253" s="1">
        <v>0</v>
      </c>
    </row>
    <row r="254" spans="1:10" ht="25.15" customHeight="1" x14ac:dyDescent="0.25">
      <c r="A254" s="242">
        <v>44991.490297337965</v>
      </c>
      <c r="B254" s="141" t="s">
        <v>81</v>
      </c>
      <c r="C254" s="22" t="s">
        <v>293</v>
      </c>
      <c r="D254" s="2" t="s">
        <v>95</v>
      </c>
      <c r="E254" s="18" t="s">
        <v>295</v>
      </c>
      <c r="F254" s="102" t="str">
        <f t="shared" si="28"/>
        <v>PTP200R239155</v>
      </c>
      <c r="G254" s="22">
        <v>548</v>
      </c>
      <c r="H254" s="141">
        <v>192.41</v>
      </c>
      <c r="I254" s="166">
        <v>4502229902</v>
      </c>
      <c r="J254" s="1">
        <v>0</v>
      </c>
    </row>
    <row r="255" spans="1:10" ht="25.15" customHeight="1" thickBot="1" x14ac:dyDescent="0.3">
      <c r="A255" s="242">
        <v>44993</v>
      </c>
      <c r="B255" s="167" t="s">
        <v>78</v>
      </c>
      <c r="C255" s="201" t="s">
        <v>229</v>
      </c>
      <c r="D255" s="202" t="s">
        <v>95</v>
      </c>
      <c r="E255" s="203" t="s">
        <v>362</v>
      </c>
      <c r="F255" s="201" t="str">
        <f t="shared" si="28"/>
        <v>PTP200R239152</v>
      </c>
      <c r="G255" s="211">
        <v>799</v>
      </c>
      <c r="H255" s="167">
        <v>260.10000000000002</v>
      </c>
      <c r="I255" s="110">
        <v>4502229905</v>
      </c>
      <c r="J255" s="1">
        <v>0</v>
      </c>
    </row>
    <row r="256" spans="1:10" ht="25.15" customHeight="1" x14ac:dyDescent="0.25"/>
    <row r="257" spans="1:10" ht="25.15" customHeight="1" thickBot="1" x14ac:dyDescent="0.3"/>
    <row r="258" spans="1:10" ht="25.15" customHeight="1" thickBot="1" x14ac:dyDescent="0.3">
      <c r="A258" s="233" t="s">
        <v>0</v>
      </c>
      <c r="B258" s="204" t="s">
        <v>93</v>
      </c>
      <c r="C258" s="104" t="s">
        <v>1</v>
      </c>
      <c r="D258" s="104" t="s">
        <v>92</v>
      </c>
      <c r="E258" s="104" t="s">
        <v>119</v>
      </c>
      <c r="F258" s="104" t="s">
        <v>378</v>
      </c>
      <c r="G258" s="237" t="s">
        <v>254</v>
      </c>
      <c r="H258" s="204" t="s">
        <v>416</v>
      </c>
      <c r="I258" s="205" t="s">
        <v>1391</v>
      </c>
    </row>
    <row r="259" spans="1:10" ht="25.15" customHeight="1" x14ac:dyDescent="0.25">
      <c r="A259" s="242">
        <v>44978.492228240742</v>
      </c>
      <c r="B259" s="168" t="s">
        <v>77</v>
      </c>
      <c r="C259" s="22" t="s">
        <v>269</v>
      </c>
      <c r="D259" s="4" t="s">
        <v>95</v>
      </c>
      <c r="E259" s="19" t="s">
        <v>272</v>
      </c>
      <c r="F259" s="4" t="str">
        <f t="shared" ref="F259:F261" si="29">IFERROR(VLOOKUP(B259,targlist02,3,0),"Nincs Adat")</f>
        <v>PTP200R239151</v>
      </c>
      <c r="G259" s="22">
        <v>170</v>
      </c>
      <c r="H259" s="168">
        <v>418.92</v>
      </c>
      <c r="I259" s="17">
        <v>4502222238</v>
      </c>
      <c r="J259" s="1">
        <v>0</v>
      </c>
    </row>
    <row r="260" spans="1:10" ht="25.15" customHeight="1" x14ac:dyDescent="0.25">
      <c r="A260" s="242">
        <v>44980.386076041665</v>
      </c>
      <c r="B260" s="141" t="s">
        <v>81</v>
      </c>
      <c r="C260" s="22" t="s">
        <v>273</v>
      </c>
      <c r="D260" s="2" t="s">
        <v>95</v>
      </c>
      <c r="E260" s="18" t="s">
        <v>274</v>
      </c>
      <c r="F260" s="4" t="str">
        <f t="shared" si="29"/>
        <v>PTP200R239155</v>
      </c>
      <c r="G260" s="22">
        <v>527</v>
      </c>
      <c r="H260" s="141">
        <v>444.27</v>
      </c>
      <c r="I260" s="166">
        <v>4502222237</v>
      </c>
      <c r="J260" s="1">
        <v>0</v>
      </c>
    </row>
    <row r="261" spans="1:10" ht="25.15" customHeight="1" thickBot="1" x14ac:dyDescent="0.3">
      <c r="A261" s="242">
        <v>44980.483418171294</v>
      </c>
      <c r="B261" s="167" t="s">
        <v>79</v>
      </c>
      <c r="C261" s="211" t="s">
        <v>269</v>
      </c>
      <c r="D261" s="109" t="s">
        <v>95</v>
      </c>
      <c r="E261" s="203" t="s">
        <v>276</v>
      </c>
      <c r="F261" s="201" t="str">
        <f t="shared" si="29"/>
        <v>PTP200R239153</v>
      </c>
      <c r="G261" s="211">
        <v>732</v>
      </c>
      <c r="H261" s="167">
        <v>275.82</v>
      </c>
      <c r="I261" s="110">
        <v>4502222236</v>
      </c>
      <c r="J261" s="1">
        <v>0</v>
      </c>
    </row>
    <row r="262" spans="1:10" ht="25.15" customHeight="1" thickBot="1" x14ac:dyDescent="0.3"/>
    <row r="263" spans="1:10" ht="25.15" customHeight="1" thickBot="1" x14ac:dyDescent="0.3">
      <c r="A263" s="233" t="s">
        <v>0</v>
      </c>
      <c r="B263" s="204" t="s">
        <v>93</v>
      </c>
      <c r="C263" s="104" t="s">
        <v>1</v>
      </c>
      <c r="D263" s="104" t="s">
        <v>92</v>
      </c>
      <c r="E263" s="104" t="s">
        <v>119</v>
      </c>
      <c r="F263" s="104" t="s">
        <v>378</v>
      </c>
      <c r="G263" s="237" t="s">
        <v>254</v>
      </c>
      <c r="H263" s="32" t="s">
        <v>416</v>
      </c>
      <c r="I263" s="32" t="s">
        <v>1391</v>
      </c>
    </row>
    <row r="264" spans="1:10" ht="25.15" customHeight="1" x14ac:dyDescent="0.25">
      <c r="A264" s="242">
        <v>44974.493424421293</v>
      </c>
      <c r="B264" s="168" t="s">
        <v>142</v>
      </c>
      <c r="C264" s="22" t="s">
        <v>255</v>
      </c>
      <c r="D264" s="111" t="s">
        <v>95</v>
      </c>
      <c r="E264" s="19" t="s">
        <v>266</v>
      </c>
      <c r="F264" s="103" t="str">
        <f t="shared" ref="F264" si="30">IFERROR(VLOOKUP(B264,targlist02,3,0),"Nincs Adat")</f>
        <v>LO20N2RCB13B00112</v>
      </c>
      <c r="G264" s="4">
        <v>773</v>
      </c>
      <c r="H264" s="4">
        <v>129.13</v>
      </c>
      <c r="I264" s="17">
        <v>4502224339</v>
      </c>
      <c r="J264" s="1">
        <v>0</v>
      </c>
    </row>
    <row r="265" spans="1:10" ht="25.15" customHeight="1" x14ac:dyDescent="0.25">
      <c r="A265" s="25">
        <v>44974.328156944444</v>
      </c>
      <c r="B265" s="141" t="s">
        <v>79</v>
      </c>
      <c r="C265" s="2" t="s">
        <v>251</v>
      </c>
      <c r="D265" s="2" t="s">
        <v>95</v>
      </c>
      <c r="E265" s="2" t="s">
        <v>242</v>
      </c>
      <c r="F265" s="4" t="str">
        <f t="shared" ref="F265:F272" si="31">IFERROR(VLOOKUP(B265,targlist02,3,0),"Nincs Adat")</f>
        <v>PTP200R239153</v>
      </c>
      <c r="G265" s="2">
        <v>705</v>
      </c>
      <c r="H265" s="2">
        <v>114.19</v>
      </c>
      <c r="I265" s="166">
        <v>4502224338</v>
      </c>
      <c r="J265" s="1">
        <v>0</v>
      </c>
    </row>
    <row r="266" spans="1:10" ht="25.15" customHeight="1" x14ac:dyDescent="0.25">
      <c r="A266" s="25">
        <v>44974.328156944444</v>
      </c>
      <c r="B266" s="141" t="s">
        <v>79</v>
      </c>
      <c r="C266" s="2" t="s">
        <v>251</v>
      </c>
      <c r="D266" s="2" t="s">
        <v>95</v>
      </c>
      <c r="E266" s="2" t="s">
        <v>252</v>
      </c>
      <c r="F266" s="4" t="str">
        <f t="shared" si="31"/>
        <v>PTP200R239153</v>
      </c>
      <c r="G266" s="2">
        <v>697</v>
      </c>
      <c r="H266" s="2">
        <v>114.19</v>
      </c>
      <c r="I266" s="166">
        <v>4502224337</v>
      </c>
      <c r="J266" s="1">
        <v>0</v>
      </c>
    </row>
    <row r="267" spans="1:10" ht="25.15" customHeight="1" x14ac:dyDescent="0.25">
      <c r="A267" s="25">
        <v>44974.328156944444</v>
      </c>
      <c r="B267" s="141" t="s">
        <v>77</v>
      </c>
      <c r="C267" s="2" t="s">
        <v>251</v>
      </c>
      <c r="D267" s="2" t="s">
        <v>95</v>
      </c>
      <c r="E267" s="2" t="s">
        <v>253</v>
      </c>
      <c r="F267" s="4" t="str">
        <f t="shared" si="31"/>
        <v>PTP200R239151</v>
      </c>
      <c r="G267" s="2">
        <v>113</v>
      </c>
      <c r="H267" s="2">
        <v>184.29</v>
      </c>
      <c r="I267" s="166">
        <v>4502224336</v>
      </c>
      <c r="J267" s="1">
        <v>0</v>
      </c>
    </row>
    <row r="268" spans="1:10" ht="25.15" customHeight="1" x14ac:dyDescent="0.25">
      <c r="A268" s="25">
        <v>44971.591657523146</v>
      </c>
      <c r="B268" s="141" t="s">
        <v>80</v>
      </c>
      <c r="C268" s="2" t="s">
        <v>301</v>
      </c>
      <c r="D268" s="2" t="s">
        <v>95</v>
      </c>
      <c r="E268" s="2" t="s">
        <v>246</v>
      </c>
      <c r="F268" s="4" t="str">
        <f t="shared" si="31"/>
        <v>PTP200R239154</v>
      </c>
      <c r="G268" s="2">
        <v>837</v>
      </c>
      <c r="H268" s="2">
        <v>198.76</v>
      </c>
      <c r="I268" s="166">
        <v>4502224335</v>
      </c>
      <c r="J268" s="1">
        <v>0</v>
      </c>
    </row>
    <row r="269" spans="1:10" ht="25.15" customHeight="1" x14ac:dyDescent="0.25">
      <c r="A269" s="25">
        <v>44964.333238888888</v>
      </c>
      <c r="B269" s="141" t="s">
        <v>78</v>
      </c>
      <c r="C269" s="2" t="s">
        <v>229</v>
      </c>
      <c r="D269" s="2" t="s">
        <v>95</v>
      </c>
      <c r="E269" s="2" t="s">
        <v>230</v>
      </c>
      <c r="F269" s="4" t="str">
        <f t="shared" si="31"/>
        <v>PTP200R239152</v>
      </c>
      <c r="G269" s="2">
        <v>710</v>
      </c>
      <c r="H269" s="2">
        <v>70.569999999999993</v>
      </c>
      <c r="I269" s="166">
        <v>4502224334</v>
      </c>
      <c r="J269" s="1">
        <v>0</v>
      </c>
    </row>
    <row r="270" spans="1:10" ht="25.15" customHeight="1" x14ac:dyDescent="0.25">
      <c r="A270" s="25">
        <v>44964.333238888888</v>
      </c>
      <c r="B270" s="141" t="s">
        <v>79</v>
      </c>
      <c r="C270" s="2" t="s">
        <v>231</v>
      </c>
      <c r="D270" s="2" t="s">
        <v>95</v>
      </c>
      <c r="E270" s="2" t="s">
        <v>232</v>
      </c>
      <c r="F270" s="4" t="str">
        <f t="shared" si="31"/>
        <v>PTP200R239153</v>
      </c>
      <c r="G270" s="2">
        <v>690</v>
      </c>
      <c r="H270" s="2">
        <v>383.86</v>
      </c>
      <c r="I270" s="166">
        <v>4502224333</v>
      </c>
      <c r="J270" s="1">
        <v>0</v>
      </c>
    </row>
    <row r="271" spans="1:10" ht="25.15" customHeight="1" x14ac:dyDescent="0.25">
      <c r="A271" s="25">
        <v>44956.356326388886</v>
      </c>
      <c r="B271" s="141" t="s">
        <v>77</v>
      </c>
      <c r="C271" s="2" t="s">
        <v>217</v>
      </c>
      <c r="D271" s="2" t="s">
        <v>95</v>
      </c>
      <c r="E271" s="2" t="s">
        <v>222</v>
      </c>
      <c r="F271" s="4" t="str">
        <f t="shared" si="31"/>
        <v>PTP200R239151</v>
      </c>
      <c r="G271" s="2">
        <v>109</v>
      </c>
      <c r="H271" s="2">
        <v>114.19</v>
      </c>
      <c r="I271" s="166">
        <v>4502224331</v>
      </c>
      <c r="J271" s="1">
        <v>0</v>
      </c>
    </row>
    <row r="272" spans="1:10" ht="25.15" customHeight="1" x14ac:dyDescent="0.25">
      <c r="A272" s="25">
        <v>44955.608960879632</v>
      </c>
      <c r="B272" s="141" t="s">
        <v>157</v>
      </c>
      <c r="C272" s="106" t="s">
        <v>300</v>
      </c>
      <c r="D272" s="2" t="s">
        <v>95</v>
      </c>
      <c r="E272" s="2" t="s">
        <v>215</v>
      </c>
      <c r="F272" s="4" t="str">
        <f t="shared" si="31"/>
        <v>F24537B00021</v>
      </c>
      <c r="G272" s="2">
        <v>5462</v>
      </c>
      <c r="H272" s="2">
        <v>251.74</v>
      </c>
      <c r="I272" s="166">
        <v>4502224330</v>
      </c>
      <c r="J272" s="1">
        <v>0</v>
      </c>
    </row>
    <row r="273" spans="1:10" ht="25.15" customHeight="1" x14ac:dyDescent="0.25">
      <c r="A273" s="25">
        <v>44946.582812384258</v>
      </c>
      <c r="B273" s="141" t="s">
        <v>80</v>
      </c>
      <c r="C273" s="2" t="s">
        <v>197</v>
      </c>
      <c r="D273" s="2" t="s">
        <v>95</v>
      </c>
      <c r="E273" s="2" t="s">
        <v>210</v>
      </c>
      <c r="F273" s="4" t="str">
        <f t="shared" ref="F273" si="32">IFERROR(VLOOKUP(B273,targlist02,3,0),"Nincs Adat")</f>
        <v>PTP200R239154</v>
      </c>
      <c r="G273" s="2">
        <v>782</v>
      </c>
      <c r="H273" s="2">
        <v>184.29</v>
      </c>
      <c r="I273" s="166">
        <v>4502224327</v>
      </c>
      <c r="J273" s="1">
        <v>0</v>
      </c>
    </row>
    <row r="274" spans="1:10" ht="25.15" customHeight="1" x14ac:dyDescent="0.25">
      <c r="A274" s="25">
        <v>44942</v>
      </c>
      <c r="B274" s="141" t="s">
        <v>77</v>
      </c>
      <c r="C274" s="2" t="s">
        <v>179</v>
      </c>
      <c r="D274" s="2" t="s">
        <v>95</v>
      </c>
      <c r="E274" s="2" t="s">
        <v>187</v>
      </c>
      <c r="F274" s="4" t="str">
        <f>IFERROR(VLOOKUP(B274,targlist02,3,0),"Nincs Adat")</f>
        <v>PTP200R239151</v>
      </c>
      <c r="G274" s="2">
        <v>93</v>
      </c>
      <c r="H274" s="2">
        <v>164.08</v>
      </c>
      <c r="I274" s="166">
        <v>4502224326</v>
      </c>
      <c r="J274" s="1">
        <v>0</v>
      </c>
    </row>
    <row r="275" spans="1:10" ht="25.15" customHeight="1" x14ac:dyDescent="0.25">
      <c r="A275" s="25">
        <v>44942</v>
      </c>
      <c r="B275" s="141" t="s">
        <v>184</v>
      </c>
      <c r="C275" s="2" t="s">
        <v>185</v>
      </c>
      <c r="D275" s="2" t="s">
        <v>95</v>
      </c>
      <c r="E275" s="2" t="s">
        <v>196</v>
      </c>
      <c r="F275" s="4" t="str">
        <f>IFERROR(VLOOKUP(B275,targlist02,3,0),"Nincs Adat")</f>
        <v>Nincs Adat</v>
      </c>
      <c r="G275" s="2"/>
      <c r="H275" s="2">
        <v>85.85</v>
      </c>
      <c r="I275" s="166">
        <v>4502224324</v>
      </c>
      <c r="J275" s="1">
        <v>0</v>
      </c>
    </row>
    <row r="276" spans="1:10" ht="25.15" customHeight="1" thickBot="1" x14ac:dyDescent="0.3">
      <c r="A276" s="25">
        <v>44939</v>
      </c>
      <c r="B276" s="167" t="s">
        <v>78</v>
      </c>
      <c r="C276" s="109" t="s">
        <v>179</v>
      </c>
      <c r="D276" s="109" t="s">
        <v>95</v>
      </c>
      <c r="E276" s="109" t="s">
        <v>182</v>
      </c>
      <c r="F276" s="201" t="str">
        <f>IFERROR(VLOOKUP(B276,targlist02,3,0),"Nincs Adat")</f>
        <v>PTP200R239152</v>
      </c>
      <c r="G276" s="109">
        <v>665</v>
      </c>
      <c r="H276" s="109">
        <v>357.71</v>
      </c>
      <c r="I276" s="110">
        <v>4502224323</v>
      </c>
      <c r="J276" s="1">
        <v>0</v>
      </c>
    </row>
    <row r="277" spans="1:10" ht="25.15" customHeight="1" thickBot="1" x14ac:dyDescent="0.3"/>
    <row r="278" spans="1:10" ht="25.15" customHeight="1" thickBot="1" x14ac:dyDescent="0.3">
      <c r="A278" s="204" t="s">
        <v>0</v>
      </c>
      <c r="B278" s="104" t="s">
        <v>93</v>
      </c>
      <c r="C278" s="104" t="s">
        <v>1</v>
      </c>
      <c r="D278" s="104" t="s">
        <v>92</v>
      </c>
      <c r="E278" s="104" t="s">
        <v>119</v>
      </c>
      <c r="F278" s="104" t="s">
        <v>378</v>
      </c>
      <c r="G278" s="104" t="s">
        <v>254</v>
      </c>
      <c r="H278" s="104" t="s">
        <v>416</v>
      </c>
      <c r="I278" s="205" t="s">
        <v>1391</v>
      </c>
    </row>
    <row r="279" spans="1:10" ht="25.15" customHeight="1" x14ac:dyDescent="0.25">
      <c r="A279" s="29">
        <v>44893</v>
      </c>
      <c r="B279" s="4" t="s">
        <v>78</v>
      </c>
      <c r="C279" s="4" t="s">
        <v>1448</v>
      </c>
      <c r="D279" s="4" t="s">
        <v>95</v>
      </c>
      <c r="E279" s="4" t="s">
        <v>1447</v>
      </c>
      <c r="F279" s="128"/>
      <c r="G279" s="4"/>
      <c r="H279" s="4">
        <v>262.27</v>
      </c>
      <c r="I279" s="4">
        <v>4502208325</v>
      </c>
      <c r="J279" s="1">
        <v>0</v>
      </c>
    </row>
    <row r="280" spans="1:10" ht="25.15" customHeight="1" x14ac:dyDescent="0.25">
      <c r="A280" s="3">
        <v>44886</v>
      </c>
      <c r="B280" s="2" t="s">
        <v>158</v>
      </c>
      <c r="C280" s="2" t="s">
        <v>1449</v>
      </c>
      <c r="D280" s="2" t="s">
        <v>95</v>
      </c>
      <c r="E280" s="2" t="s">
        <v>1450</v>
      </c>
      <c r="F280" s="105"/>
      <c r="G280" s="2"/>
      <c r="H280" s="2">
        <v>257.56</v>
      </c>
      <c r="I280" s="2">
        <v>4502208326</v>
      </c>
      <c r="J280" s="1">
        <v>0</v>
      </c>
    </row>
    <row r="281" spans="1:10" ht="25.15" customHeight="1" x14ac:dyDescent="0.25">
      <c r="A281" s="3">
        <v>44930</v>
      </c>
      <c r="B281" s="2" t="s">
        <v>77</v>
      </c>
      <c r="C281" s="2" t="s">
        <v>1448</v>
      </c>
      <c r="D281" s="2" t="s">
        <v>95</v>
      </c>
      <c r="E281" s="2" t="s">
        <v>1451</v>
      </c>
      <c r="F281" s="105"/>
      <c r="G281" s="2"/>
      <c r="H281" s="2">
        <v>206.52</v>
      </c>
      <c r="I281" s="2">
        <v>4502208336</v>
      </c>
      <c r="J281" s="1">
        <v>0</v>
      </c>
    </row>
    <row r="282" spans="1:10" ht="25.15" customHeight="1" x14ac:dyDescent="0.25">
      <c r="A282" s="3">
        <v>44930</v>
      </c>
      <c r="B282" s="2" t="s">
        <v>157</v>
      </c>
      <c r="C282" s="2" t="s">
        <v>1452</v>
      </c>
      <c r="D282" s="2" t="s">
        <v>95</v>
      </c>
      <c r="E282" s="2" t="s">
        <v>1453</v>
      </c>
      <c r="F282" s="105"/>
      <c r="G282" s="2"/>
      <c r="H282" s="2">
        <v>125.43</v>
      </c>
      <c r="I282" s="2">
        <v>4502208334</v>
      </c>
      <c r="J282" s="1">
        <v>0</v>
      </c>
    </row>
    <row r="283" spans="1:10" ht="25.15" customHeight="1" x14ac:dyDescent="0.25">
      <c r="A283" s="3">
        <v>44909</v>
      </c>
      <c r="B283" s="2" t="s">
        <v>78</v>
      </c>
      <c r="C283" s="2" t="s">
        <v>1454</v>
      </c>
      <c r="D283" s="2" t="s">
        <v>95</v>
      </c>
      <c r="E283" s="2" t="s">
        <v>123</v>
      </c>
      <c r="F283" s="105"/>
      <c r="G283" s="2"/>
      <c r="H283" s="2">
        <v>110.25</v>
      </c>
      <c r="I283" s="2">
        <v>4502208331</v>
      </c>
      <c r="J283" s="1">
        <v>0</v>
      </c>
    </row>
    <row r="284" spans="1:10" ht="25.15" customHeight="1" x14ac:dyDescent="0.25">
      <c r="A284" s="3">
        <v>44900</v>
      </c>
      <c r="B284" s="2" t="s">
        <v>79</v>
      </c>
      <c r="C284" s="2" t="s">
        <v>1455</v>
      </c>
      <c r="D284" s="2" t="s">
        <v>95</v>
      </c>
      <c r="E284" s="2" t="s">
        <v>1456</v>
      </c>
      <c r="F284" s="105"/>
      <c r="G284" s="2"/>
      <c r="H284" s="2">
        <v>269.62</v>
      </c>
      <c r="I284" s="2">
        <v>4502208328</v>
      </c>
      <c r="J284" s="1">
        <v>0</v>
      </c>
    </row>
    <row r="285" spans="1:10" ht="25.15" customHeight="1" x14ac:dyDescent="0.25"/>
    <row r="286" spans="1:10" ht="25.15" customHeight="1" x14ac:dyDescent="0.25">
      <c r="G286" s="1" t="s">
        <v>1457</v>
      </c>
      <c r="H286" s="1">
        <f>SUM(H279:H284,H264:H276,H259:H261,H251:H255,H244:H246,H237:H240,H230:H231,H219:H224,H209:H214,H202:H204,H193:H199,H185:H188,H180:H181,H170:H175)</f>
        <v>20974.71</v>
      </c>
    </row>
    <row r="287" spans="1:10" ht="25.15" customHeight="1" x14ac:dyDescent="0.25"/>
    <row r="288" spans="1:10" ht="25.15" customHeight="1" x14ac:dyDescent="0.25"/>
    <row r="289" ht="25.15" customHeight="1" x14ac:dyDescent="0.25"/>
  </sheetData>
  <autoFilter ref="A15:H18"/>
  <sortState ref="A2:H12">
    <sortCondition ref="A2:A12"/>
  </sortState>
  <mergeCells count="1">
    <mergeCell ref="B168:I168"/>
  </mergeCells>
  <conditionalFormatting sqref="D250:G250">
    <cfRule type="cellIs" dxfId="1389" priority="512" operator="equal">
      <formula>"Folyamatban"</formula>
    </cfRule>
    <cfRule type="cellIs" dxfId="1388" priority="513" operator="equal">
      <formula>"Kész"</formula>
    </cfRule>
  </conditionalFormatting>
  <conditionalFormatting sqref="D251">
    <cfRule type="cellIs" dxfId="1387" priority="510" operator="equal">
      <formula>"Folyamatban"</formula>
    </cfRule>
    <cfRule type="cellIs" dxfId="1386" priority="511" operator="equal">
      <formula>"Kész"</formula>
    </cfRule>
  </conditionalFormatting>
  <conditionalFormatting sqref="D252">
    <cfRule type="cellIs" dxfId="1385" priority="508" operator="equal">
      <formula>"Folyamatban"</formula>
    </cfRule>
    <cfRule type="cellIs" dxfId="1384" priority="509" operator="equal">
      <formula>"Kész"</formula>
    </cfRule>
  </conditionalFormatting>
  <conditionalFormatting sqref="D253">
    <cfRule type="cellIs" dxfId="1383" priority="506" operator="equal">
      <formula>"Folyamatban"</formula>
    </cfRule>
    <cfRule type="cellIs" dxfId="1382" priority="507" operator="equal">
      <formula>"Kész"</formula>
    </cfRule>
  </conditionalFormatting>
  <conditionalFormatting sqref="D254">
    <cfRule type="cellIs" dxfId="1381" priority="504" operator="equal">
      <formula>"Folyamatban"</formula>
    </cfRule>
    <cfRule type="cellIs" dxfId="1380" priority="505" operator="equal">
      <formula>"Kész"</formula>
    </cfRule>
  </conditionalFormatting>
  <conditionalFormatting sqref="D255">
    <cfRule type="cellIs" dxfId="1379" priority="502" operator="equal">
      <formula>"Folyamatban"</formula>
    </cfRule>
    <cfRule type="cellIs" dxfId="1378" priority="503" operator="equal">
      <formula>"Kész"</formula>
    </cfRule>
  </conditionalFormatting>
  <conditionalFormatting sqref="D276">
    <cfRule type="cellIs" dxfId="1377" priority="500" operator="equal">
      <formula>"Folyamatban"</formula>
    </cfRule>
    <cfRule type="cellIs" dxfId="1376" priority="501" operator="equal">
      <formula>"Kész"</formula>
    </cfRule>
  </conditionalFormatting>
  <conditionalFormatting sqref="D275">
    <cfRule type="cellIs" dxfId="1375" priority="498" operator="equal">
      <formula>"Folyamatban"</formula>
    </cfRule>
    <cfRule type="cellIs" dxfId="1374" priority="499" operator="equal">
      <formula>"Kész"</formula>
    </cfRule>
  </conditionalFormatting>
  <conditionalFormatting sqref="D274">
    <cfRule type="cellIs" dxfId="1373" priority="494" operator="equal">
      <formula>"Folyamatban"</formula>
    </cfRule>
    <cfRule type="cellIs" dxfId="1372" priority="495" operator="equal">
      <formula>"Kész"</formula>
    </cfRule>
  </conditionalFormatting>
  <conditionalFormatting sqref="D272">
    <cfRule type="cellIs" dxfId="1371" priority="490" operator="equal">
      <formula>"Folyamatban"</formula>
    </cfRule>
    <cfRule type="cellIs" dxfId="1370" priority="491" operator="equal">
      <formula>"Kész"</formula>
    </cfRule>
  </conditionalFormatting>
  <conditionalFormatting sqref="D271">
    <cfRule type="cellIs" dxfId="1369" priority="488" operator="equal">
      <formula>"Folyamatban"</formula>
    </cfRule>
    <cfRule type="cellIs" dxfId="1368" priority="489" operator="equal">
      <formula>"Kész"</formula>
    </cfRule>
  </conditionalFormatting>
  <conditionalFormatting sqref="D270">
    <cfRule type="cellIs" dxfId="1367" priority="486" operator="equal">
      <formula>"Folyamatban"</formula>
    </cfRule>
    <cfRule type="cellIs" dxfId="1366" priority="487" operator="equal">
      <formula>"Kész"</formula>
    </cfRule>
  </conditionalFormatting>
  <conditionalFormatting sqref="D269">
    <cfRule type="cellIs" dxfId="1365" priority="484" operator="equal">
      <formula>"Folyamatban"</formula>
    </cfRule>
    <cfRule type="cellIs" dxfId="1364" priority="485" operator="equal">
      <formula>"Kész"</formula>
    </cfRule>
  </conditionalFormatting>
  <conditionalFormatting sqref="D268">
    <cfRule type="cellIs" dxfId="1363" priority="482" operator="equal">
      <formula>"Folyamatban"</formula>
    </cfRule>
    <cfRule type="cellIs" dxfId="1362" priority="483" operator="equal">
      <formula>"Kész"</formula>
    </cfRule>
  </conditionalFormatting>
  <conditionalFormatting sqref="D267">
    <cfRule type="cellIs" dxfId="1361" priority="480" operator="equal">
      <formula>"Folyamatban"</formula>
    </cfRule>
    <cfRule type="cellIs" dxfId="1360" priority="481" operator="equal">
      <formula>"Kész"</formula>
    </cfRule>
  </conditionalFormatting>
  <conditionalFormatting sqref="D266">
    <cfRule type="cellIs" dxfId="1359" priority="478" operator="equal">
      <formula>"Folyamatban"</formula>
    </cfRule>
    <cfRule type="cellIs" dxfId="1358" priority="479" operator="equal">
      <formula>"Kész"</formula>
    </cfRule>
  </conditionalFormatting>
  <conditionalFormatting sqref="D265">
    <cfRule type="cellIs" dxfId="1357" priority="476" operator="equal">
      <formula>"Folyamatban"</formula>
    </cfRule>
    <cfRule type="cellIs" dxfId="1356" priority="477" operator="equal">
      <formula>"Kész"</formula>
    </cfRule>
  </conditionalFormatting>
  <conditionalFormatting sqref="D259">
    <cfRule type="cellIs" dxfId="1355" priority="472" operator="equal">
      <formula>"Folyamatban"</formula>
    </cfRule>
    <cfRule type="cellIs" dxfId="1354" priority="473" operator="equal">
      <formula>"Kész"</formula>
    </cfRule>
  </conditionalFormatting>
  <conditionalFormatting sqref="D260">
    <cfRule type="cellIs" dxfId="1353" priority="470" operator="equal">
      <formula>"Folyamatban"</formula>
    </cfRule>
    <cfRule type="cellIs" dxfId="1352" priority="471" operator="equal">
      <formula>"Kész"</formula>
    </cfRule>
  </conditionalFormatting>
  <conditionalFormatting sqref="D261">
    <cfRule type="cellIs" dxfId="1351" priority="468" operator="equal">
      <formula>"Folyamatban"</formula>
    </cfRule>
    <cfRule type="cellIs" dxfId="1350" priority="469" operator="equal">
      <formula>"Kész"</formula>
    </cfRule>
  </conditionalFormatting>
  <conditionalFormatting sqref="D243:G243">
    <cfRule type="cellIs" dxfId="1349" priority="466" operator="equal">
      <formula>"Folyamatban"</formula>
    </cfRule>
    <cfRule type="cellIs" dxfId="1348" priority="467" operator="equal">
      <formula>"Kész"</formula>
    </cfRule>
  </conditionalFormatting>
  <conditionalFormatting sqref="D244">
    <cfRule type="cellIs" dxfId="1347" priority="464" operator="equal">
      <formula>"Folyamatban"</formula>
    </cfRule>
    <cfRule type="cellIs" dxfId="1346" priority="465" operator="equal">
      <formula>"Kész"</formula>
    </cfRule>
  </conditionalFormatting>
  <conditionalFormatting sqref="D245">
    <cfRule type="cellIs" dxfId="1345" priority="462" operator="equal">
      <formula>"Folyamatban"</formula>
    </cfRule>
    <cfRule type="cellIs" dxfId="1344" priority="463" operator="equal">
      <formula>"Kész"</formula>
    </cfRule>
  </conditionalFormatting>
  <conditionalFormatting sqref="D246">
    <cfRule type="cellIs" dxfId="1343" priority="460" operator="equal">
      <formula>"Folyamatban"</formula>
    </cfRule>
    <cfRule type="cellIs" dxfId="1342" priority="461" operator="equal">
      <formula>"Kész"</formula>
    </cfRule>
  </conditionalFormatting>
  <conditionalFormatting sqref="D236:H236">
    <cfRule type="cellIs" dxfId="1341" priority="458" operator="equal">
      <formula>"Folyamatban"</formula>
    </cfRule>
    <cfRule type="cellIs" dxfId="1340" priority="459" operator="equal">
      <formula>"Kész"</formula>
    </cfRule>
  </conditionalFormatting>
  <conditionalFormatting sqref="D237">
    <cfRule type="cellIs" dxfId="1339" priority="450" operator="equal">
      <formula>"Folyamatban"</formula>
    </cfRule>
    <cfRule type="cellIs" dxfId="1338" priority="451" operator="equal">
      <formula>"Kész"</formula>
    </cfRule>
  </conditionalFormatting>
  <conditionalFormatting sqref="D238">
    <cfRule type="cellIs" dxfId="1337" priority="448" operator="equal">
      <formula>"Folyamatban"</formula>
    </cfRule>
    <cfRule type="cellIs" dxfId="1336" priority="449" operator="equal">
      <formula>"Kész"</formula>
    </cfRule>
  </conditionalFormatting>
  <conditionalFormatting sqref="D239">
    <cfRule type="cellIs" dxfId="1335" priority="446" operator="equal">
      <formula>"Folyamatban"</formula>
    </cfRule>
    <cfRule type="cellIs" dxfId="1334" priority="447" operator="equal">
      <formula>"Kész"</formula>
    </cfRule>
  </conditionalFormatting>
  <conditionalFormatting sqref="D240">
    <cfRule type="cellIs" dxfId="1333" priority="444" operator="equal">
      <formula>"Folyamatban"</formula>
    </cfRule>
    <cfRule type="cellIs" dxfId="1332" priority="445" operator="equal">
      <formula>"Kész"</formula>
    </cfRule>
  </conditionalFormatting>
  <conditionalFormatting sqref="D229:H229">
    <cfRule type="cellIs" dxfId="1331" priority="442" operator="equal">
      <formula>"Folyamatban"</formula>
    </cfRule>
    <cfRule type="cellIs" dxfId="1330" priority="443" operator="equal">
      <formula>"Kész"</formula>
    </cfRule>
  </conditionalFormatting>
  <conditionalFormatting sqref="D230:D231">
    <cfRule type="cellIs" dxfId="1329" priority="440" operator="equal">
      <formula>"Folyamatban"</formula>
    </cfRule>
    <cfRule type="cellIs" dxfId="1328" priority="441" operator="equal">
      <formula>"Kész"</formula>
    </cfRule>
  </conditionalFormatting>
  <conditionalFormatting sqref="D218:H218 H219:H222">
    <cfRule type="cellIs" dxfId="1327" priority="438" operator="equal">
      <formula>"Folyamatban"</formula>
    </cfRule>
    <cfRule type="cellIs" dxfId="1326" priority="439" operator="equal">
      <formula>"Kész"</formula>
    </cfRule>
  </conditionalFormatting>
  <conditionalFormatting sqref="D219">
    <cfRule type="cellIs" dxfId="1325" priority="436" operator="equal">
      <formula>"Folyamatban"</formula>
    </cfRule>
    <cfRule type="cellIs" dxfId="1324" priority="437" operator="equal">
      <formula>"Kész"</formula>
    </cfRule>
  </conditionalFormatting>
  <conditionalFormatting sqref="D220">
    <cfRule type="cellIs" dxfId="1323" priority="434" operator="equal">
      <formula>"Folyamatban"</formula>
    </cfRule>
    <cfRule type="cellIs" dxfId="1322" priority="435" operator="equal">
      <formula>"Kész"</formula>
    </cfRule>
  </conditionalFormatting>
  <conditionalFormatting sqref="D221">
    <cfRule type="cellIs" dxfId="1321" priority="432" operator="equal">
      <formula>"Folyamatban"</formula>
    </cfRule>
    <cfRule type="cellIs" dxfId="1320" priority="433" operator="equal">
      <formula>"Kész"</formula>
    </cfRule>
  </conditionalFormatting>
  <conditionalFormatting sqref="D222">
    <cfRule type="cellIs" dxfId="1319" priority="430" operator="equal">
      <formula>"Folyamatban"</formula>
    </cfRule>
    <cfRule type="cellIs" dxfId="1318" priority="431" operator="equal">
      <formula>"Kész"</formula>
    </cfRule>
  </conditionalFormatting>
  <conditionalFormatting sqref="D223">
    <cfRule type="cellIs" dxfId="1317" priority="428" operator="equal">
      <formula>"Folyamatban"</formula>
    </cfRule>
    <cfRule type="cellIs" dxfId="1316" priority="429" operator="equal">
      <formula>"Kész"</formula>
    </cfRule>
  </conditionalFormatting>
  <conditionalFormatting sqref="D224">
    <cfRule type="cellIs" dxfId="1315" priority="426" operator="equal">
      <formula>"Folyamatban"</formula>
    </cfRule>
    <cfRule type="cellIs" dxfId="1314" priority="427" operator="equal">
      <formula>"Kész"</formula>
    </cfRule>
  </conditionalFormatting>
  <conditionalFormatting sqref="D209">
    <cfRule type="cellIs" dxfId="1313" priority="424" operator="equal">
      <formula>"Folyamatban"</formula>
    </cfRule>
    <cfRule type="cellIs" dxfId="1312" priority="425" operator="equal">
      <formula>"Kész"</formula>
    </cfRule>
  </conditionalFormatting>
  <conditionalFormatting sqref="D208:H208">
    <cfRule type="cellIs" dxfId="1311" priority="422" operator="equal">
      <formula>"Folyamatban"</formula>
    </cfRule>
    <cfRule type="cellIs" dxfId="1310" priority="423" operator="equal">
      <formula>"Kész"</formula>
    </cfRule>
  </conditionalFormatting>
  <conditionalFormatting sqref="D210">
    <cfRule type="cellIs" dxfId="1309" priority="420" operator="equal">
      <formula>"Folyamatban"</formula>
    </cfRule>
    <cfRule type="cellIs" dxfId="1308" priority="421" operator="equal">
      <formula>"Kész"</formula>
    </cfRule>
  </conditionalFormatting>
  <conditionalFormatting sqref="D211">
    <cfRule type="cellIs" dxfId="1307" priority="418" operator="equal">
      <formula>"Folyamatban"</formula>
    </cfRule>
    <cfRule type="cellIs" dxfId="1306" priority="419" operator="equal">
      <formula>"Kész"</formula>
    </cfRule>
  </conditionalFormatting>
  <conditionalFormatting sqref="D212">
    <cfRule type="cellIs" dxfId="1305" priority="414" operator="equal">
      <formula>"Folyamatban"</formula>
    </cfRule>
    <cfRule type="cellIs" dxfId="1304" priority="415" operator="equal">
      <formula>"Kész"</formula>
    </cfRule>
  </conditionalFormatting>
  <conditionalFormatting sqref="D213:D214">
    <cfRule type="cellIs" dxfId="1303" priority="412" operator="equal">
      <formula>"Folyamatban"</formula>
    </cfRule>
    <cfRule type="cellIs" dxfId="1302" priority="413" operator="equal">
      <formula>"Kész"</formula>
    </cfRule>
  </conditionalFormatting>
  <conditionalFormatting sqref="D201:H201">
    <cfRule type="cellIs" dxfId="1301" priority="410" operator="equal">
      <formula>"Folyamatban"</formula>
    </cfRule>
    <cfRule type="cellIs" dxfId="1300" priority="411" operator="equal">
      <formula>"Kész"</formula>
    </cfRule>
  </conditionalFormatting>
  <conditionalFormatting sqref="D202">
    <cfRule type="cellIs" dxfId="1299" priority="408" operator="equal">
      <formula>"Folyamatban"</formula>
    </cfRule>
    <cfRule type="cellIs" dxfId="1298" priority="409" operator="equal">
      <formula>"Kész"</formula>
    </cfRule>
  </conditionalFormatting>
  <conditionalFormatting sqref="D203">
    <cfRule type="cellIs" dxfId="1297" priority="406" operator="equal">
      <formula>"Folyamatban"</formula>
    </cfRule>
    <cfRule type="cellIs" dxfId="1296" priority="407" operator="equal">
      <formula>"Kész"</formula>
    </cfRule>
  </conditionalFormatting>
  <conditionalFormatting sqref="D204">
    <cfRule type="cellIs" dxfId="1295" priority="404" operator="equal">
      <formula>"Folyamatban"</formula>
    </cfRule>
    <cfRule type="cellIs" dxfId="1294" priority="405" operator="equal">
      <formula>"Kész"</formula>
    </cfRule>
  </conditionalFormatting>
  <conditionalFormatting sqref="D192:H192">
    <cfRule type="cellIs" dxfId="1293" priority="402" operator="equal">
      <formula>"Folyamatban"</formula>
    </cfRule>
    <cfRule type="cellIs" dxfId="1292" priority="403" operator="equal">
      <formula>"Kész"</formula>
    </cfRule>
  </conditionalFormatting>
  <conditionalFormatting sqref="D193">
    <cfRule type="cellIs" dxfId="1291" priority="400" operator="equal">
      <formula>"Folyamatban"</formula>
    </cfRule>
    <cfRule type="cellIs" dxfId="1290" priority="401" operator="equal">
      <formula>"Kész"</formula>
    </cfRule>
  </conditionalFormatting>
  <conditionalFormatting sqref="D194">
    <cfRule type="cellIs" dxfId="1289" priority="398" operator="equal">
      <formula>"Folyamatban"</formula>
    </cfRule>
    <cfRule type="cellIs" dxfId="1288" priority="399" operator="equal">
      <formula>"Kész"</formula>
    </cfRule>
  </conditionalFormatting>
  <conditionalFormatting sqref="D195">
    <cfRule type="cellIs" dxfId="1287" priority="396" operator="equal">
      <formula>"Folyamatban"</formula>
    </cfRule>
    <cfRule type="cellIs" dxfId="1286" priority="397" operator="equal">
      <formula>"Kész"</formula>
    </cfRule>
  </conditionalFormatting>
  <conditionalFormatting sqref="D196">
    <cfRule type="cellIs" dxfId="1285" priority="394" operator="equal">
      <formula>"Folyamatban"</formula>
    </cfRule>
    <cfRule type="cellIs" dxfId="1284" priority="395" operator="equal">
      <formula>"Kész"</formula>
    </cfRule>
  </conditionalFormatting>
  <conditionalFormatting sqref="D197">
    <cfRule type="cellIs" dxfId="1283" priority="392" operator="equal">
      <formula>"Folyamatban"</formula>
    </cfRule>
    <cfRule type="cellIs" dxfId="1282" priority="393" operator="equal">
      <formula>"Kész"</formula>
    </cfRule>
  </conditionalFormatting>
  <conditionalFormatting sqref="D198">
    <cfRule type="cellIs" dxfId="1281" priority="390" operator="equal">
      <formula>"Folyamatban"</formula>
    </cfRule>
    <cfRule type="cellIs" dxfId="1280" priority="391" operator="equal">
      <formula>"Kész"</formula>
    </cfRule>
  </conditionalFormatting>
  <conditionalFormatting sqref="D199">
    <cfRule type="cellIs" dxfId="1279" priority="388" operator="equal">
      <formula>"Folyamatban"</formula>
    </cfRule>
    <cfRule type="cellIs" dxfId="1278" priority="389" operator="equal">
      <formula>"Kész"</formula>
    </cfRule>
  </conditionalFormatting>
  <conditionalFormatting sqref="D184:H184">
    <cfRule type="cellIs" dxfId="1277" priority="386" operator="equal">
      <formula>"Folyamatban"</formula>
    </cfRule>
    <cfRule type="cellIs" dxfId="1276" priority="387" operator="equal">
      <formula>"Kész"</formula>
    </cfRule>
  </conditionalFormatting>
  <conditionalFormatting sqref="D185">
    <cfRule type="cellIs" dxfId="1275" priority="384" operator="equal">
      <formula>"Folyamatban"</formula>
    </cfRule>
    <cfRule type="cellIs" dxfId="1274" priority="385" operator="equal">
      <formula>"Kész"</formula>
    </cfRule>
  </conditionalFormatting>
  <conditionalFormatting sqref="D186">
    <cfRule type="cellIs" dxfId="1273" priority="382" operator="equal">
      <formula>"Folyamatban"</formula>
    </cfRule>
    <cfRule type="cellIs" dxfId="1272" priority="383" operator="equal">
      <formula>"Kész"</formula>
    </cfRule>
  </conditionalFormatting>
  <conditionalFormatting sqref="D187">
    <cfRule type="cellIs" dxfId="1271" priority="380" operator="equal">
      <formula>"Folyamatban"</formula>
    </cfRule>
    <cfRule type="cellIs" dxfId="1270" priority="381" operator="equal">
      <formula>"Kész"</formula>
    </cfRule>
  </conditionalFormatting>
  <conditionalFormatting sqref="D188">
    <cfRule type="cellIs" dxfId="1269" priority="378" operator="equal">
      <formula>"Folyamatban"</formula>
    </cfRule>
    <cfRule type="cellIs" dxfId="1268" priority="379" operator="equal">
      <formula>"Kész"</formula>
    </cfRule>
  </conditionalFormatting>
  <conditionalFormatting sqref="D179:H179">
    <cfRule type="cellIs" dxfId="1267" priority="376" operator="equal">
      <formula>"Folyamatban"</formula>
    </cfRule>
    <cfRule type="cellIs" dxfId="1266" priority="377" operator="equal">
      <formula>"Kész"</formula>
    </cfRule>
  </conditionalFormatting>
  <conditionalFormatting sqref="D180">
    <cfRule type="cellIs" dxfId="1265" priority="374" operator="equal">
      <formula>"Folyamatban"</formula>
    </cfRule>
    <cfRule type="cellIs" dxfId="1264" priority="375" operator="equal">
      <formula>"Kész"</formula>
    </cfRule>
  </conditionalFormatting>
  <conditionalFormatting sqref="D181">
    <cfRule type="cellIs" dxfId="1263" priority="372" operator="equal">
      <formula>"Folyamatban"</formula>
    </cfRule>
    <cfRule type="cellIs" dxfId="1262" priority="373" operator="equal">
      <formula>"Kész"</formula>
    </cfRule>
  </conditionalFormatting>
  <conditionalFormatting sqref="D169:H169">
    <cfRule type="cellIs" dxfId="1261" priority="370" operator="equal">
      <formula>"Folyamatban"</formula>
    </cfRule>
    <cfRule type="cellIs" dxfId="1260" priority="371" operator="equal">
      <formula>"Kész"</formula>
    </cfRule>
  </conditionalFormatting>
  <conditionalFormatting sqref="D170">
    <cfRule type="cellIs" dxfId="1259" priority="368" operator="equal">
      <formula>"Folyamatban"</formula>
    </cfRule>
    <cfRule type="cellIs" dxfId="1258" priority="369" operator="equal">
      <formula>"Kész"</formula>
    </cfRule>
  </conditionalFormatting>
  <conditionalFormatting sqref="D171">
    <cfRule type="cellIs" dxfId="1257" priority="366" operator="equal">
      <formula>"Folyamatban"</formula>
    </cfRule>
    <cfRule type="cellIs" dxfId="1256" priority="367" operator="equal">
      <formula>"Kész"</formula>
    </cfRule>
  </conditionalFormatting>
  <conditionalFormatting sqref="D172">
    <cfRule type="cellIs" dxfId="1255" priority="364" operator="equal">
      <formula>"Folyamatban"</formula>
    </cfRule>
    <cfRule type="cellIs" dxfId="1254" priority="365" operator="equal">
      <formula>"Kész"</formula>
    </cfRule>
  </conditionalFormatting>
  <conditionalFormatting sqref="D173">
    <cfRule type="cellIs" dxfId="1253" priority="362" operator="equal">
      <formula>"Folyamatban"</formula>
    </cfRule>
    <cfRule type="cellIs" dxfId="1252" priority="363" operator="equal">
      <formula>"Kész"</formula>
    </cfRule>
  </conditionalFormatting>
  <conditionalFormatting sqref="D174">
    <cfRule type="cellIs" dxfId="1251" priority="360" operator="equal">
      <formula>"Folyamatban"</formula>
    </cfRule>
    <cfRule type="cellIs" dxfId="1250" priority="361" operator="equal">
      <formula>"Kész"</formula>
    </cfRule>
  </conditionalFormatting>
  <conditionalFormatting sqref="D175">
    <cfRule type="cellIs" dxfId="1249" priority="358" operator="equal">
      <formula>"Folyamatban"</formula>
    </cfRule>
    <cfRule type="cellIs" dxfId="1248" priority="359" operator="equal">
      <formula>"Kész"</formula>
    </cfRule>
  </conditionalFormatting>
  <conditionalFormatting sqref="D162:I162">
    <cfRule type="cellIs" dxfId="1247" priority="356" operator="equal">
      <formula>"Folyamatban"</formula>
    </cfRule>
    <cfRule type="cellIs" dxfId="1246" priority="357" operator="equal">
      <formula>"Kész"</formula>
    </cfRule>
  </conditionalFormatting>
  <conditionalFormatting sqref="D163">
    <cfRule type="cellIs" dxfId="1245" priority="354" operator="equal">
      <formula>"Folyamatban"</formula>
    </cfRule>
    <cfRule type="cellIs" dxfId="1244" priority="355" operator="equal">
      <formula>"Kész"</formula>
    </cfRule>
  </conditionalFormatting>
  <conditionalFormatting sqref="D164">
    <cfRule type="cellIs" dxfId="1243" priority="352" operator="equal">
      <formula>"Folyamatban"</formula>
    </cfRule>
    <cfRule type="cellIs" dxfId="1242" priority="353" operator="equal">
      <formula>"Kész"</formula>
    </cfRule>
  </conditionalFormatting>
  <conditionalFormatting sqref="D165:D167">
    <cfRule type="cellIs" dxfId="1241" priority="350" operator="equal">
      <formula>"Folyamatban"</formula>
    </cfRule>
    <cfRule type="cellIs" dxfId="1240" priority="351" operator="equal">
      <formula>"Kész"</formula>
    </cfRule>
  </conditionalFormatting>
  <conditionalFormatting sqref="I169">
    <cfRule type="cellIs" dxfId="1239" priority="348" operator="equal">
      <formula>"Folyamatban"</formula>
    </cfRule>
    <cfRule type="cellIs" dxfId="1238" priority="349" operator="equal">
      <formula>"Kész"</formula>
    </cfRule>
  </conditionalFormatting>
  <conditionalFormatting sqref="I184">
    <cfRule type="cellIs" dxfId="1237" priority="346" operator="equal">
      <formula>"Folyamatban"</formula>
    </cfRule>
    <cfRule type="cellIs" dxfId="1236" priority="347" operator="equal">
      <formula>"Kész"</formula>
    </cfRule>
  </conditionalFormatting>
  <conditionalFormatting sqref="I192">
    <cfRule type="cellIs" dxfId="1235" priority="344" operator="equal">
      <formula>"Folyamatban"</formula>
    </cfRule>
    <cfRule type="cellIs" dxfId="1234" priority="345" operator="equal">
      <formula>"Kész"</formula>
    </cfRule>
  </conditionalFormatting>
  <conditionalFormatting sqref="I201">
    <cfRule type="cellIs" dxfId="1233" priority="342" operator="equal">
      <formula>"Folyamatban"</formula>
    </cfRule>
    <cfRule type="cellIs" dxfId="1232" priority="343" operator="equal">
      <formula>"Kész"</formula>
    </cfRule>
  </conditionalFormatting>
  <conditionalFormatting sqref="I208">
    <cfRule type="cellIs" dxfId="1231" priority="340" operator="equal">
      <formula>"Folyamatban"</formula>
    </cfRule>
    <cfRule type="cellIs" dxfId="1230" priority="341" operator="equal">
      <formula>"Kész"</formula>
    </cfRule>
  </conditionalFormatting>
  <conditionalFormatting sqref="I218">
    <cfRule type="cellIs" dxfId="1229" priority="338" operator="equal">
      <formula>"Folyamatban"</formula>
    </cfRule>
    <cfRule type="cellIs" dxfId="1228" priority="339" operator="equal">
      <formula>"Kész"</formula>
    </cfRule>
  </conditionalFormatting>
  <conditionalFormatting sqref="I229">
    <cfRule type="cellIs" dxfId="1227" priority="336" operator="equal">
      <formula>"Folyamatban"</formula>
    </cfRule>
    <cfRule type="cellIs" dxfId="1226" priority="337" operator="equal">
      <formula>"Kész"</formula>
    </cfRule>
  </conditionalFormatting>
  <conditionalFormatting sqref="I236">
    <cfRule type="cellIs" dxfId="1225" priority="334" operator="equal">
      <formula>"Folyamatban"</formula>
    </cfRule>
    <cfRule type="cellIs" dxfId="1224" priority="335" operator="equal">
      <formula>"Kész"</formula>
    </cfRule>
  </conditionalFormatting>
  <conditionalFormatting sqref="I243">
    <cfRule type="cellIs" dxfId="1223" priority="332" operator="equal">
      <formula>"Folyamatban"</formula>
    </cfRule>
    <cfRule type="cellIs" dxfId="1222" priority="333" operator="equal">
      <formula>"Kész"</formula>
    </cfRule>
  </conditionalFormatting>
  <conditionalFormatting sqref="I250">
    <cfRule type="cellIs" dxfId="1221" priority="330" operator="equal">
      <formula>"Folyamatban"</formula>
    </cfRule>
    <cfRule type="cellIs" dxfId="1220" priority="331" operator="equal">
      <formula>"Kész"</formula>
    </cfRule>
  </conditionalFormatting>
  <conditionalFormatting sqref="D206">
    <cfRule type="cellIs" dxfId="1219" priority="328" operator="equal">
      <formula>"Folyamatban"</formula>
    </cfRule>
    <cfRule type="cellIs" dxfId="1218" priority="329" operator="equal">
      <formula>"Kész"</formula>
    </cfRule>
  </conditionalFormatting>
  <conditionalFormatting sqref="D205:H205">
    <cfRule type="cellIs" dxfId="1217" priority="326" operator="equal">
      <formula>"Folyamatban"</formula>
    </cfRule>
    <cfRule type="cellIs" dxfId="1216" priority="327" operator="equal">
      <formula>"Kész"</formula>
    </cfRule>
  </conditionalFormatting>
  <conditionalFormatting sqref="I205">
    <cfRule type="cellIs" dxfId="1215" priority="324" operator="equal">
      <formula>"Folyamatban"</formula>
    </cfRule>
    <cfRule type="cellIs" dxfId="1214" priority="325" operator="equal">
      <formula>"Kész"</formula>
    </cfRule>
  </conditionalFormatting>
  <conditionalFormatting sqref="D263:E263">
    <cfRule type="cellIs" dxfId="1213" priority="322" operator="equal">
      <formula>"Folyamatban"</formula>
    </cfRule>
    <cfRule type="cellIs" dxfId="1212" priority="323" operator="equal">
      <formula>"Kész"</formula>
    </cfRule>
  </conditionalFormatting>
  <conditionalFormatting sqref="F263:G263">
    <cfRule type="cellIs" dxfId="1211" priority="320" operator="equal">
      <formula>"Folyamatban"</formula>
    </cfRule>
    <cfRule type="cellIs" dxfId="1210" priority="321" operator="equal">
      <formula>"Kész"</formula>
    </cfRule>
  </conditionalFormatting>
  <conditionalFormatting sqref="D264">
    <cfRule type="cellIs" dxfId="1209" priority="318" operator="equal">
      <formula>"Folyamatban"</formula>
    </cfRule>
    <cfRule type="cellIs" dxfId="1208" priority="319" operator="equal">
      <formula>"Kész"</formula>
    </cfRule>
  </conditionalFormatting>
  <conditionalFormatting sqref="H243">
    <cfRule type="cellIs" dxfId="1207" priority="316" operator="equal">
      <formula>"Folyamatban"</formula>
    </cfRule>
    <cfRule type="cellIs" dxfId="1206" priority="317" operator="equal">
      <formula>"Kész"</formula>
    </cfRule>
  </conditionalFormatting>
  <conditionalFormatting sqref="H250">
    <cfRule type="cellIs" dxfId="1205" priority="314" operator="equal">
      <formula>"Folyamatban"</formula>
    </cfRule>
    <cfRule type="cellIs" dxfId="1204" priority="315" operator="equal">
      <formula>"Kész"</formula>
    </cfRule>
  </conditionalFormatting>
  <conditionalFormatting sqref="H258">
    <cfRule type="cellIs" dxfId="1203" priority="310" operator="equal">
      <formula>"Folyamatban"</formula>
    </cfRule>
    <cfRule type="cellIs" dxfId="1202" priority="311" operator="equal">
      <formula>"Kész"</formula>
    </cfRule>
  </conditionalFormatting>
  <conditionalFormatting sqref="D258:E258">
    <cfRule type="cellIs" dxfId="1201" priority="308" operator="equal">
      <formula>"Folyamatban"</formula>
    </cfRule>
    <cfRule type="cellIs" dxfId="1200" priority="309" operator="equal">
      <formula>"Kész"</formula>
    </cfRule>
  </conditionalFormatting>
  <conditionalFormatting sqref="F258:G258">
    <cfRule type="cellIs" dxfId="1199" priority="306" operator="equal">
      <formula>"Folyamatban"</formula>
    </cfRule>
    <cfRule type="cellIs" dxfId="1198" priority="307" operator="equal">
      <formula>"Kész"</formula>
    </cfRule>
  </conditionalFormatting>
  <conditionalFormatting sqref="H263">
    <cfRule type="cellIs" dxfId="1197" priority="304" operator="equal">
      <formula>"Folyamatban"</formula>
    </cfRule>
    <cfRule type="cellIs" dxfId="1196" priority="305" operator="equal">
      <formula>"Kész"</formula>
    </cfRule>
  </conditionalFormatting>
  <conditionalFormatting sqref="D273">
    <cfRule type="cellIs" dxfId="1195" priority="302" operator="equal">
      <formula>"Folyamatban"</formula>
    </cfRule>
    <cfRule type="cellIs" dxfId="1194" priority="303" operator="equal">
      <formula>"Kész"</formula>
    </cfRule>
  </conditionalFormatting>
  <conditionalFormatting sqref="I258">
    <cfRule type="cellIs" dxfId="1193" priority="300" operator="equal">
      <formula>"Folyamatban"</formula>
    </cfRule>
    <cfRule type="cellIs" dxfId="1192" priority="301" operator="equal">
      <formula>"Kész"</formula>
    </cfRule>
  </conditionalFormatting>
  <conditionalFormatting sqref="I263">
    <cfRule type="cellIs" dxfId="1191" priority="298" operator="equal">
      <formula>"Folyamatban"</formula>
    </cfRule>
    <cfRule type="cellIs" dxfId="1190" priority="299" operator="equal">
      <formula>"Kész"</formula>
    </cfRule>
  </conditionalFormatting>
  <conditionalFormatting sqref="I179">
    <cfRule type="cellIs" dxfId="1189" priority="296" operator="equal">
      <formula>"Folyamatban"</formula>
    </cfRule>
    <cfRule type="cellIs" dxfId="1188" priority="297" operator="equal">
      <formula>"Kész"</formula>
    </cfRule>
  </conditionalFormatting>
  <conditionalFormatting sqref="H278">
    <cfRule type="cellIs" dxfId="1187" priority="294" operator="equal">
      <formula>"Folyamatban"</formula>
    </cfRule>
    <cfRule type="cellIs" dxfId="1186" priority="295" operator="equal">
      <formula>"Kész"</formula>
    </cfRule>
  </conditionalFormatting>
  <conditionalFormatting sqref="D278:E278">
    <cfRule type="cellIs" dxfId="1185" priority="292" operator="equal">
      <formula>"Folyamatban"</formula>
    </cfRule>
    <cfRule type="cellIs" dxfId="1184" priority="293" operator="equal">
      <formula>"Kész"</formula>
    </cfRule>
  </conditionalFormatting>
  <conditionalFormatting sqref="F278:G278">
    <cfRule type="cellIs" dxfId="1183" priority="290" operator="equal">
      <formula>"Folyamatban"</formula>
    </cfRule>
    <cfRule type="cellIs" dxfId="1182" priority="291" operator="equal">
      <formula>"Kész"</formula>
    </cfRule>
  </conditionalFormatting>
  <conditionalFormatting sqref="I278">
    <cfRule type="cellIs" dxfId="1181" priority="288" operator="equal">
      <formula>"Folyamatban"</formula>
    </cfRule>
    <cfRule type="cellIs" dxfId="1180" priority="289" operator="equal">
      <formula>"Kész"</formula>
    </cfRule>
  </conditionalFormatting>
  <conditionalFormatting sqref="D279:D284">
    <cfRule type="cellIs" dxfId="1179" priority="286" operator="equal">
      <formula>"Folyamatban"</formula>
    </cfRule>
    <cfRule type="cellIs" dxfId="1178" priority="287" operator="equal">
      <formula>"Kész"</formula>
    </cfRule>
  </conditionalFormatting>
  <conditionalFormatting sqref="D153:J153">
    <cfRule type="cellIs" dxfId="1177" priority="284" operator="equal">
      <formula>"Folyamatban"</formula>
    </cfRule>
    <cfRule type="cellIs" dxfId="1176" priority="285" operator="equal">
      <formula>"Kész"</formula>
    </cfRule>
  </conditionalFormatting>
  <conditionalFormatting sqref="D154">
    <cfRule type="cellIs" dxfId="1175" priority="282" operator="equal">
      <formula>"Folyamatban"</formula>
    </cfRule>
    <cfRule type="cellIs" dxfId="1174" priority="283" operator="equal">
      <formula>"Kész"</formula>
    </cfRule>
  </conditionalFormatting>
  <conditionalFormatting sqref="D155">
    <cfRule type="cellIs" dxfId="1173" priority="280" operator="equal">
      <formula>"Folyamatban"</formula>
    </cfRule>
    <cfRule type="cellIs" dxfId="1172" priority="281" operator="equal">
      <formula>"Kész"</formula>
    </cfRule>
  </conditionalFormatting>
  <conditionalFormatting sqref="D156">
    <cfRule type="cellIs" dxfId="1171" priority="278" operator="equal">
      <formula>"Folyamatban"</formula>
    </cfRule>
    <cfRule type="cellIs" dxfId="1170" priority="279" operator="equal">
      <formula>"Kész"</formula>
    </cfRule>
  </conditionalFormatting>
  <conditionalFormatting sqref="D157">
    <cfRule type="cellIs" dxfId="1169" priority="276" operator="equal">
      <formula>"Folyamatban"</formula>
    </cfRule>
    <cfRule type="cellIs" dxfId="1168" priority="277" operator="equal">
      <formula>"Kész"</formula>
    </cfRule>
  </conditionalFormatting>
  <conditionalFormatting sqref="D158">
    <cfRule type="cellIs" dxfId="1167" priority="274" operator="equal">
      <formula>"Folyamatban"</formula>
    </cfRule>
    <cfRule type="cellIs" dxfId="1166" priority="275" operator="equal">
      <formula>"Kész"</formula>
    </cfRule>
  </conditionalFormatting>
  <conditionalFormatting sqref="D159">
    <cfRule type="cellIs" dxfId="1165" priority="272" operator="equal">
      <formula>"Folyamatban"</formula>
    </cfRule>
    <cfRule type="cellIs" dxfId="1164" priority="273" operator="equal">
      <formula>"Kész"</formula>
    </cfRule>
  </conditionalFormatting>
  <conditionalFormatting sqref="J162">
    <cfRule type="cellIs" dxfId="1163" priority="270" operator="equal">
      <formula>"Folyamatban"</formula>
    </cfRule>
    <cfRule type="cellIs" dxfId="1162" priority="271" operator="equal">
      <formula>"Kész"</formula>
    </cfRule>
  </conditionalFormatting>
  <conditionalFormatting sqref="D136:J136">
    <cfRule type="cellIs" dxfId="1161" priority="268" operator="equal">
      <formula>"Folyamatban"</formula>
    </cfRule>
    <cfRule type="cellIs" dxfId="1160" priority="269" operator="equal">
      <formula>"Kész"</formula>
    </cfRule>
  </conditionalFormatting>
  <conditionalFormatting sqref="D137">
    <cfRule type="cellIs" dxfId="1159" priority="266" operator="equal">
      <formula>"Folyamatban"</formula>
    </cfRule>
    <cfRule type="cellIs" dxfId="1158" priority="267" operator="equal">
      <formula>"Kész"</formula>
    </cfRule>
  </conditionalFormatting>
  <conditionalFormatting sqref="D138">
    <cfRule type="cellIs" dxfId="1157" priority="264" operator="equal">
      <formula>"Folyamatban"</formula>
    </cfRule>
    <cfRule type="cellIs" dxfId="1156" priority="265" operator="equal">
      <formula>"Kész"</formula>
    </cfRule>
  </conditionalFormatting>
  <conditionalFormatting sqref="D139">
    <cfRule type="cellIs" dxfId="1155" priority="262" operator="equal">
      <formula>"Folyamatban"</formula>
    </cfRule>
    <cfRule type="cellIs" dxfId="1154" priority="263" operator="equal">
      <formula>"Kész"</formula>
    </cfRule>
  </conditionalFormatting>
  <conditionalFormatting sqref="D140">
    <cfRule type="cellIs" dxfId="1153" priority="258" operator="equal">
      <formula>"Folyamatban"</formula>
    </cfRule>
    <cfRule type="cellIs" dxfId="1152" priority="259" operator="equal">
      <formula>"Kész"</formula>
    </cfRule>
  </conditionalFormatting>
  <conditionalFormatting sqref="D141">
    <cfRule type="cellIs" dxfId="1151" priority="256" operator="equal">
      <formula>"Folyamatban"</formula>
    </cfRule>
    <cfRule type="cellIs" dxfId="1150" priority="257" operator="equal">
      <formula>"Kész"</formula>
    </cfRule>
  </conditionalFormatting>
  <conditionalFormatting sqref="D142">
    <cfRule type="cellIs" dxfId="1149" priority="254" operator="equal">
      <formula>"Folyamatban"</formula>
    </cfRule>
    <cfRule type="cellIs" dxfId="1148" priority="255" operator="equal">
      <formula>"Kész"</formula>
    </cfRule>
  </conditionalFormatting>
  <conditionalFormatting sqref="D143">
    <cfRule type="cellIs" dxfId="1147" priority="250" operator="equal">
      <formula>"Folyamatban"</formula>
    </cfRule>
    <cfRule type="cellIs" dxfId="1146" priority="251" operator="equal">
      <formula>"Kész"</formula>
    </cfRule>
  </conditionalFormatting>
  <conditionalFormatting sqref="D144">
    <cfRule type="cellIs" dxfId="1145" priority="248" operator="equal">
      <formula>"Folyamatban"</formula>
    </cfRule>
    <cfRule type="cellIs" dxfId="1144" priority="249" operator="equal">
      <formula>"Kész"</formula>
    </cfRule>
  </conditionalFormatting>
  <conditionalFormatting sqref="D145">
    <cfRule type="cellIs" dxfId="1143" priority="246" operator="equal">
      <formula>"Folyamatban"</formula>
    </cfRule>
    <cfRule type="cellIs" dxfId="1142" priority="247" operator="equal">
      <formula>"Kész"</formula>
    </cfRule>
  </conditionalFormatting>
  <conditionalFormatting sqref="D146">
    <cfRule type="cellIs" dxfId="1141" priority="244" operator="equal">
      <formula>"Folyamatban"</formula>
    </cfRule>
    <cfRule type="cellIs" dxfId="1140" priority="245" operator="equal">
      <formula>"Kész"</formula>
    </cfRule>
  </conditionalFormatting>
  <conditionalFormatting sqref="D147">
    <cfRule type="cellIs" dxfId="1139" priority="242" operator="equal">
      <formula>"Folyamatban"</formula>
    </cfRule>
    <cfRule type="cellIs" dxfId="1138" priority="243" operator="equal">
      <formula>"Kész"</formula>
    </cfRule>
  </conditionalFormatting>
  <conditionalFormatting sqref="D148">
    <cfRule type="cellIs" dxfId="1137" priority="240" operator="equal">
      <formula>"Folyamatban"</formula>
    </cfRule>
    <cfRule type="cellIs" dxfId="1136" priority="241" operator="equal">
      <formula>"Kész"</formula>
    </cfRule>
  </conditionalFormatting>
  <conditionalFormatting sqref="D149">
    <cfRule type="cellIs" dxfId="1135" priority="238" operator="equal">
      <formula>"Folyamatban"</formula>
    </cfRule>
    <cfRule type="cellIs" dxfId="1134" priority="239" operator="equal">
      <formula>"Kész"</formula>
    </cfRule>
  </conditionalFormatting>
  <conditionalFormatting sqref="D150">
    <cfRule type="cellIs" dxfId="1133" priority="236" operator="equal">
      <formula>"Folyamatban"</formula>
    </cfRule>
    <cfRule type="cellIs" dxfId="1132" priority="237" operator="equal">
      <formula>"Kész"</formula>
    </cfRule>
  </conditionalFormatting>
  <conditionalFormatting sqref="D151">
    <cfRule type="cellIs" dxfId="1131" priority="234" operator="equal">
      <formula>"Folyamatban"</formula>
    </cfRule>
    <cfRule type="cellIs" dxfId="1130" priority="235" operator="equal">
      <formula>"Kész"</formula>
    </cfRule>
  </conditionalFormatting>
  <conditionalFormatting sqref="D132:J132">
    <cfRule type="cellIs" dxfId="1129" priority="232" operator="equal">
      <formula>"Folyamatban"</formula>
    </cfRule>
    <cfRule type="cellIs" dxfId="1128" priority="233" operator="equal">
      <formula>"Kész"</formula>
    </cfRule>
  </conditionalFormatting>
  <conditionalFormatting sqref="D133">
    <cfRule type="cellIs" dxfId="1127" priority="230" operator="equal">
      <formula>"Folyamatban"</formula>
    </cfRule>
    <cfRule type="cellIs" dxfId="1126" priority="231" operator="equal">
      <formula>"Kész"</formula>
    </cfRule>
  </conditionalFormatting>
  <conditionalFormatting sqref="D134">
    <cfRule type="cellIs" dxfId="1125" priority="228" operator="equal">
      <formula>"Folyamatban"</formula>
    </cfRule>
    <cfRule type="cellIs" dxfId="1124" priority="229" operator="equal">
      <formula>"Kész"</formula>
    </cfRule>
  </conditionalFormatting>
  <conditionalFormatting sqref="D122:J122">
    <cfRule type="cellIs" dxfId="1123" priority="226" operator="equal">
      <formula>"Folyamatban"</formula>
    </cfRule>
    <cfRule type="cellIs" dxfId="1122" priority="227" operator="equal">
      <formula>"Kész"</formula>
    </cfRule>
  </conditionalFormatting>
  <conditionalFormatting sqref="D123">
    <cfRule type="cellIs" dxfId="1121" priority="224" operator="equal">
      <formula>"Folyamatban"</formula>
    </cfRule>
    <cfRule type="cellIs" dxfId="1120" priority="225" operator="equal">
      <formula>"Kész"</formula>
    </cfRule>
  </conditionalFormatting>
  <conditionalFormatting sqref="D124">
    <cfRule type="cellIs" dxfId="1119" priority="222" operator="equal">
      <formula>"Folyamatban"</formula>
    </cfRule>
    <cfRule type="cellIs" dxfId="1118" priority="223" operator="equal">
      <formula>"Kész"</formula>
    </cfRule>
  </conditionalFormatting>
  <conditionalFormatting sqref="D125">
    <cfRule type="cellIs" dxfId="1117" priority="220" operator="equal">
      <formula>"Folyamatban"</formula>
    </cfRule>
    <cfRule type="cellIs" dxfId="1116" priority="221" operator="equal">
      <formula>"Kész"</formula>
    </cfRule>
  </conditionalFormatting>
  <conditionalFormatting sqref="D126">
    <cfRule type="cellIs" dxfId="1115" priority="218" operator="equal">
      <formula>"Folyamatban"</formula>
    </cfRule>
    <cfRule type="cellIs" dxfId="1114" priority="219" operator="equal">
      <formula>"Kész"</formula>
    </cfRule>
  </conditionalFormatting>
  <conditionalFormatting sqref="D127">
    <cfRule type="cellIs" dxfId="1113" priority="216" operator="equal">
      <formula>"Folyamatban"</formula>
    </cfRule>
    <cfRule type="cellIs" dxfId="1112" priority="217" operator="equal">
      <formula>"Kész"</formula>
    </cfRule>
  </conditionalFormatting>
  <conditionalFormatting sqref="D128">
    <cfRule type="cellIs" dxfId="1111" priority="214" operator="equal">
      <formula>"Folyamatban"</formula>
    </cfRule>
    <cfRule type="cellIs" dxfId="1110" priority="215" operator="equal">
      <formula>"Kész"</formula>
    </cfRule>
  </conditionalFormatting>
  <conditionalFormatting sqref="D129">
    <cfRule type="cellIs" dxfId="1109" priority="212" operator="equal">
      <formula>"Folyamatban"</formula>
    </cfRule>
    <cfRule type="cellIs" dxfId="1108" priority="213" operator="equal">
      <formula>"Kész"</formula>
    </cfRule>
  </conditionalFormatting>
  <conditionalFormatting sqref="D130">
    <cfRule type="cellIs" dxfId="1107" priority="210" operator="equal">
      <formula>"Folyamatban"</formula>
    </cfRule>
    <cfRule type="cellIs" dxfId="1106" priority="211" operator="equal">
      <formula>"Kész"</formula>
    </cfRule>
  </conditionalFormatting>
  <conditionalFormatting sqref="D112:J112">
    <cfRule type="cellIs" dxfId="1105" priority="208" operator="equal">
      <formula>"Folyamatban"</formula>
    </cfRule>
    <cfRule type="cellIs" dxfId="1104" priority="209" operator="equal">
      <formula>"Kész"</formula>
    </cfRule>
  </conditionalFormatting>
  <conditionalFormatting sqref="D113">
    <cfRule type="cellIs" dxfId="1103" priority="206" operator="equal">
      <formula>"Folyamatban"</formula>
    </cfRule>
    <cfRule type="cellIs" dxfId="1102" priority="207" operator="equal">
      <formula>"Kész"</formula>
    </cfRule>
  </conditionalFormatting>
  <conditionalFormatting sqref="D114">
    <cfRule type="cellIs" dxfId="1101" priority="204" operator="equal">
      <formula>"Folyamatban"</formula>
    </cfRule>
    <cfRule type="cellIs" dxfId="1100" priority="205" operator="equal">
      <formula>"Kész"</formula>
    </cfRule>
  </conditionalFormatting>
  <conditionalFormatting sqref="D115">
    <cfRule type="cellIs" dxfId="1099" priority="202" operator="equal">
      <formula>"Folyamatban"</formula>
    </cfRule>
    <cfRule type="cellIs" dxfId="1098" priority="203" operator="equal">
      <formula>"Kész"</formula>
    </cfRule>
  </conditionalFormatting>
  <conditionalFormatting sqref="D116">
    <cfRule type="cellIs" dxfId="1097" priority="200" operator="equal">
      <formula>"Folyamatban"</formula>
    </cfRule>
    <cfRule type="cellIs" dxfId="1096" priority="201" operator="equal">
      <formula>"Kész"</formula>
    </cfRule>
  </conditionalFormatting>
  <conditionalFormatting sqref="D117">
    <cfRule type="cellIs" dxfId="1095" priority="198" operator="equal">
      <formula>"Folyamatban"</formula>
    </cfRule>
    <cfRule type="cellIs" dxfId="1094" priority="199" operator="equal">
      <formula>"Kész"</formula>
    </cfRule>
  </conditionalFormatting>
  <conditionalFormatting sqref="D96:J96">
    <cfRule type="cellIs" dxfId="1093" priority="196" operator="equal">
      <formula>"Folyamatban"</formula>
    </cfRule>
    <cfRule type="cellIs" dxfId="1092" priority="197" operator="equal">
      <formula>"Kész"</formula>
    </cfRule>
  </conditionalFormatting>
  <conditionalFormatting sqref="D97">
    <cfRule type="cellIs" dxfId="1091" priority="192" operator="equal">
      <formula>"Folyamatban"</formula>
    </cfRule>
    <cfRule type="cellIs" dxfId="1090" priority="193" operator="equal">
      <formula>"Kész"</formula>
    </cfRule>
  </conditionalFormatting>
  <conditionalFormatting sqref="D98">
    <cfRule type="cellIs" dxfId="1089" priority="190" operator="equal">
      <formula>"Folyamatban"</formula>
    </cfRule>
    <cfRule type="cellIs" dxfId="1088" priority="191" operator="equal">
      <formula>"Kész"</formula>
    </cfRule>
  </conditionalFormatting>
  <conditionalFormatting sqref="D99">
    <cfRule type="cellIs" dxfId="1087" priority="188" operator="equal">
      <formula>"Folyamatban"</formula>
    </cfRule>
    <cfRule type="cellIs" dxfId="1086" priority="189" operator="equal">
      <formula>"Kész"</formula>
    </cfRule>
  </conditionalFormatting>
  <conditionalFormatting sqref="D100">
    <cfRule type="cellIs" dxfId="1085" priority="186" operator="equal">
      <formula>"Folyamatban"</formula>
    </cfRule>
    <cfRule type="cellIs" dxfId="1084" priority="187" operator="equal">
      <formula>"Kész"</formula>
    </cfRule>
  </conditionalFormatting>
  <conditionalFormatting sqref="D101">
    <cfRule type="cellIs" dxfId="1083" priority="184" operator="equal">
      <formula>"Folyamatban"</formula>
    </cfRule>
    <cfRule type="cellIs" dxfId="1082" priority="185" operator="equal">
      <formula>"Kész"</formula>
    </cfRule>
  </conditionalFormatting>
  <conditionalFormatting sqref="D102">
    <cfRule type="cellIs" dxfId="1081" priority="182" operator="equal">
      <formula>"Folyamatban"</formula>
    </cfRule>
    <cfRule type="cellIs" dxfId="1080" priority="183" operator="equal">
      <formula>"Kész"</formula>
    </cfRule>
  </conditionalFormatting>
  <conditionalFormatting sqref="D103">
    <cfRule type="cellIs" dxfId="1079" priority="180" operator="equal">
      <formula>"Folyamatban"</formula>
    </cfRule>
    <cfRule type="cellIs" dxfId="1078" priority="181" operator="equal">
      <formula>"Kész"</formula>
    </cfRule>
  </conditionalFormatting>
  <conditionalFormatting sqref="D104">
    <cfRule type="cellIs" dxfId="1077" priority="178" operator="equal">
      <formula>"Folyamatban"</formula>
    </cfRule>
    <cfRule type="cellIs" dxfId="1076" priority="179" operator="equal">
      <formula>"Kész"</formula>
    </cfRule>
  </conditionalFormatting>
  <conditionalFormatting sqref="D105">
    <cfRule type="cellIs" dxfId="1075" priority="176" operator="equal">
      <formula>"Folyamatban"</formula>
    </cfRule>
    <cfRule type="cellIs" dxfId="1074" priority="177" operator="equal">
      <formula>"Kész"</formula>
    </cfRule>
  </conditionalFormatting>
  <conditionalFormatting sqref="D106">
    <cfRule type="cellIs" dxfId="1073" priority="174" operator="equal">
      <formula>"Folyamatban"</formula>
    </cfRule>
    <cfRule type="cellIs" dxfId="1072" priority="175" operator="equal">
      <formula>"Kész"</formula>
    </cfRule>
  </conditionalFormatting>
  <conditionalFormatting sqref="D107:D110">
    <cfRule type="cellIs" dxfId="1071" priority="172" operator="equal">
      <formula>"Folyamatban"</formula>
    </cfRule>
    <cfRule type="cellIs" dxfId="1070" priority="173" operator="equal">
      <formula>"Kész"</formula>
    </cfRule>
  </conditionalFormatting>
  <conditionalFormatting sqref="D64:H64">
    <cfRule type="cellIs" dxfId="1069" priority="170" operator="equal">
      <formula>"Folyamatban"</formula>
    </cfRule>
    <cfRule type="cellIs" dxfId="1068" priority="171" operator="equal">
      <formula>"Kész"</formula>
    </cfRule>
  </conditionalFormatting>
  <conditionalFormatting sqref="D65">
    <cfRule type="cellIs" dxfId="1067" priority="168" operator="equal">
      <formula>"Folyamatban"</formula>
    </cfRule>
    <cfRule type="cellIs" dxfId="1066" priority="169" operator="equal">
      <formula>"Kész"</formula>
    </cfRule>
  </conditionalFormatting>
  <conditionalFormatting sqref="D66">
    <cfRule type="cellIs" dxfId="1065" priority="166" operator="equal">
      <formula>"Folyamatban"</formula>
    </cfRule>
    <cfRule type="cellIs" dxfId="1064" priority="167" operator="equal">
      <formula>"Kész"</formula>
    </cfRule>
  </conditionalFormatting>
  <conditionalFormatting sqref="D67">
    <cfRule type="cellIs" dxfId="1063" priority="164" operator="equal">
      <formula>"Folyamatban"</formula>
    </cfRule>
    <cfRule type="cellIs" dxfId="1062" priority="165" operator="equal">
      <formula>"Kész"</formula>
    </cfRule>
  </conditionalFormatting>
  <conditionalFormatting sqref="D68">
    <cfRule type="cellIs" dxfId="1061" priority="160" operator="equal">
      <formula>"Folyamatban"</formula>
    </cfRule>
    <cfRule type="cellIs" dxfId="1060" priority="161" operator="equal">
      <formula>"Kész"</formula>
    </cfRule>
  </conditionalFormatting>
  <conditionalFormatting sqref="D69">
    <cfRule type="cellIs" dxfId="1059" priority="158" operator="equal">
      <formula>"Folyamatban"</formula>
    </cfRule>
    <cfRule type="cellIs" dxfId="1058" priority="159" operator="equal">
      <formula>"Kész"</formula>
    </cfRule>
  </conditionalFormatting>
  <conditionalFormatting sqref="D70">
    <cfRule type="cellIs" dxfId="1057" priority="156" operator="equal">
      <formula>"Folyamatban"</formula>
    </cfRule>
    <cfRule type="cellIs" dxfId="1056" priority="157" operator="equal">
      <formula>"Kész"</formula>
    </cfRule>
  </conditionalFormatting>
  <conditionalFormatting sqref="D71">
    <cfRule type="cellIs" dxfId="1055" priority="154" operator="equal">
      <formula>"Folyamatban"</formula>
    </cfRule>
    <cfRule type="cellIs" dxfId="1054" priority="155" operator="equal">
      <formula>"Kész"</formula>
    </cfRule>
  </conditionalFormatting>
  <conditionalFormatting sqref="D72">
    <cfRule type="cellIs" dxfId="1053" priority="152" operator="equal">
      <formula>"Folyamatban"</formula>
    </cfRule>
    <cfRule type="cellIs" dxfId="1052" priority="153" operator="equal">
      <formula>"Kész"</formula>
    </cfRule>
  </conditionalFormatting>
  <conditionalFormatting sqref="D73">
    <cfRule type="cellIs" dxfId="1051" priority="150" operator="equal">
      <formula>"Folyamatban"</formula>
    </cfRule>
    <cfRule type="cellIs" dxfId="1050" priority="151" operator="equal">
      <formula>"Kész"</formula>
    </cfRule>
  </conditionalFormatting>
  <conditionalFormatting sqref="D74">
    <cfRule type="cellIs" dxfId="1049" priority="148" operator="equal">
      <formula>"Folyamatban"</formula>
    </cfRule>
    <cfRule type="cellIs" dxfId="1048" priority="149" operator="equal">
      <formula>"Kész"</formula>
    </cfRule>
  </conditionalFormatting>
  <conditionalFormatting sqref="D75">
    <cfRule type="cellIs" dxfId="1047" priority="146" operator="equal">
      <formula>"Folyamatban"</formula>
    </cfRule>
    <cfRule type="cellIs" dxfId="1046" priority="147" operator="equal">
      <formula>"Kész"</formula>
    </cfRule>
  </conditionalFormatting>
  <conditionalFormatting sqref="D76">
    <cfRule type="cellIs" dxfId="1045" priority="144" operator="equal">
      <formula>"Folyamatban"</formula>
    </cfRule>
    <cfRule type="cellIs" dxfId="1044" priority="145" operator="equal">
      <formula>"Kész"</formula>
    </cfRule>
  </conditionalFormatting>
  <conditionalFormatting sqref="D77">
    <cfRule type="cellIs" dxfId="1043" priority="142" operator="equal">
      <formula>"Folyamatban"</formula>
    </cfRule>
    <cfRule type="cellIs" dxfId="1042" priority="143" operator="equal">
      <formula>"Kész"</formula>
    </cfRule>
  </conditionalFormatting>
  <conditionalFormatting sqref="D78">
    <cfRule type="cellIs" dxfId="1041" priority="140" operator="equal">
      <formula>"Folyamatban"</formula>
    </cfRule>
    <cfRule type="cellIs" dxfId="1040" priority="141" operator="equal">
      <formula>"Kész"</formula>
    </cfRule>
  </conditionalFormatting>
  <conditionalFormatting sqref="D79">
    <cfRule type="cellIs" dxfId="1039" priority="138" operator="equal">
      <formula>"Folyamatban"</formula>
    </cfRule>
    <cfRule type="cellIs" dxfId="1038" priority="139" operator="equal">
      <formula>"Kész"</formula>
    </cfRule>
  </conditionalFormatting>
  <conditionalFormatting sqref="D80">
    <cfRule type="cellIs" dxfId="1037" priority="136" operator="equal">
      <formula>"Folyamatban"</formula>
    </cfRule>
    <cfRule type="cellIs" dxfId="1036" priority="137" operator="equal">
      <formula>"Kész"</formula>
    </cfRule>
  </conditionalFormatting>
  <conditionalFormatting sqref="D81">
    <cfRule type="cellIs" dxfId="1035" priority="134" operator="equal">
      <formula>"Folyamatban"</formula>
    </cfRule>
    <cfRule type="cellIs" dxfId="1034" priority="135" operator="equal">
      <formula>"Kész"</formula>
    </cfRule>
  </conditionalFormatting>
  <conditionalFormatting sqref="D82">
    <cfRule type="cellIs" dxfId="1033" priority="132" operator="equal">
      <formula>"Folyamatban"</formula>
    </cfRule>
    <cfRule type="cellIs" dxfId="1032" priority="133" operator="equal">
      <formula>"Kész"</formula>
    </cfRule>
  </conditionalFormatting>
  <conditionalFormatting sqref="D83">
    <cfRule type="cellIs" dxfId="1031" priority="130" operator="equal">
      <formula>"Folyamatban"</formula>
    </cfRule>
    <cfRule type="cellIs" dxfId="1030" priority="131" operator="equal">
      <formula>"Kész"</formula>
    </cfRule>
  </conditionalFormatting>
  <conditionalFormatting sqref="D84">
    <cfRule type="cellIs" dxfId="1029" priority="128" operator="equal">
      <formula>"Folyamatban"</formula>
    </cfRule>
    <cfRule type="cellIs" dxfId="1028" priority="129" operator="equal">
      <formula>"Kész"</formula>
    </cfRule>
  </conditionalFormatting>
  <conditionalFormatting sqref="D85">
    <cfRule type="cellIs" dxfId="1027" priority="126" operator="equal">
      <formula>"Folyamatban"</formula>
    </cfRule>
    <cfRule type="cellIs" dxfId="1026" priority="127" operator="equal">
      <formula>"Kész"</formula>
    </cfRule>
  </conditionalFormatting>
  <conditionalFormatting sqref="D86">
    <cfRule type="cellIs" dxfId="1025" priority="124" operator="equal">
      <formula>"Folyamatban"</formula>
    </cfRule>
    <cfRule type="cellIs" dxfId="1024" priority="125" operator="equal">
      <formula>"Kész"</formula>
    </cfRule>
  </conditionalFormatting>
  <conditionalFormatting sqref="D87">
    <cfRule type="cellIs" dxfId="1023" priority="122" operator="equal">
      <formula>"Folyamatban"</formula>
    </cfRule>
    <cfRule type="cellIs" dxfId="1022" priority="123" operator="equal">
      <formula>"Kész"</formula>
    </cfRule>
  </conditionalFormatting>
  <conditionalFormatting sqref="D88">
    <cfRule type="cellIs" dxfId="1021" priority="120" operator="equal">
      <formula>"Folyamatban"</formula>
    </cfRule>
    <cfRule type="cellIs" dxfId="1020" priority="121" operator="equal">
      <formula>"Kész"</formula>
    </cfRule>
  </conditionalFormatting>
  <conditionalFormatting sqref="D89">
    <cfRule type="cellIs" dxfId="1019" priority="118" operator="equal">
      <formula>"Folyamatban"</formula>
    </cfRule>
    <cfRule type="cellIs" dxfId="1018" priority="119" operator="equal">
      <formula>"Kész"</formula>
    </cfRule>
  </conditionalFormatting>
  <conditionalFormatting sqref="D90">
    <cfRule type="cellIs" dxfId="1017" priority="116" operator="equal">
      <formula>"Folyamatban"</formula>
    </cfRule>
    <cfRule type="cellIs" dxfId="1016" priority="117" operator="equal">
      <formula>"Kész"</formula>
    </cfRule>
  </conditionalFormatting>
  <conditionalFormatting sqref="D91">
    <cfRule type="cellIs" dxfId="1015" priority="114" operator="equal">
      <formula>"Folyamatban"</formula>
    </cfRule>
    <cfRule type="cellIs" dxfId="1014" priority="115" operator="equal">
      <formula>"Kész"</formula>
    </cfRule>
  </conditionalFormatting>
  <conditionalFormatting sqref="D53:H53">
    <cfRule type="cellIs" dxfId="1013" priority="112" operator="equal">
      <formula>"Folyamatban"</formula>
    </cfRule>
    <cfRule type="cellIs" dxfId="1012" priority="113" operator="equal">
      <formula>"Kész"</formula>
    </cfRule>
  </conditionalFormatting>
  <conditionalFormatting sqref="D54">
    <cfRule type="cellIs" dxfId="1011" priority="110" operator="equal">
      <formula>"Folyamatban"</formula>
    </cfRule>
    <cfRule type="cellIs" dxfId="1010" priority="111" operator="equal">
      <formula>"Kész"</formula>
    </cfRule>
  </conditionalFormatting>
  <conditionalFormatting sqref="D55">
    <cfRule type="cellIs" dxfId="1009" priority="108" operator="equal">
      <formula>"Folyamatban"</formula>
    </cfRule>
    <cfRule type="cellIs" dxfId="1008" priority="109" operator="equal">
      <formula>"Kész"</formula>
    </cfRule>
  </conditionalFormatting>
  <conditionalFormatting sqref="D56">
    <cfRule type="cellIs" dxfId="1007" priority="106" operator="equal">
      <formula>"Folyamatban"</formula>
    </cfRule>
    <cfRule type="cellIs" dxfId="1006" priority="107" operator="equal">
      <formula>"Kész"</formula>
    </cfRule>
  </conditionalFormatting>
  <conditionalFormatting sqref="D57">
    <cfRule type="cellIs" dxfId="1005" priority="104" operator="equal">
      <formula>"Folyamatban"</formula>
    </cfRule>
    <cfRule type="cellIs" dxfId="1004" priority="105" operator="equal">
      <formula>"Kész"</formula>
    </cfRule>
  </conditionalFormatting>
  <conditionalFormatting sqref="D58">
    <cfRule type="cellIs" dxfId="1003" priority="102" operator="equal">
      <formula>"Folyamatban"</formula>
    </cfRule>
    <cfRule type="cellIs" dxfId="1002" priority="103" operator="equal">
      <formula>"Kész"</formula>
    </cfRule>
  </conditionalFormatting>
  <conditionalFormatting sqref="D59">
    <cfRule type="cellIs" dxfId="1001" priority="100" operator="equal">
      <formula>"Folyamatban"</formula>
    </cfRule>
    <cfRule type="cellIs" dxfId="1000" priority="101" operator="equal">
      <formula>"Kész"</formula>
    </cfRule>
  </conditionalFormatting>
  <conditionalFormatting sqref="D60">
    <cfRule type="cellIs" dxfId="999" priority="98" operator="equal">
      <formula>"Folyamatban"</formula>
    </cfRule>
    <cfRule type="cellIs" dxfId="998" priority="99" operator="equal">
      <formula>"Kész"</formula>
    </cfRule>
  </conditionalFormatting>
  <conditionalFormatting sqref="D61">
    <cfRule type="cellIs" dxfId="997" priority="96" operator="equal">
      <formula>"Folyamatban"</formula>
    </cfRule>
    <cfRule type="cellIs" dxfId="996" priority="97" operator="equal">
      <formula>"Kész"</formula>
    </cfRule>
  </conditionalFormatting>
  <conditionalFormatting sqref="D62">
    <cfRule type="cellIs" dxfId="995" priority="94" operator="equal">
      <formula>"Folyamatban"</formula>
    </cfRule>
    <cfRule type="cellIs" dxfId="994" priority="95" operator="equal">
      <formula>"Kész"</formula>
    </cfRule>
  </conditionalFormatting>
  <conditionalFormatting sqref="D43:H43">
    <cfRule type="cellIs" dxfId="993" priority="92" operator="equal">
      <formula>"Folyamatban"</formula>
    </cfRule>
    <cfRule type="cellIs" dxfId="992" priority="93" operator="equal">
      <formula>"Kész"</formula>
    </cfRule>
  </conditionalFormatting>
  <conditionalFormatting sqref="D44">
    <cfRule type="cellIs" dxfId="991" priority="90" operator="equal">
      <formula>"Folyamatban"</formula>
    </cfRule>
    <cfRule type="cellIs" dxfId="990" priority="91" operator="equal">
      <formula>"Kész"</formula>
    </cfRule>
  </conditionalFormatting>
  <conditionalFormatting sqref="D45">
    <cfRule type="cellIs" dxfId="989" priority="88" operator="equal">
      <formula>"Folyamatban"</formula>
    </cfRule>
    <cfRule type="cellIs" dxfId="988" priority="89" operator="equal">
      <formula>"Kész"</formula>
    </cfRule>
  </conditionalFormatting>
  <conditionalFormatting sqref="D46">
    <cfRule type="cellIs" dxfId="987" priority="86" operator="equal">
      <formula>"Folyamatban"</formula>
    </cfRule>
    <cfRule type="cellIs" dxfId="986" priority="87" operator="equal">
      <formula>"Kész"</formula>
    </cfRule>
  </conditionalFormatting>
  <conditionalFormatting sqref="D47:D48 D50:D51">
    <cfRule type="cellIs" dxfId="985" priority="84" operator="equal">
      <formula>"Folyamatban"</formula>
    </cfRule>
    <cfRule type="cellIs" dxfId="984" priority="85" operator="equal">
      <formula>"Kész"</formula>
    </cfRule>
  </conditionalFormatting>
  <conditionalFormatting sqref="D49:H49">
    <cfRule type="cellIs" dxfId="983" priority="82" operator="equal">
      <formula>"Folyamatban"</formula>
    </cfRule>
    <cfRule type="cellIs" dxfId="982" priority="83" operator="equal">
      <formula>"Kész"</formula>
    </cfRule>
  </conditionalFormatting>
  <conditionalFormatting sqref="D20:H20">
    <cfRule type="cellIs" dxfId="981" priority="80" operator="equal">
      <formula>"Folyamatban"</formula>
    </cfRule>
    <cfRule type="cellIs" dxfId="980" priority="81" operator="equal">
      <formula>"Kész"</formula>
    </cfRule>
  </conditionalFormatting>
  <conditionalFormatting sqref="D21">
    <cfRule type="cellIs" dxfId="979" priority="75" operator="equal">
      <formula>"Folyamatban"</formula>
    </cfRule>
    <cfRule type="cellIs" dxfId="978" priority="76" operator="equal">
      <formula>"Kész"</formula>
    </cfRule>
  </conditionalFormatting>
  <conditionalFormatting sqref="D22">
    <cfRule type="cellIs" dxfId="977" priority="73" operator="equal">
      <formula>"Folyamatban"</formula>
    </cfRule>
    <cfRule type="cellIs" dxfId="976" priority="74" operator="equal">
      <formula>"Kész"</formula>
    </cfRule>
  </conditionalFormatting>
  <conditionalFormatting sqref="D23">
    <cfRule type="cellIs" dxfId="975" priority="71" operator="equal">
      <formula>"Folyamatban"</formula>
    </cfRule>
    <cfRule type="cellIs" dxfId="974" priority="72" operator="equal">
      <formula>"Kész"</formula>
    </cfRule>
  </conditionalFormatting>
  <conditionalFormatting sqref="D24">
    <cfRule type="cellIs" dxfId="973" priority="69" operator="equal">
      <formula>"Folyamatban"</formula>
    </cfRule>
    <cfRule type="cellIs" dxfId="972" priority="70" operator="equal">
      <formula>"Kész"</formula>
    </cfRule>
  </conditionalFormatting>
  <conditionalFormatting sqref="D25">
    <cfRule type="cellIs" dxfId="971" priority="65" operator="equal">
      <formula>"Folyamatban"</formula>
    </cfRule>
    <cfRule type="cellIs" dxfId="970" priority="66" operator="equal">
      <formula>"Kész"</formula>
    </cfRule>
  </conditionalFormatting>
  <conditionalFormatting sqref="D26">
    <cfRule type="cellIs" dxfId="969" priority="63" operator="equal">
      <formula>"Folyamatban"</formula>
    </cfRule>
    <cfRule type="cellIs" dxfId="968" priority="64" operator="equal">
      <formula>"Kész"</formula>
    </cfRule>
  </conditionalFormatting>
  <conditionalFormatting sqref="D27">
    <cfRule type="cellIs" dxfId="967" priority="61" operator="equal">
      <formula>"Folyamatban"</formula>
    </cfRule>
    <cfRule type="cellIs" dxfId="966" priority="62" operator="equal">
      <formula>"Kész"</formula>
    </cfRule>
  </conditionalFormatting>
  <conditionalFormatting sqref="D28">
    <cfRule type="cellIs" dxfId="965" priority="59" operator="equal">
      <formula>"Folyamatban"</formula>
    </cfRule>
    <cfRule type="cellIs" dxfId="964" priority="60" operator="equal">
      <formula>"Kész"</formula>
    </cfRule>
  </conditionalFormatting>
  <conditionalFormatting sqref="D29">
    <cfRule type="cellIs" dxfId="963" priority="57" operator="equal">
      <formula>"Folyamatban"</formula>
    </cfRule>
    <cfRule type="cellIs" dxfId="962" priority="58" operator="equal">
      <formula>"Kész"</formula>
    </cfRule>
  </conditionalFormatting>
  <conditionalFormatting sqref="D30">
    <cfRule type="cellIs" dxfId="961" priority="55" operator="equal">
      <formula>"Folyamatban"</formula>
    </cfRule>
    <cfRule type="cellIs" dxfId="960" priority="56" operator="equal">
      <formula>"Kész"</formula>
    </cfRule>
  </conditionalFormatting>
  <conditionalFormatting sqref="D31:D32">
    <cfRule type="cellIs" dxfId="959" priority="53" operator="equal">
      <formula>"Folyamatban"</formula>
    </cfRule>
    <cfRule type="cellIs" dxfId="958" priority="54" operator="equal">
      <formula>"Kész"</formula>
    </cfRule>
  </conditionalFormatting>
  <conditionalFormatting sqref="D33">
    <cfRule type="cellIs" dxfId="957" priority="49" operator="equal">
      <formula>"Folyamatban"</formula>
    </cfRule>
    <cfRule type="cellIs" dxfId="956" priority="50" operator="equal">
      <formula>"Kész"</formula>
    </cfRule>
  </conditionalFormatting>
  <conditionalFormatting sqref="D35">
    <cfRule type="cellIs" dxfId="955" priority="47" operator="equal">
      <formula>"Folyamatban"</formula>
    </cfRule>
    <cfRule type="cellIs" dxfId="954" priority="48" operator="equal">
      <formula>"Kész"</formula>
    </cfRule>
  </conditionalFormatting>
  <conditionalFormatting sqref="D34">
    <cfRule type="cellIs" dxfId="953" priority="45" operator="equal">
      <formula>"Folyamatban"</formula>
    </cfRule>
    <cfRule type="cellIs" dxfId="952" priority="46" operator="equal">
      <formula>"Kész"</formula>
    </cfRule>
  </conditionalFormatting>
  <conditionalFormatting sqref="D36">
    <cfRule type="cellIs" dxfId="951" priority="43" operator="equal">
      <formula>"Folyamatban"</formula>
    </cfRule>
    <cfRule type="cellIs" dxfId="950" priority="44" operator="equal">
      <formula>"Kész"</formula>
    </cfRule>
  </conditionalFormatting>
  <conditionalFormatting sqref="D37">
    <cfRule type="cellIs" dxfId="949" priority="41" operator="equal">
      <formula>"Folyamatban"</formula>
    </cfRule>
    <cfRule type="cellIs" dxfId="948" priority="42" operator="equal">
      <formula>"Kész"</formula>
    </cfRule>
  </conditionalFormatting>
  <conditionalFormatting sqref="D38:D40">
    <cfRule type="cellIs" dxfId="947" priority="39" operator="equal">
      <formula>"Folyamatban"</formula>
    </cfRule>
    <cfRule type="cellIs" dxfId="946" priority="40" operator="equal">
      <formula>"Kész"</formula>
    </cfRule>
  </conditionalFormatting>
  <conditionalFormatting sqref="D15:H15">
    <cfRule type="cellIs" dxfId="945" priority="37" operator="equal">
      <formula>"Folyamatban"</formula>
    </cfRule>
    <cfRule type="cellIs" dxfId="944" priority="38" operator="equal">
      <formula>"Kész"</formula>
    </cfRule>
  </conditionalFormatting>
  <conditionalFormatting sqref="D17">
    <cfRule type="cellIs" dxfId="943" priority="33" operator="equal">
      <formula>"Folyamatban"</formula>
    </cfRule>
    <cfRule type="cellIs" dxfId="942" priority="34" operator="equal">
      <formula>"Kész"</formula>
    </cfRule>
  </conditionalFormatting>
  <conditionalFormatting sqref="D16">
    <cfRule type="cellIs" dxfId="941" priority="31" operator="equal">
      <formula>"Folyamatban"</formula>
    </cfRule>
    <cfRule type="cellIs" dxfId="940" priority="32" operator="equal">
      <formula>"Kész"</formula>
    </cfRule>
  </conditionalFormatting>
  <conditionalFormatting sqref="D18">
    <cfRule type="cellIs" dxfId="939" priority="29" operator="equal">
      <formula>"Folyamatban"</formula>
    </cfRule>
    <cfRule type="cellIs" dxfId="938" priority="30" operator="equal">
      <formula>"Kész"</formula>
    </cfRule>
  </conditionalFormatting>
  <conditionalFormatting sqref="D1:H1">
    <cfRule type="cellIs" dxfId="937" priority="27" operator="equal">
      <formula>"Folyamatban"</formula>
    </cfRule>
    <cfRule type="cellIs" dxfId="936" priority="28" operator="equal">
      <formula>"Kész"</formula>
    </cfRule>
  </conditionalFormatting>
  <conditionalFormatting sqref="D2">
    <cfRule type="cellIs" dxfId="935" priority="25" operator="equal">
      <formula>"Folyamatban"</formula>
    </cfRule>
    <cfRule type="cellIs" dxfId="934" priority="26" operator="equal">
      <formula>"Kész"</formula>
    </cfRule>
  </conditionalFormatting>
  <conditionalFormatting sqref="D3">
    <cfRule type="cellIs" dxfId="933" priority="19" operator="equal">
      <formula>"Folyamatban"</formula>
    </cfRule>
    <cfRule type="cellIs" dxfId="932" priority="20" operator="equal">
      <formula>"Kész"</formula>
    </cfRule>
  </conditionalFormatting>
  <conditionalFormatting sqref="D12">
    <cfRule type="cellIs" dxfId="931" priority="17" operator="equal">
      <formula>"Folyamatban"</formula>
    </cfRule>
    <cfRule type="cellIs" dxfId="930" priority="18" operator="equal">
      <formula>"Kész"</formula>
    </cfRule>
  </conditionalFormatting>
  <conditionalFormatting sqref="D4">
    <cfRule type="cellIs" dxfId="929" priority="15" operator="equal">
      <formula>"Folyamatban"</formula>
    </cfRule>
    <cfRule type="cellIs" dxfId="928" priority="16" operator="equal">
      <formula>"Kész"</formula>
    </cfRule>
  </conditionalFormatting>
  <conditionalFormatting sqref="D5">
    <cfRule type="cellIs" dxfId="927" priority="13" operator="equal">
      <formula>"Folyamatban"</formula>
    </cfRule>
    <cfRule type="cellIs" dxfId="926" priority="14" operator="equal">
      <formula>"Kész"</formula>
    </cfRule>
  </conditionalFormatting>
  <conditionalFormatting sqref="D6">
    <cfRule type="cellIs" dxfId="925" priority="11" operator="equal">
      <formula>"Folyamatban"</formula>
    </cfRule>
    <cfRule type="cellIs" dxfId="924" priority="12" operator="equal">
      <formula>"Kész"</formula>
    </cfRule>
  </conditionalFormatting>
  <conditionalFormatting sqref="D7">
    <cfRule type="cellIs" dxfId="923" priority="9" operator="equal">
      <formula>"Folyamatban"</formula>
    </cfRule>
    <cfRule type="cellIs" dxfId="922" priority="10" operator="equal">
      <formula>"Kész"</formula>
    </cfRule>
  </conditionalFormatting>
  <conditionalFormatting sqref="D8">
    <cfRule type="cellIs" dxfId="921" priority="7" operator="equal">
      <formula>"Folyamatban"</formula>
    </cfRule>
    <cfRule type="cellIs" dxfId="920" priority="8" operator="equal">
      <formula>"Kész"</formula>
    </cfRule>
  </conditionalFormatting>
  <conditionalFormatting sqref="D9">
    <cfRule type="cellIs" dxfId="919" priority="5" operator="equal">
      <formula>"Folyamatban"</formula>
    </cfRule>
    <cfRule type="cellIs" dxfId="918" priority="6" operator="equal">
      <formula>"Kész"</formula>
    </cfRule>
  </conditionalFormatting>
  <conditionalFormatting sqref="D10">
    <cfRule type="cellIs" dxfId="917" priority="3" operator="equal">
      <formula>"Folyamatban"</formula>
    </cfRule>
    <cfRule type="cellIs" dxfId="916" priority="4" operator="equal">
      <formula>"Kész"</formula>
    </cfRule>
  </conditionalFormatting>
  <conditionalFormatting sqref="D11">
    <cfRule type="cellIs" dxfId="915" priority="1" operator="equal">
      <formula>"Folyamatban"</formula>
    </cfRule>
    <cfRule type="cellIs" dxfId="914" priority="2" operator="equal">
      <formula>"Kész"</formula>
    </cfRule>
  </conditionalFormatting>
  <dataValidations count="3">
    <dataValidation type="list" allowBlank="1" showInputMessage="1" showErrorMessage="1" sqref="D251:D255 D244:D246 D237:D240 D230:D231 D219:D224 D202:D204 D193:D199 D185:D188 D180:D181 D170:D175 D163:D167 D206 D264:D276 D209:D214 D259:D261 D279:D284 D154:D159 D137:D151 D133:D134 D123:D130 D113:D117 D101:D110">
      <formula1>todo</formula1>
    </dataValidation>
    <dataValidation type="list" allowBlank="1" showInputMessage="1" showErrorMessage="1" sqref="B251:B255 B244:B246 B237:B240 B219:B224 B202:B204 B193:B199 B185:B188 B180:B181 B170:B175 B163:B166 B206 B264:B276 B209:B214 B259:B261 B279:B284 B154:B159 B137:B151 B133:B134 B123:B130 B113:B117 B97:B110 B65:B91 B54:B62 B44:B48 B2:B12 B16:B18 B21:B40">
      <formula1>list01</formula1>
    </dataValidation>
    <dataValidation type="list" allowBlank="1" showInputMessage="1" showErrorMessage="1" sqref="D97:D100 D65:D91 D54:D62 D44:D48 D50:D51 D2:D12 D16:D18 D21:D40">
      <formula1>okvsnok</formula1>
    </dataValidation>
  </dataValidations>
  <pageMargins left="0.7" right="0.7" top="0.75" bottom="0.75" header="0.3" footer="0.3"/>
  <pageSetup paperSize="9" scale="1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9"/>
  <dimension ref="A1:M231"/>
  <sheetViews>
    <sheetView topLeftCell="A104" zoomScaleNormal="100" workbookViewId="0">
      <selection activeCell="A122" sqref="A122"/>
    </sheetView>
  </sheetViews>
  <sheetFormatPr defaultRowHeight="15" x14ac:dyDescent="0.25"/>
  <cols>
    <col min="1" max="1" width="27.28515625" style="2" customWidth="1"/>
    <col min="2" max="2" width="47" style="1" customWidth="1"/>
    <col min="3" max="3" width="0.85546875" style="1" customWidth="1"/>
    <col min="4" max="4" width="0.85546875" style="9" customWidth="1"/>
    <col min="5" max="5" width="12.85546875" customWidth="1"/>
    <col min="6" max="6" width="21.28515625" style="1" customWidth="1"/>
    <col min="7" max="7" width="8.85546875" style="1"/>
    <col min="11" max="11" width="50.42578125" customWidth="1"/>
    <col min="12" max="12" width="21.140625" customWidth="1"/>
    <col min="254" max="254" width="24.7109375" customWidth="1"/>
    <col min="255" max="255" width="41.140625" customWidth="1"/>
    <col min="256" max="256" width="16.5703125" customWidth="1"/>
    <col min="257" max="257" width="62.42578125" customWidth="1"/>
    <col min="258" max="258" width="14" customWidth="1"/>
    <col min="266" max="266" width="25.5703125" customWidth="1"/>
    <col min="267" max="267" width="55.5703125" customWidth="1"/>
    <col min="510" max="510" width="24.7109375" customWidth="1"/>
    <col min="511" max="511" width="41.140625" customWidth="1"/>
    <col min="512" max="512" width="16.5703125" customWidth="1"/>
    <col min="513" max="513" width="62.42578125" customWidth="1"/>
    <col min="514" max="514" width="14" customWidth="1"/>
    <col min="522" max="522" width="25.5703125" customWidth="1"/>
    <col min="523" max="523" width="55.5703125" customWidth="1"/>
    <col min="766" max="766" width="24.7109375" customWidth="1"/>
    <col min="767" max="767" width="41.140625" customWidth="1"/>
    <col min="768" max="768" width="16.5703125" customWidth="1"/>
    <col min="769" max="769" width="62.42578125" customWidth="1"/>
    <col min="770" max="770" width="14" customWidth="1"/>
    <col min="778" max="778" width="25.5703125" customWidth="1"/>
    <col min="779" max="779" width="55.5703125" customWidth="1"/>
    <col min="1022" max="1022" width="24.7109375" customWidth="1"/>
    <col min="1023" max="1023" width="41.140625" customWidth="1"/>
    <col min="1024" max="1024" width="16.5703125" customWidth="1"/>
    <col min="1025" max="1025" width="62.42578125" customWidth="1"/>
    <col min="1026" max="1026" width="14" customWidth="1"/>
    <col min="1034" max="1034" width="25.5703125" customWidth="1"/>
    <col min="1035" max="1035" width="55.5703125" customWidth="1"/>
    <col min="1278" max="1278" width="24.7109375" customWidth="1"/>
    <col min="1279" max="1279" width="41.140625" customWidth="1"/>
    <col min="1280" max="1280" width="16.5703125" customWidth="1"/>
    <col min="1281" max="1281" width="62.42578125" customWidth="1"/>
    <col min="1282" max="1282" width="14" customWidth="1"/>
    <col min="1290" max="1290" width="25.5703125" customWidth="1"/>
    <col min="1291" max="1291" width="55.5703125" customWidth="1"/>
    <col min="1534" max="1534" width="24.7109375" customWidth="1"/>
    <col min="1535" max="1535" width="41.140625" customWidth="1"/>
    <col min="1536" max="1536" width="16.5703125" customWidth="1"/>
    <col min="1537" max="1537" width="62.42578125" customWidth="1"/>
    <col min="1538" max="1538" width="14" customWidth="1"/>
    <col min="1546" max="1546" width="25.5703125" customWidth="1"/>
    <col min="1547" max="1547" width="55.5703125" customWidth="1"/>
    <col min="1790" max="1790" width="24.7109375" customWidth="1"/>
    <col min="1791" max="1791" width="41.140625" customWidth="1"/>
    <col min="1792" max="1792" width="16.5703125" customWidth="1"/>
    <col min="1793" max="1793" width="62.42578125" customWidth="1"/>
    <col min="1794" max="1794" width="14" customWidth="1"/>
    <col min="1802" max="1802" width="25.5703125" customWidth="1"/>
    <col min="1803" max="1803" width="55.5703125" customWidth="1"/>
    <col min="2046" max="2046" width="24.7109375" customWidth="1"/>
    <col min="2047" max="2047" width="41.140625" customWidth="1"/>
    <col min="2048" max="2048" width="16.5703125" customWidth="1"/>
    <col min="2049" max="2049" width="62.42578125" customWidth="1"/>
    <col min="2050" max="2050" width="14" customWidth="1"/>
    <col min="2058" max="2058" width="25.5703125" customWidth="1"/>
    <col min="2059" max="2059" width="55.5703125" customWidth="1"/>
    <col min="2302" max="2302" width="24.7109375" customWidth="1"/>
    <col min="2303" max="2303" width="41.140625" customWidth="1"/>
    <col min="2304" max="2304" width="16.5703125" customWidth="1"/>
    <col min="2305" max="2305" width="62.42578125" customWidth="1"/>
    <col min="2306" max="2306" width="14" customWidth="1"/>
    <col min="2314" max="2314" width="25.5703125" customWidth="1"/>
    <col min="2315" max="2315" width="55.5703125" customWidth="1"/>
    <col min="2558" max="2558" width="24.7109375" customWidth="1"/>
    <col min="2559" max="2559" width="41.140625" customWidth="1"/>
    <col min="2560" max="2560" width="16.5703125" customWidth="1"/>
    <col min="2561" max="2561" width="62.42578125" customWidth="1"/>
    <col min="2562" max="2562" width="14" customWidth="1"/>
    <col min="2570" max="2570" width="25.5703125" customWidth="1"/>
    <col min="2571" max="2571" width="55.5703125" customWidth="1"/>
    <col min="2814" max="2814" width="24.7109375" customWidth="1"/>
    <col min="2815" max="2815" width="41.140625" customWidth="1"/>
    <col min="2816" max="2816" width="16.5703125" customWidth="1"/>
    <col min="2817" max="2817" width="62.42578125" customWidth="1"/>
    <col min="2818" max="2818" width="14" customWidth="1"/>
    <col min="2826" max="2826" width="25.5703125" customWidth="1"/>
    <col min="2827" max="2827" width="55.5703125" customWidth="1"/>
    <col min="3070" max="3070" width="24.7109375" customWidth="1"/>
    <col min="3071" max="3071" width="41.140625" customWidth="1"/>
    <col min="3072" max="3072" width="16.5703125" customWidth="1"/>
    <col min="3073" max="3073" width="62.42578125" customWidth="1"/>
    <col min="3074" max="3074" width="14" customWidth="1"/>
    <col min="3082" max="3082" width="25.5703125" customWidth="1"/>
    <col min="3083" max="3083" width="55.5703125" customWidth="1"/>
    <col min="3326" max="3326" width="24.7109375" customWidth="1"/>
    <col min="3327" max="3327" width="41.140625" customWidth="1"/>
    <col min="3328" max="3328" width="16.5703125" customWidth="1"/>
    <col min="3329" max="3329" width="62.42578125" customWidth="1"/>
    <col min="3330" max="3330" width="14" customWidth="1"/>
    <col min="3338" max="3338" width="25.5703125" customWidth="1"/>
    <col min="3339" max="3339" width="55.5703125" customWidth="1"/>
    <col min="3582" max="3582" width="24.7109375" customWidth="1"/>
    <col min="3583" max="3583" width="41.140625" customWidth="1"/>
    <col min="3584" max="3584" width="16.5703125" customWidth="1"/>
    <col min="3585" max="3585" width="62.42578125" customWidth="1"/>
    <col min="3586" max="3586" width="14" customWidth="1"/>
    <col min="3594" max="3594" width="25.5703125" customWidth="1"/>
    <col min="3595" max="3595" width="55.5703125" customWidth="1"/>
    <col min="3838" max="3838" width="24.7109375" customWidth="1"/>
    <col min="3839" max="3839" width="41.140625" customWidth="1"/>
    <col min="3840" max="3840" width="16.5703125" customWidth="1"/>
    <col min="3841" max="3841" width="62.42578125" customWidth="1"/>
    <col min="3842" max="3842" width="14" customWidth="1"/>
    <col min="3850" max="3850" width="25.5703125" customWidth="1"/>
    <col min="3851" max="3851" width="55.5703125" customWidth="1"/>
    <col min="4094" max="4094" width="24.7109375" customWidth="1"/>
    <col min="4095" max="4095" width="41.140625" customWidth="1"/>
    <col min="4096" max="4096" width="16.5703125" customWidth="1"/>
    <col min="4097" max="4097" width="62.42578125" customWidth="1"/>
    <col min="4098" max="4098" width="14" customWidth="1"/>
    <col min="4106" max="4106" width="25.5703125" customWidth="1"/>
    <col min="4107" max="4107" width="55.5703125" customWidth="1"/>
    <col min="4350" max="4350" width="24.7109375" customWidth="1"/>
    <col min="4351" max="4351" width="41.140625" customWidth="1"/>
    <col min="4352" max="4352" width="16.5703125" customWidth="1"/>
    <col min="4353" max="4353" width="62.42578125" customWidth="1"/>
    <col min="4354" max="4354" width="14" customWidth="1"/>
    <col min="4362" max="4362" width="25.5703125" customWidth="1"/>
    <col min="4363" max="4363" width="55.5703125" customWidth="1"/>
    <col min="4606" max="4606" width="24.7109375" customWidth="1"/>
    <col min="4607" max="4607" width="41.140625" customWidth="1"/>
    <col min="4608" max="4608" width="16.5703125" customWidth="1"/>
    <col min="4609" max="4609" width="62.42578125" customWidth="1"/>
    <col min="4610" max="4610" width="14" customWidth="1"/>
    <col min="4618" max="4618" width="25.5703125" customWidth="1"/>
    <col min="4619" max="4619" width="55.5703125" customWidth="1"/>
    <col min="4862" max="4862" width="24.7109375" customWidth="1"/>
    <col min="4863" max="4863" width="41.140625" customWidth="1"/>
    <col min="4864" max="4864" width="16.5703125" customWidth="1"/>
    <col min="4865" max="4865" width="62.42578125" customWidth="1"/>
    <col min="4866" max="4866" width="14" customWidth="1"/>
    <col min="4874" max="4874" width="25.5703125" customWidth="1"/>
    <col min="4875" max="4875" width="55.5703125" customWidth="1"/>
    <col min="5118" max="5118" width="24.7109375" customWidth="1"/>
    <col min="5119" max="5119" width="41.140625" customWidth="1"/>
    <col min="5120" max="5120" width="16.5703125" customWidth="1"/>
    <col min="5121" max="5121" width="62.42578125" customWidth="1"/>
    <col min="5122" max="5122" width="14" customWidth="1"/>
    <col min="5130" max="5130" width="25.5703125" customWidth="1"/>
    <col min="5131" max="5131" width="55.5703125" customWidth="1"/>
    <col min="5374" max="5374" width="24.7109375" customWidth="1"/>
    <col min="5375" max="5375" width="41.140625" customWidth="1"/>
    <col min="5376" max="5376" width="16.5703125" customWidth="1"/>
    <col min="5377" max="5377" width="62.42578125" customWidth="1"/>
    <col min="5378" max="5378" width="14" customWidth="1"/>
    <col min="5386" max="5386" width="25.5703125" customWidth="1"/>
    <col min="5387" max="5387" width="55.5703125" customWidth="1"/>
    <col min="5630" max="5630" width="24.7109375" customWidth="1"/>
    <col min="5631" max="5631" width="41.140625" customWidth="1"/>
    <col min="5632" max="5632" width="16.5703125" customWidth="1"/>
    <col min="5633" max="5633" width="62.42578125" customWidth="1"/>
    <col min="5634" max="5634" width="14" customWidth="1"/>
    <col min="5642" max="5642" width="25.5703125" customWidth="1"/>
    <col min="5643" max="5643" width="55.5703125" customWidth="1"/>
    <col min="5886" max="5886" width="24.7109375" customWidth="1"/>
    <col min="5887" max="5887" width="41.140625" customWidth="1"/>
    <col min="5888" max="5888" width="16.5703125" customWidth="1"/>
    <col min="5889" max="5889" width="62.42578125" customWidth="1"/>
    <col min="5890" max="5890" width="14" customWidth="1"/>
    <col min="5898" max="5898" width="25.5703125" customWidth="1"/>
    <col min="5899" max="5899" width="55.5703125" customWidth="1"/>
    <col min="6142" max="6142" width="24.7109375" customWidth="1"/>
    <col min="6143" max="6143" width="41.140625" customWidth="1"/>
    <col min="6144" max="6144" width="16.5703125" customWidth="1"/>
    <col min="6145" max="6145" width="62.42578125" customWidth="1"/>
    <col min="6146" max="6146" width="14" customWidth="1"/>
    <col min="6154" max="6154" width="25.5703125" customWidth="1"/>
    <col min="6155" max="6155" width="55.5703125" customWidth="1"/>
    <col min="6398" max="6398" width="24.7109375" customWidth="1"/>
    <col min="6399" max="6399" width="41.140625" customWidth="1"/>
    <col min="6400" max="6400" width="16.5703125" customWidth="1"/>
    <col min="6401" max="6401" width="62.42578125" customWidth="1"/>
    <col min="6402" max="6402" width="14" customWidth="1"/>
    <col min="6410" max="6410" width="25.5703125" customWidth="1"/>
    <col min="6411" max="6411" width="55.5703125" customWidth="1"/>
    <col min="6654" max="6654" width="24.7109375" customWidth="1"/>
    <col min="6655" max="6655" width="41.140625" customWidth="1"/>
    <col min="6656" max="6656" width="16.5703125" customWidth="1"/>
    <col min="6657" max="6657" width="62.42578125" customWidth="1"/>
    <col min="6658" max="6658" width="14" customWidth="1"/>
    <col min="6666" max="6666" width="25.5703125" customWidth="1"/>
    <col min="6667" max="6667" width="55.5703125" customWidth="1"/>
    <col min="6910" max="6910" width="24.7109375" customWidth="1"/>
    <col min="6911" max="6911" width="41.140625" customWidth="1"/>
    <col min="6912" max="6912" width="16.5703125" customWidth="1"/>
    <col min="6913" max="6913" width="62.42578125" customWidth="1"/>
    <col min="6914" max="6914" width="14" customWidth="1"/>
    <col min="6922" max="6922" width="25.5703125" customWidth="1"/>
    <col min="6923" max="6923" width="55.5703125" customWidth="1"/>
    <col min="7166" max="7166" width="24.7109375" customWidth="1"/>
    <col min="7167" max="7167" width="41.140625" customWidth="1"/>
    <col min="7168" max="7168" width="16.5703125" customWidth="1"/>
    <col min="7169" max="7169" width="62.42578125" customWidth="1"/>
    <col min="7170" max="7170" width="14" customWidth="1"/>
    <col min="7178" max="7178" width="25.5703125" customWidth="1"/>
    <col min="7179" max="7179" width="55.5703125" customWidth="1"/>
    <col min="7422" max="7422" width="24.7109375" customWidth="1"/>
    <col min="7423" max="7423" width="41.140625" customWidth="1"/>
    <col min="7424" max="7424" width="16.5703125" customWidth="1"/>
    <col min="7425" max="7425" width="62.42578125" customWidth="1"/>
    <col min="7426" max="7426" width="14" customWidth="1"/>
    <col min="7434" max="7434" width="25.5703125" customWidth="1"/>
    <col min="7435" max="7435" width="55.5703125" customWidth="1"/>
    <col min="7678" max="7678" width="24.7109375" customWidth="1"/>
    <col min="7679" max="7679" width="41.140625" customWidth="1"/>
    <col min="7680" max="7680" width="16.5703125" customWidth="1"/>
    <col min="7681" max="7681" width="62.42578125" customWidth="1"/>
    <col min="7682" max="7682" width="14" customWidth="1"/>
    <col min="7690" max="7690" width="25.5703125" customWidth="1"/>
    <col min="7691" max="7691" width="55.5703125" customWidth="1"/>
    <col min="7934" max="7934" width="24.7109375" customWidth="1"/>
    <col min="7935" max="7935" width="41.140625" customWidth="1"/>
    <col min="7936" max="7936" width="16.5703125" customWidth="1"/>
    <col min="7937" max="7937" width="62.42578125" customWidth="1"/>
    <col min="7938" max="7938" width="14" customWidth="1"/>
    <col min="7946" max="7946" width="25.5703125" customWidth="1"/>
    <col min="7947" max="7947" width="55.5703125" customWidth="1"/>
    <col min="8190" max="8190" width="24.7109375" customWidth="1"/>
    <col min="8191" max="8191" width="41.140625" customWidth="1"/>
    <col min="8192" max="8192" width="16.5703125" customWidth="1"/>
    <col min="8193" max="8193" width="62.42578125" customWidth="1"/>
    <col min="8194" max="8194" width="14" customWidth="1"/>
    <col min="8202" max="8202" width="25.5703125" customWidth="1"/>
    <col min="8203" max="8203" width="55.5703125" customWidth="1"/>
    <col min="8446" max="8446" width="24.7109375" customWidth="1"/>
    <col min="8447" max="8447" width="41.140625" customWidth="1"/>
    <col min="8448" max="8448" width="16.5703125" customWidth="1"/>
    <col min="8449" max="8449" width="62.42578125" customWidth="1"/>
    <col min="8450" max="8450" width="14" customWidth="1"/>
    <col min="8458" max="8458" width="25.5703125" customWidth="1"/>
    <col min="8459" max="8459" width="55.5703125" customWidth="1"/>
    <col min="8702" max="8702" width="24.7109375" customWidth="1"/>
    <col min="8703" max="8703" width="41.140625" customWidth="1"/>
    <col min="8704" max="8704" width="16.5703125" customWidth="1"/>
    <col min="8705" max="8705" width="62.42578125" customWidth="1"/>
    <col min="8706" max="8706" width="14" customWidth="1"/>
    <col min="8714" max="8714" width="25.5703125" customWidth="1"/>
    <col min="8715" max="8715" width="55.5703125" customWidth="1"/>
    <col min="8958" max="8958" width="24.7109375" customWidth="1"/>
    <col min="8959" max="8959" width="41.140625" customWidth="1"/>
    <col min="8960" max="8960" width="16.5703125" customWidth="1"/>
    <col min="8961" max="8961" width="62.42578125" customWidth="1"/>
    <col min="8962" max="8962" width="14" customWidth="1"/>
    <col min="8970" max="8970" width="25.5703125" customWidth="1"/>
    <col min="8971" max="8971" width="55.5703125" customWidth="1"/>
    <col min="9214" max="9214" width="24.7109375" customWidth="1"/>
    <col min="9215" max="9215" width="41.140625" customWidth="1"/>
    <col min="9216" max="9216" width="16.5703125" customWidth="1"/>
    <col min="9217" max="9217" width="62.42578125" customWidth="1"/>
    <col min="9218" max="9218" width="14" customWidth="1"/>
    <col min="9226" max="9226" width="25.5703125" customWidth="1"/>
    <col min="9227" max="9227" width="55.5703125" customWidth="1"/>
    <col min="9470" max="9470" width="24.7109375" customWidth="1"/>
    <col min="9471" max="9471" width="41.140625" customWidth="1"/>
    <col min="9472" max="9472" width="16.5703125" customWidth="1"/>
    <col min="9473" max="9473" width="62.42578125" customWidth="1"/>
    <col min="9474" max="9474" width="14" customWidth="1"/>
    <col min="9482" max="9482" width="25.5703125" customWidth="1"/>
    <col min="9483" max="9483" width="55.5703125" customWidth="1"/>
    <col min="9726" max="9726" width="24.7109375" customWidth="1"/>
    <col min="9727" max="9727" width="41.140625" customWidth="1"/>
    <col min="9728" max="9728" width="16.5703125" customWidth="1"/>
    <col min="9729" max="9729" width="62.42578125" customWidth="1"/>
    <col min="9730" max="9730" width="14" customWidth="1"/>
    <col min="9738" max="9738" width="25.5703125" customWidth="1"/>
    <col min="9739" max="9739" width="55.5703125" customWidth="1"/>
    <col min="9982" max="9982" width="24.7109375" customWidth="1"/>
    <col min="9983" max="9983" width="41.140625" customWidth="1"/>
    <col min="9984" max="9984" width="16.5703125" customWidth="1"/>
    <col min="9985" max="9985" width="62.42578125" customWidth="1"/>
    <col min="9986" max="9986" width="14" customWidth="1"/>
    <col min="9994" max="9994" width="25.5703125" customWidth="1"/>
    <col min="9995" max="9995" width="55.5703125" customWidth="1"/>
    <col min="10238" max="10238" width="24.7109375" customWidth="1"/>
    <col min="10239" max="10239" width="41.140625" customWidth="1"/>
    <col min="10240" max="10240" width="16.5703125" customWidth="1"/>
    <col min="10241" max="10241" width="62.42578125" customWidth="1"/>
    <col min="10242" max="10242" width="14" customWidth="1"/>
    <col min="10250" max="10250" width="25.5703125" customWidth="1"/>
    <col min="10251" max="10251" width="55.5703125" customWidth="1"/>
    <col min="10494" max="10494" width="24.7109375" customWidth="1"/>
    <col min="10495" max="10495" width="41.140625" customWidth="1"/>
    <col min="10496" max="10496" width="16.5703125" customWidth="1"/>
    <col min="10497" max="10497" width="62.42578125" customWidth="1"/>
    <col min="10498" max="10498" width="14" customWidth="1"/>
    <col min="10506" max="10506" width="25.5703125" customWidth="1"/>
    <col min="10507" max="10507" width="55.5703125" customWidth="1"/>
    <col min="10750" max="10750" width="24.7109375" customWidth="1"/>
    <col min="10751" max="10751" width="41.140625" customWidth="1"/>
    <col min="10752" max="10752" width="16.5703125" customWidth="1"/>
    <col min="10753" max="10753" width="62.42578125" customWidth="1"/>
    <col min="10754" max="10754" width="14" customWidth="1"/>
    <col min="10762" max="10762" width="25.5703125" customWidth="1"/>
    <col min="10763" max="10763" width="55.5703125" customWidth="1"/>
    <col min="11006" max="11006" width="24.7109375" customWidth="1"/>
    <col min="11007" max="11007" width="41.140625" customWidth="1"/>
    <col min="11008" max="11008" width="16.5703125" customWidth="1"/>
    <col min="11009" max="11009" width="62.42578125" customWidth="1"/>
    <col min="11010" max="11010" width="14" customWidth="1"/>
    <col min="11018" max="11018" width="25.5703125" customWidth="1"/>
    <col min="11019" max="11019" width="55.5703125" customWidth="1"/>
    <col min="11262" max="11262" width="24.7109375" customWidth="1"/>
    <col min="11263" max="11263" width="41.140625" customWidth="1"/>
    <col min="11264" max="11264" width="16.5703125" customWidth="1"/>
    <col min="11265" max="11265" width="62.42578125" customWidth="1"/>
    <col min="11266" max="11266" width="14" customWidth="1"/>
    <col min="11274" max="11274" width="25.5703125" customWidth="1"/>
    <col min="11275" max="11275" width="55.5703125" customWidth="1"/>
    <col min="11518" max="11518" width="24.7109375" customWidth="1"/>
    <col min="11519" max="11519" width="41.140625" customWidth="1"/>
    <col min="11520" max="11520" width="16.5703125" customWidth="1"/>
    <col min="11521" max="11521" width="62.42578125" customWidth="1"/>
    <col min="11522" max="11522" width="14" customWidth="1"/>
    <col min="11530" max="11530" width="25.5703125" customWidth="1"/>
    <col min="11531" max="11531" width="55.5703125" customWidth="1"/>
    <col min="11774" max="11774" width="24.7109375" customWidth="1"/>
    <col min="11775" max="11775" width="41.140625" customWidth="1"/>
    <col min="11776" max="11776" width="16.5703125" customWidth="1"/>
    <col min="11777" max="11777" width="62.42578125" customWidth="1"/>
    <col min="11778" max="11778" width="14" customWidth="1"/>
    <col min="11786" max="11786" width="25.5703125" customWidth="1"/>
    <col min="11787" max="11787" width="55.5703125" customWidth="1"/>
    <col min="12030" max="12030" width="24.7109375" customWidth="1"/>
    <col min="12031" max="12031" width="41.140625" customWidth="1"/>
    <col min="12032" max="12032" width="16.5703125" customWidth="1"/>
    <col min="12033" max="12033" width="62.42578125" customWidth="1"/>
    <col min="12034" max="12034" width="14" customWidth="1"/>
    <col min="12042" max="12042" width="25.5703125" customWidth="1"/>
    <col min="12043" max="12043" width="55.5703125" customWidth="1"/>
    <col min="12286" max="12286" width="24.7109375" customWidth="1"/>
    <col min="12287" max="12287" width="41.140625" customWidth="1"/>
    <col min="12288" max="12288" width="16.5703125" customWidth="1"/>
    <col min="12289" max="12289" width="62.42578125" customWidth="1"/>
    <col min="12290" max="12290" width="14" customWidth="1"/>
    <col min="12298" max="12298" width="25.5703125" customWidth="1"/>
    <col min="12299" max="12299" width="55.5703125" customWidth="1"/>
    <col min="12542" max="12542" width="24.7109375" customWidth="1"/>
    <col min="12543" max="12543" width="41.140625" customWidth="1"/>
    <col min="12544" max="12544" width="16.5703125" customWidth="1"/>
    <col min="12545" max="12545" width="62.42578125" customWidth="1"/>
    <col min="12546" max="12546" width="14" customWidth="1"/>
    <col min="12554" max="12554" width="25.5703125" customWidth="1"/>
    <col min="12555" max="12555" width="55.5703125" customWidth="1"/>
    <col min="12798" max="12798" width="24.7109375" customWidth="1"/>
    <col min="12799" max="12799" width="41.140625" customWidth="1"/>
    <col min="12800" max="12800" width="16.5703125" customWidth="1"/>
    <col min="12801" max="12801" width="62.42578125" customWidth="1"/>
    <col min="12802" max="12802" width="14" customWidth="1"/>
    <col min="12810" max="12810" width="25.5703125" customWidth="1"/>
    <col min="12811" max="12811" width="55.5703125" customWidth="1"/>
    <col min="13054" max="13054" width="24.7109375" customWidth="1"/>
    <col min="13055" max="13055" width="41.140625" customWidth="1"/>
    <col min="13056" max="13056" width="16.5703125" customWidth="1"/>
    <col min="13057" max="13057" width="62.42578125" customWidth="1"/>
    <col min="13058" max="13058" width="14" customWidth="1"/>
    <col min="13066" max="13066" width="25.5703125" customWidth="1"/>
    <col min="13067" max="13067" width="55.5703125" customWidth="1"/>
    <col min="13310" max="13310" width="24.7109375" customWidth="1"/>
    <col min="13311" max="13311" width="41.140625" customWidth="1"/>
    <col min="13312" max="13312" width="16.5703125" customWidth="1"/>
    <col min="13313" max="13313" width="62.42578125" customWidth="1"/>
    <col min="13314" max="13314" width="14" customWidth="1"/>
    <col min="13322" max="13322" width="25.5703125" customWidth="1"/>
    <col min="13323" max="13323" width="55.5703125" customWidth="1"/>
    <col min="13566" max="13566" width="24.7109375" customWidth="1"/>
    <col min="13567" max="13567" width="41.140625" customWidth="1"/>
    <col min="13568" max="13568" width="16.5703125" customWidth="1"/>
    <col min="13569" max="13569" width="62.42578125" customWidth="1"/>
    <col min="13570" max="13570" width="14" customWidth="1"/>
    <col min="13578" max="13578" width="25.5703125" customWidth="1"/>
    <col min="13579" max="13579" width="55.5703125" customWidth="1"/>
    <col min="13822" max="13822" width="24.7109375" customWidth="1"/>
    <col min="13823" max="13823" width="41.140625" customWidth="1"/>
    <col min="13824" max="13824" width="16.5703125" customWidth="1"/>
    <col min="13825" max="13825" width="62.42578125" customWidth="1"/>
    <col min="13826" max="13826" width="14" customWidth="1"/>
    <col min="13834" max="13834" width="25.5703125" customWidth="1"/>
    <col min="13835" max="13835" width="55.5703125" customWidth="1"/>
    <col min="14078" max="14078" width="24.7109375" customWidth="1"/>
    <col min="14079" max="14079" width="41.140625" customWidth="1"/>
    <col min="14080" max="14080" width="16.5703125" customWidth="1"/>
    <col min="14081" max="14081" width="62.42578125" customWidth="1"/>
    <col min="14082" max="14082" width="14" customWidth="1"/>
    <col min="14090" max="14090" width="25.5703125" customWidth="1"/>
    <col min="14091" max="14091" width="55.5703125" customWidth="1"/>
    <col min="14334" max="14334" width="24.7109375" customWidth="1"/>
    <col min="14335" max="14335" width="41.140625" customWidth="1"/>
    <col min="14336" max="14336" width="16.5703125" customWidth="1"/>
    <col min="14337" max="14337" width="62.42578125" customWidth="1"/>
    <col min="14338" max="14338" width="14" customWidth="1"/>
    <col min="14346" max="14346" width="25.5703125" customWidth="1"/>
    <col min="14347" max="14347" width="55.5703125" customWidth="1"/>
    <col min="14590" max="14590" width="24.7109375" customWidth="1"/>
    <col min="14591" max="14591" width="41.140625" customWidth="1"/>
    <col min="14592" max="14592" width="16.5703125" customWidth="1"/>
    <col min="14593" max="14593" width="62.42578125" customWidth="1"/>
    <col min="14594" max="14594" width="14" customWidth="1"/>
    <col min="14602" max="14602" width="25.5703125" customWidth="1"/>
    <col min="14603" max="14603" width="55.5703125" customWidth="1"/>
    <col min="14846" max="14846" width="24.7109375" customWidth="1"/>
    <col min="14847" max="14847" width="41.140625" customWidth="1"/>
    <col min="14848" max="14848" width="16.5703125" customWidth="1"/>
    <col min="14849" max="14849" width="62.42578125" customWidth="1"/>
    <col min="14850" max="14850" width="14" customWidth="1"/>
    <col min="14858" max="14858" width="25.5703125" customWidth="1"/>
    <col min="14859" max="14859" width="55.5703125" customWidth="1"/>
    <col min="15102" max="15102" width="24.7109375" customWidth="1"/>
    <col min="15103" max="15103" width="41.140625" customWidth="1"/>
    <col min="15104" max="15104" width="16.5703125" customWidth="1"/>
    <col min="15105" max="15105" width="62.42578125" customWidth="1"/>
    <col min="15106" max="15106" width="14" customWidth="1"/>
    <col min="15114" max="15114" width="25.5703125" customWidth="1"/>
    <col min="15115" max="15115" width="55.5703125" customWidth="1"/>
    <col min="15358" max="15358" width="24.7109375" customWidth="1"/>
    <col min="15359" max="15359" width="41.140625" customWidth="1"/>
    <col min="15360" max="15360" width="16.5703125" customWidth="1"/>
    <col min="15361" max="15361" width="62.42578125" customWidth="1"/>
    <col min="15362" max="15362" width="14" customWidth="1"/>
    <col min="15370" max="15370" width="25.5703125" customWidth="1"/>
    <col min="15371" max="15371" width="55.5703125" customWidth="1"/>
    <col min="15614" max="15614" width="24.7109375" customWidth="1"/>
    <col min="15615" max="15615" width="41.140625" customWidth="1"/>
    <col min="15616" max="15616" width="16.5703125" customWidth="1"/>
    <col min="15617" max="15617" width="62.42578125" customWidth="1"/>
    <col min="15618" max="15618" width="14" customWidth="1"/>
    <col min="15626" max="15626" width="25.5703125" customWidth="1"/>
    <col min="15627" max="15627" width="55.5703125" customWidth="1"/>
    <col min="15870" max="15870" width="24.7109375" customWidth="1"/>
    <col min="15871" max="15871" width="41.140625" customWidth="1"/>
    <col min="15872" max="15872" width="16.5703125" customWidth="1"/>
    <col min="15873" max="15873" width="62.42578125" customWidth="1"/>
    <col min="15874" max="15874" width="14" customWidth="1"/>
    <col min="15882" max="15882" width="25.5703125" customWidth="1"/>
    <col min="15883" max="15883" width="55.5703125" customWidth="1"/>
    <col min="16126" max="16126" width="24.7109375" customWidth="1"/>
    <col min="16127" max="16127" width="41.140625" customWidth="1"/>
    <col min="16128" max="16128" width="16.5703125" customWidth="1"/>
    <col min="16129" max="16129" width="62.42578125" customWidth="1"/>
    <col min="16130" max="16130" width="14" customWidth="1"/>
    <col min="16138" max="16138" width="25.5703125" customWidth="1"/>
    <col min="16139" max="16139" width="55.5703125" customWidth="1"/>
  </cols>
  <sheetData>
    <row r="1" spans="1:13" ht="27" customHeight="1" thickBot="1" x14ac:dyDescent="0.3">
      <c r="F1" s="347">
        <f ca="1">NOW()</f>
        <v>45590.797252430559</v>
      </c>
      <c r="M1" s="328"/>
    </row>
    <row r="2" spans="1:13" ht="30" customHeight="1" thickBot="1" x14ac:dyDescent="0.3">
      <c r="A2" s="393" t="s">
        <v>1473</v>
      </c>
      <c r="B2" s="392" t="s">
        <v>1730</v>
      </c>
      <c r="C2" s="349"/>
      <c r="D2" s="430" t="s">
        <v>1799</v>
      </c>
      <c r="E2" s="249" t="s">
        <v>1800</v>
      </c>
      <c r="F2" s="406" t="s">
        <v>92</v>
      </c>
      <c r="I2" s="1"/>
    </row>
    <row r="3" spans="1:13" ht="19.899999999999999" customHeight="1" x14ac:dyDescent="0.25">
      <c r="A3" s="394" t="s">
        <v>1390</v>
      </c>
      <c r="B3" s="460" t="s">
        <v>2547</v>
      </c>
      <c r="C3" s="348"/>
      <c r="E3" s="431"/>
      <c r="F3" s="352" t="str">
        <f t="shared" ref="F3:F16" ca="1" si="0">IF(E3=14,"",IF(C3=0,IF(E3&gt;time,"Időben","Lejárt a határidő"),"Teljesítve"))</f>
        <v>Lejárt a határidő</v>
      </c>
      <c r="I3" s="1"/>
    </row>
    <row r="4" spans="1:13" ht="19.899999999999999" customHeight="1" x14ac:dyDescent="0.25">
      <c r="A4" s="394" t="s">
        <v>1400</v>
      </c>
      <c r="B4" s="460" t="s">
        <v>2581</v>
      </c>
      <c r="C4" s="348"/>
      <c r="E4" s="431"/>
      <c r="F4" s="352" t="str">
        <f t="shared" ca="1" si="0"/>
        <v>Lejárt a határidő</v>
      </c>
      <c r="I4" s="1"/>
      <c r="M4" s="328"/>
    </row>
    <row r="5" spans="1:13" ht="19.899999999999999" customHeight="1" x14ac:dyDescent="0.25">
      <c r="A5" s="394" t="s">
        <v>1415</v>
      </c>
      <c r="B5" s="228" t="s">
        <v>2004</v>
      </c>
      <c r="C5" s="348">
        <f t="shared" ref="C5:C16" si="1">IF(ISNUMBER(MATCH(B5, A:A, 0)),1,0)</f>
        <v>0</v>
      </c>
      <c r="E5" s="431"/>
      <c r="F5" s="352" t="str">
        <f t="shared" ca="1" si="0"/>
        <v>Lejárt a határidő</v>
      </c>
      <c r="I5" s="1"/>
    </row>
    <row r="6" spans="1:13" ht="19.899999999999999" customHeight="1" x14ac:dyDescent="0.25">
      <c r="A6" s="394" t="s">
        <v>1439</v>
      </c>
      <c r="B6" s="21" t="s">
        <v>2588</v>
      </c>
      <c r="C6" s="348">
        <f>IF(ISNUMBER(MATCH(A33, A:A, 0)),1,0)</f>
        <v>1</v>
      </c>
      <c r="E6" s="431"/>
      <c r="F6" s="352" t="str">
        <f t="shared" si="0"/>
        <v>Teljesítve</v>
      </c>
      <c r="I6" s="1"/>
    </row>
    <row r="7" spans="1:13" ht="19.899999999999999" customHeight="1" x14ac:dyDescent="0.25">
      <c r="A7" s="394" t="s">
        <v>1437</v>
      </c>
      <c r="B7" s="228" t="s">
        <v>2628</v>
      </c>
      <c r="C7" s="348">
        <f t="shared" si="1"/>
        <v>1</v>
      </c>
      <c r="E7" s="431"/>
      <c r="F7" s="352" t="str">
        <f t="shared" si="0"/>
        <v>Teljesítve</v>
      </c>
      <c r="I7" s="1"/>
    </row>
    <row r="8" spans="1:13" ht="19.899999999999999" customHeight="1" x14ac:dyDescent="0.25">
      <c r="A8" s="394" t="s">
        <v>1468</v>
      </c>
      <c r="B8" s="2" t="s">
        <v>2730</v>
      </c>
      <c r="C8" s="348">
        <f>IF(ISNUMBER(MATCH(A34, A:A, 0)),1,0)</f>
        <v>1</v>
      </c>
      <c r="E8" s="431"/>
      <c r="F8" s="352" t="str">
        <f t="shared" si="0"/>
        <v>Teljesítve</v>
      </c>
      <c r="I8" s="1"/>
    </row>
    <row r="9" spans="1:13" ht="19.899999999999999" customHeight="1" x14ac:dyDescent="0.25">
      <c r="A9" s="394" t="s">
        <v>1358</v>
      </c>
      <c r="C9" s="348">
        <f>IF(ISNUMBER(MATCH(A31, A:A, 0)),1,0)</f>
        <v>1</v>
      </c>
      <c r="E9" s="431"/>
      <c r="F9" s="352" t="str">
        <f t="shared" si="0"/>
        <v>Teljesítve</v>
      </c>
      <c r="I9" s="1"/>
    </row>
    <row r="10" spans="1:13" ht="19.899999999999999" customHeight="1" x14ac:dyDescent="0.25">
      <c r="A10" s="394" t="s">
        <v>1341</v>
      </c>
      <c r="B10" s="21"/>
      <c r="C10" s="348">
        <f>IF(ISNUMBER(MATCH(A32, A:A, 0)),1,0)</f>
        <v>1</v>
      </c>
      <c r="E10" s="431"/>
      <c r="F10" s="352" t="str">
        <f t="shared" si="0"/>
        <v>Teljesítve</v>
      </c>
      <c r="I10" s="1"/>
    </row>
    <row r="11" spans="1:13" ht="19.899999999999999" customHeight="1" x14ac:dyDescent="0.25">
      <c r="A11" s="394" t="s">
        <v>1335</v>
      </c>
      <c r="B11" s="460" t="s">
        <v>2642</v>
      </c>
      <c r="C11" s="348">
        <f t="shared" si="1"/>
        <v>1</v>
      </c>
      <c r="E11" s="431"/>
      <c r="F11" s="352" t="str">
        <f t="shared" si="0"/>
        <v>Teljesítve</v>
      </c>
      <c r="I11" s="1"/>
    </row>
    <row r="12" spans="1:13" ht="19.899999999999999" customHeight="1" x14ac:dyDescent="0.25">
      <c r="A12" s="394" t="s">
        <v>1342</v>
      </c>
      <c r="B12" s="228"/>
      <c r="C12" s="348">
        <f t="shared" si="1"/>
        <v>0</v>
      </c>
      <c r="E12" s="431"/>
      <c r="F12" s="352" t="str">
        <f t="shared" ca="1" si="0"/>
        <v>Lejárt a határidő</v>
      </c>
      <c r="I12" s="1"/>
    </row>
    <row r="13" spans="1:13" ht="19.899999999999999" customHeight="1" x14ac:dyDescent="0.25">
      <c r="A13" s="395" t="s">
        <v>1792</v>
      </c>
      <c r="B13" s="228" t="s">
        <v>2682</v>
      </c>
      <c r="C13" s="348">
        <f t="shared" si="1"/>
        <v>1</v>
      </c>
      <c r="E13" s="431"/>
      <c r="F13" s="352" t="str">
        <f t="shared" si="0"/>
        <v>Teljesítve</v>
      </c>
      <c r="I13" s="1"/>
    </row>
    <row r="14" spans="1:13" ht="19.899999999999999" customHeight="1" x14ac:dyDescent="0.25">
      <c r="A14" s="395" t="s">
        <v>1370</v>
      </c>
      <c r="B14" s="228" t="s">
        <v>2685</v>
      </c>
      <c r="C14" s="348">
        <f t="shared" si="1"/>
        <v>1</v>
      </c>
      <c r="E14" s="431"/>
      <c r="F14" s="352" t="str">
        <f t="shared" si="0"/>
        <v>Teljesítve</v>
      </c>
      <c r="I14" s="1"/>
    </row>
    <row r="15" spans="1:13" ht="19.899999999999999" customHeight="1" x14ac:dyDescent="0.25">
      <c r="A15" s="395" t="s">
        <v>1380</v>
      </c>
      <c r="B15" s="228" t="s">
        <v>2694</v>
      </c>
      <c r="C15" s="348">
        <f t="shared" si="1"/>
        <v>1</v>
      </c>
      <c r="E15" s="431"/>
      <c r="F15" s="352" t="str">
        <f t="shared" si="0"/>
        <v>Teljesítve</v>
      </c>
      <c r="I15" s="1"/>
    </row>
    <row r="16" spans="1:13" ht="19.899999999999999" customHeight="1" thickBot="1" x14ac:dyDescent="0.3">
      <c r="A16" s="395" t="s">
        <v>1381</v>
      </c>
      <c r="B16" s="228" t="s">
        <v>2698</v>
      </c>
      <c r="C16" s="350">
        <f t="shared" si="1"/>
        <v>1</v>
      </c>
      <c r="D16" s="351"/>
      <c r="E16" s="225"/>
      <c r="F16" s="353" t="str">
        <f t="shared" si="0"/>
        <v>Teljesítve</v>
      </c>
      <c r="I16" s="1"/>
    </row>
    <row r="17" spans="1:12" ht="19.899999999999999" customHeight="1" x14ac:dyDescent="0.25">
      <c r="A17" s="395" t="s">
        <v>1387</v>
      </c>
      <c r="B17" s="228" t="s">
        <v>2702</v>
      </c>
      <c r="C17"/>
      <c r="D17" s="1"/>
      <c r="E17" s="1"/>
      <c r="F17" s="9"/>
    </row>
    <row r="18" spans="1:12" ht="19.899999999999999" customHeight="1" x14ac:dyDescent="0.25">
      <c r="A18" s="395" t="s">
        <v>1804</v>
      </c>
      <c r="B18" s="228" t="s">
        <v>2708</v>
      </c>
      <c r="C18"/>
      <c r="D18" s="1"/>
      <c r="E18" s="1"/>
      <c r="F18" s="9"/>
    </row>
    <row r="19" spans="1:12" ht="19.899999999999999" customHeight="1" x14ac:dyDescent="0.25">
      <c r="A19" s="395" t="s">
        <v>1817</v>
      </c>
      <c r="B19" s="228" t="s">
        <v>2710</v>
      </c>
      <c r="C19"/>
      <c r="D19" s="1"/>
      <c r="E19" s="1"/>
      <c r="F19" s="9"/>
    </row>
    <row r="20" spans="1:12" ht="19.899999999999999" customHeight="1" x14ac:dyDescent="0.25">
      <c r="A20" s="341" t="s">
        <v>1176</v>
      </c>
      <c r="B20" s="2" t="s">
        <v>2787</v>
      </c>
      <c r="C20"/>
      <c r="D20" s="1"/>
      <c r="E20" s="1"/>
      <c r="F20" s="9"/>
    </row>
    <row r="21" spans="1:12" ht="19.899999999999999" customHeight="1" x14ac:dyDescent="0.25">
      <c r="A21" s="341" t="s">
        <v>1786</v>
      </c>
      <c r="B21" s="2" t="s">
        <v>2789</v>
      </c>
      <c r="C21"/>
      <c r="D21" s="1"/>
      <c r="E21" s="1"/>
      <c r="F21" s="9"/>
      <c r="L21" s="9"/>
    </row>
    <row r="22" spans="1:12" ht="19.899999999999999" customHeight="1" x14ac:dyDescent="0.25">
      <c r="A22" s="341" t="s">
        <v>1917</v>
      </c>
      <c r="B22" s="2" t="s">
        <v>2793</v>
      </c>
      <c r="C22"/>
      <c r="D22" s="1"/>
      <c r="E22" s="1"/>
      <c r="F22" s="9"/>
      <c r="L22" s="9"/>
    </row>
    <row r="23" spans="1:12" ht="19.899999999999999" customHeight="1" x14ac:dyDescent="0.25">
      <c r="A23" s="341" t="s">
        <v>1909</v>
      </c>
      <c r="B23" s="2" t="s">
        <v>2670</v>
      </c>
      <c r="C23"/>
      <c r="D23" s="1"/>
      <c r="E23" s="1"/>
      <c r="F23" s="9"/>
    </row>
    <row r="24" spans="1:12" ht="19.899999999999999" customHeight="1" x14ac:dyDescent="0.25">
      <c r="A24" s="21" t="s">
        <v>1910</v>
      </c>
      <c r="B24" s="21" t="s">
        <v>2632</v>
      </c>
      <c r="C24"/>
      <c r="D24" s="1"/>
      <c r="E24" s="1"/>
      <c r="F24" s="9"/>
      <c r="L24" s="9"/>
    </row>
    <row r="25" spans="1:12" ht="19.899999999999999" customHeight="1" x14ac:dyDescent="0.25">
      <c r="A25" s="341" t="s">
        <v>1905</v>
      </c>
      <c r="B25" s="21" t="s">
        <v>2640</v>
      </c>
      <c r="C25"/>
      <c r="D25" s="1"/>
      <c r="E25" s="1"/>
      <c r="F25" s="9"/>
    </row>
    <row r="26" spans="1:12" ht="19.899999999999999" customHeight="1" x14ac:dyDescent="0.25">
      <c r="A26" s="341" t="s">
        <v>1877</v>
      </c>
      <c r="B26" s="2" t="s">
        <v>2638</v>
      </c>
      <c r="E26" s="9">
        <f t="shared" ref="E26:E71" si="2">D26+14</f>
        <v>14</v>
      </c>
    </row>
    <row r="27" spans="1:12" ht="19.899999999999999" customHeight="1" x14ac:dyDescent="0.25">
      <c r="A27" s="341" t="s">
        <v>1849</v>
      </c>
      <c r="B27" s="2"/>
      <c r="E27" s="9">
        <f t="shared" si="2"/>
        <v>14</v>
      </c>
    </row>
    <row r="28" spans="1:12" ht="19.899999999999999" customHeight="1" x14ac:dyDescent="0.25">
      <c r="A28" s="396" t="s">
        <v>1847</v>
      </c>
      <c r="B28" s="2"/>
      <c r="E28" s="9">
        <f t="shared" si="2"/>
        <v>14</v>
      </c>
      <c r="L28" s="9"/>
    </row>
    <row r="29" spans="1:12" ht="19.899999999999999" customHeight="1" x14ac:dyDescent="0.25">
      <c r="A29" s="396" t="s">
        <v>1846</v>
      </c>
      <c r="B29" s="2"/>
      <c r="E29" s="9">
        <f t="shared" si="2"/>
        <v>14</v>
      </c>
      <c r="L29" s="9"/>
    </row>
    <row r="30" spans="1:12" ht="19.899999999999999" customHeight="1" x14ac:dyDescent="0.25">
      <c r="A30" s="228" t="s">
        <v>2111</v>
      </c>
      <c r="B30" s="2"/>
      <c r="E30" s="9">
        <f t="shared" si="2"/>
        <v>14</v>
      </c>
      <c r="J30" s="1"/>
    </row>
    <row r="31" spans="1:12" ht="19.899999999999999" customHeight="1" x14ac:dyDescent="0.25">
      <c r="A31" s="2" t="s">
        <v>2092</v>
      </c>
      <c r="B31" s="2"/>
      <c r="E31" s="9">
        <f t="shared" si="2"/>
        <v>14</v>
      </c>
      <c r="J31" s="1"/>
      <c r="L31" s="9"/>
    </row>
    <row r="32" spans="1:12" ht="19.899999999999999" customHeight="1" x14ac:dyDescent="0.25">
      <c r="A32" s="460" t="s">
        <v>2076</v>
      </c>
      <c r="B32" s="2"/>
      <c r="E32" s="9">
        <f t="shared" si="2"/>
        <v>14</v>
      </c>
      <c r="H32" s="1"/>
      <c r="J32" s="1"/>
    </row>
    <row r="33" spans="1:11" ht="19.899999999999999" customHeight="1" x14ac:dyDescent="0.25">
      <c r="A33" s="228" t="s">
        <v>2033</v>
      </c>
      <c r="B33" s="2"/>
      <c r="E33" s="9">
        <f t="shared" si="2"/>
        <v>14</v>
      </c>
      <c r="H33" s="1"/>
      <c r="J33" s="1"/>
    </row>
    <row r="34" spans="1:11" ht="19.899999999999999" customHeight="1" x14ac:dyDescent="0.25">
      <c r="A34" s="228" t="s">
        <v>2104</v>
      </c>
      <c r="B34" s="2"/>
      <c r="E34" s="9">
        <f t="shared" si="2"/>
        <v>14</v>
      </c>
      <c r="H34" s="1"/>
      <c r="J34" s="1"/>
    </row>
    <row r="35" spans="1:11" ht="19.899999999999999" customHeight="1" x14ac:dyDescent="0.25">
      <c r="A35" s="2" t="s">
        <v>2377</v>
      </c>
      <c r="B35" s="2"/>
      <c r="E35" s="9">
        <f t="shared" si="2"/>
        <v>14</v>
      </c>
      <c r="H35" s="1"/>
      <c r="J35" s="1"/>
    </row>
    <row r="36" spans="1:11" ht="19.899999999999999" customHeight="1" x14ac:dyDescent="0.25">
      <c r="A36" s="308" t="s">
        <v>2295</v>
      </c>
      <c r="B36" s="2"/>
      <c r="E36" s="9">
        <f t="shared" si="2"/>
        <v>14</v>
      </c>
      <c r="H36" s="1"/>
      <c r="J36" s="1"/>
    </row>
    <row r="37" spans="1:11" ht="19.899999999999999" customHeight="1" x14ac:dyDescent="0.25">
      <c r="A37" s="308" t="s">
        <v>2250</v>
      </c>
      <c r="B37" s="18"/>
      <c r="E37" s="9">
        <f t="shared" si="2"/>
        <v>14</v>
      </c>
      <c r="H37" s="1"/>
      <c r="J37" s="1"/>
    </row>
    <row r="38" spans="1:11" s="1" customFormat="1" ht="19.899999999999999" customHeight="1" x14ac:dyDescent="0.25">
      <c r="A38" s="308" t="s">
        <v>2238</v>
      </c>
      <c r="B38" s="2"/>
      <c r="D38" s="9"/>
      <c r="E38" s="9">
        <f t="shared" si="2"/>
        <v>14</v>
      </c>
      <c r="I38"/>
      <c r="K38"/>
    </row>
    <row r="39" spans="1:11" s="1" customFormat="1" ht="19.899999999999999" customHeight="1" x14ac:dyDescent="0.25">
      <c r="A39" s="308" t="s">
        <v>2216</v>
      </c>
      <c r="B39" s="2"/>
      <c r="D39" s="9"/>
      <c r="E39" s="9">
        <f t="shared" si="2"/>
        <v>14</v>
      </c>
      <c r="I39"/>
      <c r="K39"/>
    </row>
    <row r="40" spans="1:11" s="1" customFormat="1" ht="19.899999999999999" customHeight="1" x14ac:dyDescent="0.25">
      <c r="A40" s="308" t="s">
        <v>2204</v>
      </c>
      <c r="B40" s="2"/>
      <c r="D40" s="9"/>
      <c r="E40" s="9">
        <f t="shared" si="2"/>
        <v>14</v>
      </c>
      <c r="I40"/>
      <c r="K40"/>
    </row>
    <row r="41" spans="1:11" s="1" customFormat="1" ht="19.899999999999999" customHeight="1" x14ac:dyDescent="0.25">
      <c r="A41" s="308" t="s">
        <v>2188</v>
      </c>
      <c r="B41" s="2"/>
      <c r="D41" s="9"/>
      <c r="E41" s="9">
        <f t="shared" si="2"/>
        <v>14</v>
      </c>
      <c r="I41"/>
      <c r="K41"/>
    </row>
    <row r="42" spans="1:11" s="1" customFormat="1" ht="19.899999999999999" customHeight="1" x14ac:dyDescent="0.25">
      <c r="A42" s="308" t="s">
        <v>2194</v>
      </c>
      <c r="B42" s="2"/>
      <c r="D42" s="9"/>
      <c r="E42" s="9">
        <f t="shared" si="2"/>
        <v>14</v>
      </c>
      <c r="I42"/>
      <c r="K42"/>
    </row>
    <row r="43" spans="1:11" s="1" customFormat="1" ht="19.899999999999999" customHeight="1" x14ac:dyDescent="0.25">
      <c r="A43" s="308" t="s">
        <v>2198</v>
      </c>
      <c r="B43" s="2"/>
      <c r="D43" s="9"/>
      <c r="E43" s="9">
        <f t="shared" si="2"/>
        <v>14</v>
      </c>
      <c r="I43"/>
      <c r="K43"/>
    </row>
    <row r="44" spans="1:11" s="1" customFormat="1" ht="19.899999999999999" customHeight="1" x14ac:dyDescent="0.25">
      <c r="A44" s="308" t="s">
        <v>2182</v>
      </c>
      <c r="B44" s="2"/>
      <c r="D44" s="9"/>
      <c r="E44" s="9">
        <f t="shared" si="2"/>
        <v>14</v>
      </c>
      <c r="I44"/>
      <c r="K44"/>
    </row>
    <row r="45" spans="1:11" s="1" customFormat="1" ht="19.899999999999999" customHeight="1" x14ac:dyDescent="0.25">
      <c r="A45" s="308" t="s">
        <v>2161</v>
      </c>
      <c r="B45" s="2"/>
      <c r="D45" s="9"/>
      <c r="E45" s="9">
        <f t="shared" si="2"/>
        <v>14</v>
      </c>
      <c r="I45"/>
      <c r="J45"/>
      <c r="K45"/>
    </row>
    <row r="46" spans="1:11" s="1" customFormat="1" ht="19.899999999999999" customHeight="1" x14ac:dyDescent="0.25">
      <c r="A46" s="308" t="s">
        <v>2427</v>
      </c>
      <c r="B46" s="2"/>
      <c r="D46" s="9"/>
      <c r="E46" s="9">
        <f t="shared" si="2"/>
        <v>14</v>
      </c>
      <c r="I46"/>
      <c r="J46"/>
      <c r="K46"/>
    </row>
    <row r="47" spans="1:11" s="1" customFormat="1" ht="19.899999999999999" customHeight="1" x14ac:dyDescent="0.25">
      <c r="A47" s="308" t="s">
        <v>2429</v>
      </c>
      <c r="B47" s="2"/>
      <c r="D47" s="9"/>
      <c r="E47" s="9">
        <f t="shared" si="2"/>
        <v>14</v>
      </c>
      <c r="H47"/>
      <c r="I47"/>
      <c r="J47"/>
      <c r="K47"/>
    </row>
    <row r="48" spans="1:11" s="1" customFormat="1" ht="19.899999999999999" customHeight="1" x14ac:dyDescent="0.25">
      <c r="A48" s="308" t="s">
        <v>2417</v>
      </c>
      <c r="B48" s="2"/>
      <c r="D48" s="9"/>
      <c r="E48" s="9">
        <f t="shared" si="2"/>
        <v>14</v>
      </c>
      <c r="H48"/>
      <c r="I48"/>
      <c r="J48"/>
      <c r="K48"/>
    </row>
    <row r="49" spans="1:11" s="1" customFormat="1" ht="19.899999999999999" customHeight="1" x14ac:dyDescent="0.25">
      <c r="A49" s="308" t="s">
        <v>2396</v>
      </c>
      <c r="B49" s="2"/>
      <c r="D49" s="9"/>
      <c r="E49" s="9">
        <f t="shared" si="2"/>
        <v>14</v>
      </c>
      <c r="H49"/>
      <c r="I49"/>
      <c r="J49"/>
      <c r="K49"/>
    </row>
    <row r="50" spans="1:11" s="1" customFormat="1" ht="19.899999999999999" customHeight="1" x14ac:dyDescent="0.25">
      <c r="A50" s="308" t="s">
        <v>2395</v>
      </c>
      <c r="B50" s="2"/>
      <c r="D50" s="9"/>
      <c r="E50" s="9">
        <f t="shared" si="2"/>
        <v>14</v>
      </c>
      <c r="H50"/>
      <c r="I50"/>
      <c r="J50"/>
      <c r="K50"/>
    </row>
    <row r="51" spans="1:11" s="1" customFormat="1" ht="19.899999999999999" customHeight="1" x14ac:dyDescent="0.25">
      <c r="A51" s="308" t="s">
        <v>2355</v>
      </c>
      <c r="B51" s="2"/>
      <c r="D51" s="9"/>
      <c r="E51" s="9">
        <f t="shared" si="2"/>
        <v>14</v>
      </c>
      <c r="H51"/>
      <c r="I51"/>
      <c r="J51"/>
      <c r="K51"/>
    </row>
    <row r="52" spans="1:11" s="1" customFormat="1" ht="19.899999999999999" customHeight="1" x14ac:dyDescent="0.25">
      <c r="A52" s="308" t="s">
        <v>2290</v>
      </c>
      <c r="B52" s="2"/>
      <c r="D52" s="9"/>
      <c r="E52" s="9">
        <f t="shared" si="2"/>
        <v>14</v>
      </c>
      <c r="H52"/>
      <c r="I52"/>
      <c r="J52"/>
      <c r="K52"/>
    </row>
    <row r="53" spans="1:11" s="1" customFormat="1" ht="19.899999999999999" customHeight="1" x14ac:dyDescent="0.25">
      <c r="A53" s="308" t="s">
        <v>2453</v>
      </c>
      <c r="B53" s="2"/>
      <c r="D53" s="9"/>
      <c r="E53" s="9">
        <f t="shared" si="2"/>
        <v>14</v>
      </c>
      <c r="H53"/>
      <c r="I53"/>
      <c r="J53"/>
      <c r="K53"/>
    </row>
    <row r="54" spans="1:11" s="1" customFormat="1" ht="19.899999999999999" customHeight="1" x14ac:dyDescent="0.25">
      <c r="A54" s="308" t="s">
        <v>2455</v>
      </c>
      <c r="B54" s="2"/>
      <c r="D54" s="9"/>
      <c r="E54" s="9">
        <f t="shared" si="2"/>
        <v>14</v>
      </c>
      <c r="H54"/>
      <c r="I54"/>
      <c r="J54"/>
      <c r="K54"/>
    </row>
    <row r="55" spans="1:11" s="1" customFormat="1" ht="19.899999999999999" customHeight="1" x14ac:dyDescent="0.25">
      <c r="A55" s="308" t="s">
        <v>2457</v>
      </c>
      <c r="B55" s="2"/>
      <c r="D55" s="9"/>
      <c r="E55" s="9">
        <f t="shared" si="2"/>
        <v>14</v>
      </c>
      <c r="H55"/>
      <c r="I55"/>
      <c r="J55"/>
      <c r="K55"/>
    </row>
    <row r="56" spans="1:11" s="1" customFormat="1" ht="19.899999999999999" customHeight="1" x14ac:dyDescent="0.25">
      <c r="A56" s="308" t="s">
        <v>2459</v>
      </c>
      <c r="B56" s="2"/>
      <c r="D56" s="9"/>
      <c r="E56" s="9">
        <f t="shared" si="2"/>
        <v>14</v>
      </c>
      <c r="H56"/>
      <c r="I56"/>
      <c r="J56"/>
      <c r="K56"/>
    </row>
    <row r="57" spans="1:11" s="1" customFormat="1" ht="19.899999999999999" customHeight="1" x14ac:dyDescent="0.25">
      <c r="A57" s="308" t="s">
        <v>2431</v>
      </c>
      <c r="B57" s="2"/>
      <c r="D57" s="9"/>
      <c r="E57" s="9">
        <f t="shared" si="2"/>
        <v>14</v>
      </c>
      <c r="H57"/>
      <c r="I57"/>
      <c r="J57"/>
      <c r="K57"/>
    </row>
    <row r="58" spans="1:11" s="1" customFormat="1" ht="19.899999999999999" customHeight="1" x14ac:dyDescent="0.25">
      <c r="A58" s="308" t="s">
        <v>2433</v>
      </c>
      <c r="B58" s="2"/>
      <c r="D58" s="9"/>
      <c r="E58" s="9">
        <f t="shared" si="2"/>
        <v>14</v>
      </c>
      <c r="H58"/>
      <c r="I58"/>
      <c r="J58"/>
      <c r="K58"/>
    </row>
    <row r="59" spans="1:11" s="1" customFormat="1" ht="19.899999999999999" customHeight="1" x14ac:dyDescent="0.25">
      <c r="A59" s="308" t="s">
        <v>2435</v>
      </c>
      <c r="B59" s="2"/>
      <c r="D59" s="9"/>
      <c r="E59" s="9">
        <f t="shared" si="2"/>
        <v>14</v>
      </c>
      <c r="H59"/>
      <c r="I59"/>
      <c r="J59"/>
      <c r="K59"/>
    </row>
    <row r="60" spans="1:11" s="1" customFormat="1" ht="19.899999999999999" customHeight="1" x14ac:dyDescent="0.25">
      <c r="A60" s="308" t="s">
        <v>2437</v>
      </c>
      <c r="B60" s="2"/>
      <c r="D60" s="9"/>
      <c r="E60" s="9">
        <f t="shared" si="2"/>
        <v>14</v>
      </c>
      <c r="H60"/>
      <c r="I60"/>
      <c r="J60"/>
      <c r="K60"/>
    </row>
    <row r="61" spans="1:11" s="1" customFormat="1" ht="19.899999999999999" customHeight="1" x14ac:dyDescent="0.25">
      <c r="A61" s="308" t="s">
        <v>2406</v>
      </c>
      <c r="B61" s="2"/>
      <c r="D61" s="9"/>
      <c r="E61" s="9">
        <f t="shared" si="2"/>
        <v>14</v>
      </c>
      <c r="H61"/>
      <c r="I61"/>
      <c r="J61"/>
      <c r="K61"/>
    </row>
    <row r="62" spans="1:11" s="1" customFormat="1" ht="19.899999999999999" customHeight="1" x14ac:dyDescent="0.25">
      <c r="A62" s="308" t="s">
        <v>2409</v>
      </c>
      <c r="B62" s="2"/>
      <c r="D62" s="9"/>
      <c r="E62" s="9">
        <f t="shared" si="2"/>
        <v>14</v>
      </c>
      <c r="H62"/>
      <c r="I62"/>
      <c r="J62"/>
      <c r="K62"/>
    </row>
    <row r="63" spans="1:11" s="1" customFormat="1" ht="19.899999999999999" customHeight="1" x14ac:dyDescent="0.25">
      <c r="A63" s="308" t="s">
        <v>2411</v>
      </c>
      <c r="B63" s="2"/>
      <c r="D63" s="9"/>
      <c r="E63" s="9">
        <f t="shared" si="2"/>
        <v>14</v>
      </c>
      <c r="H63"/>
      <c r="I63"/>
      <c r="J63"/>
      <c r="K63"/>
    </row>
    <row r="64" spans="1:11" s="1" customFormat="1" ht="19.899999999999999" customHeight="1" x14ac:dyDescent="0.25">
      <c r="A64" s="308" t="s">
        <v>2412</v>
      </c>
      <c r="B64" s="2"/>
      <c r="D64" s="9"/>
      <c r="E64" s="9">
        <f t="shared" si="2"/>
        <v>14</v>
      </c>
      <c r="H64"/>
      <c r="I64"/>
      <c r="J64"/>
      <c r="K64"/>
    </row>
    <row r="65" spans="1:11" s="1" customFormat="1" ht="19.899999999999999" customHeight="1" x14ac:dyDescent="0.25">
      <c r="A65" s="308" t="s">
        <v>2405</v>
      </c>
      <c r="B65" s="2"/>
      <c r="D65" s="9"/>
      <c r="E65" s="9">
        <f t="shared" si="2"/>
        <v>14</v>
      </c>
      <c r="H65"/>
      <c r="I65"/>
      <c r="J65"/>
      <c r="K65"/>
    </row>
    <row r="66" spans="1:11" s="1" customFormat="1" x14ac:dyDescent="0.25">
      <c r="A66" s="308" t="s">
        <v>2403</v>
      </c>
      <c r="B66" s="2"/>
      <c r="D66" s="9"/>
      <c r="E66" s="9">
        <f t="shared" si="2"/>
        <v>14</v>
      </c>
      <c r="H66"/>
      <c r="I66"/>
      <c r="J66"/>
      <c r="K66"/>
    </row>
    <row r="67" spans="1:11" s="1" customFormat="1" ht="19.899999999999999" customHeight="1" x14ac:dyDescent="0.25">
      <c r="A67" s="308" t="s">
        <v>2401</v>
      </c>
      <c r="B67" s="2"/>
      <c r="D67" s="9"/>
      <c r="E67" s="9">
        <f t="shared" si="2"/>
        <v>14</v>
      </c>
      <c r="H67"/>
      <c r="I67"/>
      <c r="J67"/>
      <c r="K67"/>
    </row>
    <row r="68" spans="1:11" s="1" customFormat="1" ht="19.899999999999999" customHeight="1" x14ac:dyDescent="0.25">
      <c r="A68" s="308" t="s">
        <v>2399</v>
      </c>
      <c r="B68" s="2"/>
      <c r="D68" s="9"/>
      <c r="E68" s="9">
        <f t="shared" si="2"/>
        <v>14</v>
      </c>
      <c r="H68"/>
      <c r="I68"/>
      <c r="J68"/>
      <c r="K68"/>
    </row>
    <row r="69" spans="1:11" s="1" customFormat="1" ht="19.899999999999999" customHeight="1" x14ac:dyDescent="0.25">
      <c r="A69" s="308" t="s">
        <v>2385</v>
      </c>
      <c r="B69" s="2"/>
      <c r="D69" s="9"/>
      <c r="E69" s="9">
        <f t="shared" si="2"/>
        <v>14</v>
      </c>
      <c r="G69" s="496"/>
      <c r="H69"/>
      <c r="I69"/>
      <c r="J69"/>
      <c r="K69"/>
    </row>
    <row r="70" spans="1:11" ht="19.899999999999999" customHeight="1" x14ac:dyDescent="0.25">
      <c r="A70" s="308" t="s">
        <v>2386</v>
      </c>
      <c r="B70" s="2"/>
      <c r="E70" s="9">
        <f t="shared" si="2"/>
        <v>14</v>
      </c>
    </row>
    <row r="71" spans="1:11" ht="29.45" customHeight="1" x14ac:dyDescent="0.25">
      <c r="A71" s="308" t="s">
        <v>2387</v>
      </c>
      <c r="B71" s="2"/>
      <c r="E71" s="9">
        <f t="shared" si="2"/>
        <v>14</v>
      </c>
    </row>
    <row r="72" spans="1:11" x14ac:dyDescent="0.25">
      <c r="A72" s="308" t="s">
        <v>2388</v>
      </c>
      <c r="B72" s="2"/>
      <c r="E72" s="9">
        <f t="shared" ref="E72:E135" si="3">D72+14</f>
        <v>14</v>
      </c>
    </row>
    <row r="73" spans="1:11" x14ac:dyDescent="0.25">
      <c r="A73" s="308" t="s">
        <v>2482</v>
      </c>
      <c r="B73" s="2"/>
      <c r="E73" s="9">
        <f t="shared" si="3"/>
        <v>14</v>
      </c>
    </row>
    <row r="74" spans="1:11" x14ac:dyDescent="0.25">
      <c r="A74" s="308" t="s">
        <v>2480</v>
      </c>
      <c r="B74" s="2"/>
      <c r="E74" s="9">
        <f t="shared" si="3"/>
        <v>14</v>
      </c>
    </row>
    <row r="75" spans="1:11" x14ac:dyDescent="0.25">
      <c r="A75" s="308" t="s">
        <v>2475</v>
      </c>
      <c r="B75" s="2"/>
      <c r="E75" s="9">
        <f t="shared" si="3"/>
        <v>14</v>
      </c>
    </row>
    <row r="76" spans="1:11" x14ac:dyDescent="0.25">
      <c r="A76" s="528" t="s">
        <v>2485</v>
      </c>
      <c r="B76" s="2"/>
      <c r="E76" s="9">
        <f t="shared" si="3"/>
        <v>14</v>
      </c>
    </row>
    <row r="77" spans="1:11" x14ac:dyDescent="0.25">
      <c r="A77" s="308" t="s">
        <v>2670</v>
      </c>
      <c r="B77" s="2"/>
      <c r="E77" s="9">
        <f t="shared" si="3"/>
        <v>14</v>
      </c>
    </row>
    <row r="78" spans="1:11" x14ac:dyDescent="0.25">
      <c r="A78" s="308" t="s">
        <v>2670</v>
      </c>
      <c r="B78" s="2"/>
      <c r="E78" s="9">
        <f t="shared" si="3"/>
        <v>14</v>
      </c>
    </row>
    <row r="79" spans="1:11" x14ac:dyDescent="0.25">
      <c r="A79" s="308" t="s">
        <v>2685</v>
      </c>
      <c r="B79" s="2"/>
      <c r="E79" s="9">
        <f t="shared" si="3"/>
        <v>14</v>
      </c>
    </row>
    <row r="80" spans="1:11" x14ac:dyDescent="0.25">
      <c r="A80" s="308" t="s">
        <v>2682</v>
      </c>
      <c r="B80" s="2"/>
      <c r="E80" s="9">
        <f t="shared" si="3"/>
        <v>14</v>
      </c>
    </row>
    <row r="81" spans="1:5" x14ac:dyDescent="0.25">
      <c r="A81" s="308" t="s">
        <v>2694</v>
      </c>
      <c r="B81" s="2"/>
      <c r="E81" s="9">
        <f t="shared" si="3"/>
        <v>14</v>
      </c>
    </row>
    <row r="82" spans="1:5" x14ac:dyDescent="0.25">
      <c r="A82" s="308" t="s">
        <v>2698</v>
      </c>
      <c r="B82" s="2"/>
      <c r="E82" s="9">
        <f t="shared" si="3"/>
        <v>14</v>
      </c>
    </row>
    <row r="83" spans="1:5" x14ac:dyDescent="0.25">
      <c r="A83" s="308" t="s">
        <v>2710</v>
      </c>
      <c r="E83" s="9">
        <f t="shared" si="3"/>
        <v>14</v>
      </c>
    </row>
    <row r="84" spans="1:5" x14ac:dyDescent="0.25">
      <c r="A84" s="308" t="s">
        <v>2787</v>
      </c>
      <c r="B84" s="2"/>
      <c r="E84" s="9">
        <f t="shared" si="3"/>
        <v>14</v>
      </c>
    </row>
    <row r="85" spans="1:5" x14ac:dyDescent="0.25">
      <c r="A85" s="308" t="s">
        <v>2730</v>
      </c>
      <c r="B85" s="2"/>
      <c r="E85" s="9">
        <f t="shared" si="3"/>
        <v>14</v>
      </c>
    </row>
    <row r="86" spans="1:5" x14ac:dyDescent="0.25">
      <c r="A86" s="308" t="s">
        <v>2581</v>
      </c>
      <c r="B86" s="2"/>
      <c r="E86" s="9">
        <f t="shared" si="3"/>
        <v>14</v>
      </c>
    </row>
    <row r="87" spans="1:5" x14ac:dyDescent="0.25">
      <c r="A87" s="308" t="s">
        <v>2588</v>
      </c>
      <c r="B87" s="2"/>
      <c r="E87" s="9">
        <f t="shared" si="3"/>
        <v>14</v>
      </c>
    </row>
    <row r="88" spans="1:5" x14ac:dyDescent="0.25">
      <c r="A88" s="308" t="s">
        <v>2628</v>
      </c>
      <c r="B88" s="2"/>
      <c r="E88" s="9">
        <f t="shared" si="3"/>
        <v>14</v>
      </c>
    </row>
    <row r="89" spans="1:5" x14ac:dyDescent="0.25">
      <c r="A89" s="308" t="s">
        <v>2632</v>
      </c>
      <c r="B89" s="2"/>
      <c r="E89" s="9">
        <f t="shared" si="3"/>
        <v>14</v>
      </c>
    </row>
    <row r="90" spans="1:5" x14ac:dyDescent="0.25">
      <c r="A90" s="308" t="s">
        <v>2642</v>
      </c>
      <c r="B90" s="2"/>
      <c r="E90" s="9">
        <f t="shared" si="3"/>
        <v>14</v>
      </c>
    </row>
    <row r="91" spans="1:5" x14ac:dyDescent="0.25">
      <c r="A91" t="s">
        <v>2567</v>
      </c>
      <c r="B91" s="2"/>
      <c r="E91" s="9">
        <f t="shared" si="3"/>
        <v>14</v>
      </c>
    </row>
    <row r="92" spans="1:5" x14ac:dyDescent="0.25">
      <c r="A92" s="308" t="s">
        <v>2698</v>
      </c>
      <c r="B92" s="2"/>
      <c r="E92" s="9">
        <f t="shared" si="3"/>
        <v>14</v>
      </c>
    </row>
    <row r="93" spans="1:5" x14ac:dyDescent="0.25">
      <c r="A93" s="308" t="s">
        <v>2638</v>
      </c>
      <c r="B93" s="2"/>
      <c r="E93" s="9">
        <f t="shared" si="3"/>
        <v>14</v>
      </c>
    </row>
    <row r="94" spans="1:5" x14ac:dyDescent="0.25">
      <c r="A94" s="308" t="s">
        <v>2702</v>
      </c>
      <c r="B94" s="2"/>
      <c r="E94" s="9">
        <f t="shared" si="3"/>
        <v>14</v>
      </c>
    </row>
    <row r="95" spans="1:5" x14ac:dyDescent="0.25">
      <c r="A95" s="308" t="s">
        <v>2640</v>
      </c>
      <c r="B95" s="2"/>
      <c r="E95" s="9">
        <f t="shared" si="3"/>
        <v>14</v>
      </c>
    </row>
    <row r="96" spans="1:5" x14ac:dyDescent="0.25">
      <c r="A96" s="18" t="s">
        <v>2390</v>
      </c>
      <c r="B96" s="2"/>
      <c r="E96" s="9">
        <f t="shared" si="3"/>
        <v>14</v>
      </c>
    </row>
    <row r="97" spans="1:5" x14ac:dyDescent="0.25">
      <c r="A97" s="18" t="s">
        <v>2329</v>
      </c>
      <c r="B97" s="2"/>
      <c r="E97" s="9">
        <f t="shared" si="3"/>
        <v>14</v>
      </c>
    </row>
    <row r="98" spans="1:5" x14ac:dyDescent="0.25">
      <c r="A98" s="18" t="s">
        <v>2319</v>
      </c>
      <c r="B98" s="2"/>
      <c r="E98" s="9">
        <f t="shared" si="3"/>
        <v>14</v>
      </c>
    </row>
    <row r="99" spans="1:5" x14ac:dyDescent="0.25">
      <c r="A99" s="18" t="s">
        <v>2357</v>
      </c>
      <c r="B99" s="2"/>
      <c r="E99" s="9">
        <f t="shared" si="3"/>
        <v>14</v>
      </c>
    </row>
    <row r="100" spans="1:5" x14ac:dyDescent="0.25">
      <c r="A100" s="18" t="s">
        <v>2313</v>
      </c>
      <c r="B100" s="2"/>
      <c r="E100" s="9">
        <f t="shared" si="3"/>
        <v>14</v>
      </c>
    </row>
    <row r="101" spans="1:5" x14ac:dyDescent="0.25">
      <c r="A101" s="18" t="s">
        <v>2356</v>
      </c>
      <c r="B101" s="2"/>
      <c r="E101" s="9">
        <f t="shared" si="3"/>
        <v>14</v>
      </c>
    </row>
    <row r="102" spans="1:5" x14ac:dyDescent="0.25">
      <c r="A102" s="18" t="s">
        <v>2362</v>
      </c>
      <c r="B102" s="2"/>
      <c r="E102" s="9">
        <f t="shared" si="3"/>
        <v>14</v>
      </c>
    </row>
    <row r="103" spans="1:5" x14ac:dyDescent="0.25">
      <c r="A103" s="18" t="s">
        <v>2327</v>
      </c>
      <c r="B103" s="2"/>
      <c r="E103" s="9">
        <f t="shared" si="3"/>
        <v>14</v>
      </c>
    </row>
    <row r="104" spans="1:5" x14ac:dyDescent="0.25">
      <c r="A104" s="308"/>
      <c r="B104" s="2"/>
      <c r="E104" s="9">
        <f t="shared" si="3"/>
        <v>14</v>
      </c>
    </row>
    <row r="105" spans="1:5" x14ac:dyDescent="0.25">
      <c r="A105" s="2" t="s">
        <v>2547</v>
      </c>
      <c r="B105" s="2"/>
      <c r="E105" s="9">
        <f t="shared" si="3"/>
        <v>14</v>
      </c>
    </row>
    <row r="106" spans="1:5" x14ac:dyDescent="0.25">
      <c r="A106" s="2" t="s">
        <v>2708</v>
      </c>
      <c r="B106" s="2"/>
      <c r="E106" s="9">
        <f t="shared" si="3"/>
        <v>14</v>
      </c>
    </row>
    <row r="107" spans="1:5" x14ac:dyDescent="0.25">
      <c r="A107" s="2" t="s">
        <v>2769</v>
      </c>
      <c r="B107" s="2"/>
      <c r="E107" s="9">
        <f t="shared" si="3"/>
        <v>14</v>
      </c>
    </row>
    <row r="108" spans="1:5" x14ac:dyDescent="0.25">
      <c r="A108" s="2" t="s">
        <v>2793</v>
      </c>
      <c r="B108" s="2"/>
      <c r="E108" s="9">
        <f t="shared" si="3"/>
        <v>14</v>
      </c>
    </row>
    <row r="109" spans="1:5" x14ac:dyDescent="0.25">
      <c r="A109" s="2" t="s">
        <v>2789</v>
      </c>
      <c r="B109" s="2"/>
      <c r="E109" s="9">
        <f t="shared" si="3"/>
        <v>14</v>
      </c>
    </row>
    <row r="110" spans="1:5" x14ac:dyDescent="0.25">
      <c r="A110" s="2" t="s">
        <v>2799</v>
      </c>
      <c r="B110" s="2"/>
      <c r="E110" s="9">
        <f t="shared" si="3"/>
        <v>14</v>
      </c>
    </row>
    <row r="111" spans="1:5" x14ac:dyDescent="0.25">
      <c r="A111" s="2" t="s">
        <v>2817</v>
      </c>
      <c r="B111" s="2"/>
      <c r="E111" s="9">
        <f t="shared" si="3"/>
        <v>14</v>
      </c>
    </row>
    <row r="112" spans="1:5" x14ac:dyDescent="0.25">
      <c r="A112" s="2" t="s">
        <v>2843</v>
      </c>
      <c r="B112" s="2"/>
      <c r="E112" s="9">
        <f t="shared" si="3"/>
        <v>14</v>
      </c>
    </row>
    <row r="113" spans="1:5" x14ac:dyDescent="0.25">
      <c r="A113" s="2" t="s">
        <v>2842</v>
      </c>
      <c r="B113" s="2"/>
      <c r="E113" s="9">
        <f t="shared" si="3"/>
        <v>14</v>
      </c>
    </row>
    <row r="114" spans="1:5" x14ac:dyDescent="0.25">
      <c r="A114" s="2" t="s">
        <v>2840</v>
      </c>
      <c r="B114" s="2"/>
      <c r="E114" s="9">
        <f t="shared" si="3"/>
        <v>14</v>
      </c>
    </row>
    <row r="115" spans="1:5" x14ac:dyDescent="0.25">
      <c r="A115" s="18" t="s">
        <v>2865</v>
      </c>
      <c r="B115" s="2"/>
      <c r="E115" s="9">
        <f t="shared" si="3"/>
        <v>14</v>
      </c>
    </row>
    <row r="116" spans="1:5" x14ac:dyDescent="0.25">
      <c r="A116" s="308"/>
      <c r="B116" s="2"/>
      <c r="E116" s="9">
        <f t="shared" si="3"/>
        <v>14</v>
      </c>
    </row>
    <row r="117" spans="1:5" x14ac:dyDescent="0.25">
      <c r="A117" s="19" t="s">
        <v>2910</v>
      </c>
      <c r="B117" s="2"/>
      <c r="E117" s="9">
        <f t="shared" si="3"/>
        <v>14</v>
      </c>
    </row>
    <row r="118" spans="1:5" x14ac:dyDescent="0.25">
      <c r="A118" s="13" t="s">
        <v>2861</v>
      </c>
      <c r="B118" s="2"/>
      <c r="E118" s="9">
        <f t="shared" si="3"/>
        <v>14</v>
      </c>
    </row>
    <row r="119" spans="1:5" x14ac:dyDescent="0.25">
      <c r="A119" s="18" t="s">
        <v>2894</v>
      </c>
      <c r="B119" s="2"/>
      <c r="E119" s="9">
        <f t="shared" si="3"/>
        <v>14</v>
      </c>
    </row>
    <row r="120" spans="1:5" x14ac:dyDescent="0.25">
      <c r="A120" s="308"/>
      <c r="B120" s="2"/>
      <c r="E120" s="9">
        <f t="shared" si="3"/>
        <v>14</v>
      </c>
    </row>
    <row r="121" spans="1:5" x14ac:dyDescent="0.25">
      <c r="A121" s="308"/>
      <c r="B121" s="2"/>
      <c r="E121" s="9">
        <f t="shared" si="3"/>
        <v>14</v>
      </c>
    </row>
    <row r="122" spans="1:5" x14ac:dyDescent="0.25">
      <c r="A122" s="308" t="s">
        <v>2609</v>
      </c>
      <c r="B122" s="2"/>
      <c r="E122" s="9">
        <f t="shared" si="3"/>
        <v>14</v>
      </c>
    </row>
    <row r="123" spans="1:5" x14ac:dyDescent="0.25">
      <c r="A123" s="308"/>
      <c r="B123" s="2"/>
      <c r="E123" s="9">
        <f t="shared" si="3"/>
        <v>14</v>
      </c>
    </row>
    <row r="124" spans="1:5" x14ac:dyDescent="0.25">
      <c r="A124" s="308"/>
      <c r="B124" s="2"/>
      <c r="E124" s="9">
        <f t="shared" si="3"/>
        <v>14</v>
      </c>
    </row>
    <row r="125" spans="1:5" x14ac:dyDescent="0.25">
      <c r="A125" s="308"/>
      <c r="B125" s="2"/>
      <c r="E125" s="9">
        <f t="shared" si="3"/>
        <v>14</v>
      </c>
    </row>
    <row r="126" spans="1:5" x14ac:dyDescent="0.25">
      <c r="A126" s="308"/>
      <c r="B126" s="2"/>
      <c r="E126" s="9">
        <f t="shared" si="3"/>
        <v>14</v>
      </c>
    </row>
    <row r="127" spans="1:5" x14ac:dyDescent="0.25">
      <c r="A127" s="308"/>
      <c r="B127" s="2"/>
      <c r="E127" s="9">
        <f t="shared" si="3"/>
        <v>14</v>
      </c>
    </row>
    <row r="128" spans="1:5" x14ac:dyDescent="0.25">
      <c r="A128" s="308"/>
      <c r="B128" s="2"/>
      <c r="E128" s="9">
        <f t="shared" si="3"/>
        <v>14</v>
      </c>
    </row>
    <row r="129" spans="1:5" x14ac:dyDescent="0.25">
      <c r="A129" s="308"/>
      <c r="B129" s="2"/>
      <c r="E129" s="9">
        <f t="shared" si="3"/>
        <v>14</v>
      </c>
    </row>
    <row r="130" spans="1:5" x14ac:dyDescent="0.25">
      <c r="A130" s="308"/>
      <c r="B130" s="2"/>
      <c r="E130" s="9">
        <f t="shared" si="3"/>
        <v>14</v>
      </c>
    </row>
    <row r="131" spans="1:5" x14ac:dyDescent="0.25">
      <c r="A131" s="308"/>
      <c r="B131" s="2"/>
      <c r="E131" s="9">
        <f t="shared" si="3"/>
        <v>14</v>
      </c>
    </row>
    <row r="132" spans="1:5" x14ac:dyDescent="0.25">
      <c r="A132" s="308"/>
      <c r="B132" s="2"/>
      <c r="E132" s="9">
        <f t="shared" si="3"/>
        <v>14</v>
      </c>
    </row>
    <row r="133" spans="1:5" x14ac:dyDescent="0.25">
      <c r="A133" s="308"/>
      <c r="B133" s="2"/>
      <c r="E133" s="9">
        <f t="shared" si="3"/>
        <v>14</v>
      </c>
    </row>
    <row r="134" spans="1:5" x14ac:dyDescent="0.25">
      <c r="A134" s="308"/>
      <c r="B134" s="2"/>
      <c r="E134" s="9">
        <f t="shared" si="3"/>
        <v>14</v>
      </c>
    </row>
    <row r="135" spans="1:5" x14ac:dyDescent="0.25">
      <c r="A135" s="308"/>
      <c r="B135" s="2"/>
      <c r="E135" s="9">
        <f t="shared" si="3"/>
        <v>14</v>
      </c>
    </row>
    <row r="136" spans="1:5" x14ac:dyDescent="0.25">
      <c r="A136" s="308"/>
      <c r="B136" s="2"/>
      <c r="E136" s="9">
        <f t="shared" ref="E136:E199" si="4">D136+14</f>
        <v>14</v>
      </c>
    </row>
    <row r="137" spans="1:5" x14ac:dyDescent="0.25">
      <c r="A137" s="308"/>
      <c r="B137" s="2"/>
      <c r="E137" s="9">
        <f t="shared" si="4"/>
        <v>14</v>
      </c>
    </row>
    <row r="138" spans="1:5" x14ac:dyDescent="0.25">
      <c r="A138" s="308"/>
      <c r="B138" s="2"/>
      <c r="E138" s="9">
        <f t="shared" si="4"/>
        <v>14</v>
      </c>
    </row>
    <row r="139" spans="1:5" x14ac:dyDescent="0.25">
      <c r="A139" s="308"/>
      <c r="B139" s="2"/>
      <c r="E139" s="9">
        <f t="shared" si="4"/>
        <v>14</v>
      </c>
    </row>
    <row r="140" spans="1:5" x14ac:dyDescent="0.25">
      <c r="A140" s="308"/>
      <c r="B140" s="2"/>
      <c r="E140" s="9">
        <f t="shared" si="4"/>
        <v>14</v>
      </c>
    </row>
    <row r="141" spans="1:5" x14ac:dyDescent="0.25">
      <c r="A141" s="308"/>
      <c r="B141" s="2"/>
      <c r="E141" s="9">
        <f t="shared" si="4"/>
        <v>14</v>
      </c>
    </row>
    <row r="142" spans="1:5" x14ac:dyDescent="0.25">
      <c r="A142" s="308"/>
      <c r="B142" s="2"/>
      <c r="E142" s="9">
        <f t="shared" si="4"/>
        <v>14</v>
      </c>
    </row>
    <row r="143" spans="1:5" x14ac:dyDescent="0.25">
      <c r="A143" s="308"/>
      <c r="B143" s="2"/>
      <c r="E143" s="9">
        <f t="shared" si="4"/>
        <v>14</v>
      </c>
    </row>
    <row r="144" spans="1:5" x14ac:dyDescent="0.25">
      <c r="A144" s="308"/>
      <c r="B144" s="2"/>
      <c r="E144" s="9">
        <f t="shared" si="4"/>
        <v>14</v>
      </c>
    </row>
    <row r="145" spans="1:5" x14ac:dyDescent="0.25">
      <c r="A145" s="308"/>
      <c r="B145" s="2"/>
      <c r="E145" s="9">
        <f t="shared" si="4"/>
        <v>14</v>
      </c>
    </row>
    <row r="146" spans="1:5" x14ac:dyDescent="0.25">
      <c r="A146" s="308"/>
      <c r="B146" s="2"/>
      <c r="E146" s="9">
        <f t="shared" si="4"/>
        <v>14</v>
      </c>
    </row>
    <row r="147" spans="1:5" x14ac:dyDescent="0.25">
      <c r="A147" s="308"/>
      <c r="B147" s="2"/>
      <c r="E147" s="9">
        <f t="shared" si="4"/>
        <v>14</v>
      </c>
    </row>
    <row r="148" spans="1:5" x14ac:dyDescent="0.25">
      <c r="A148" s="308"/>
      <c r="B148" s="2"/>
      <c r="E148" s="9">
        <f t="shared" si="4"/>
        <v>14</v>
      </c>
    </row>
    <row r="149" spans="1:5" x14ac:dyDescent="0.25">
      <c r="A149" s="308"/>
      <c r="B149" s="2"/>
      <c r="E149" s="9">
        <f t="shared" si="4"/>
        <v>14</v>
      </c>
    </row>
    <row r="150" spans="1:5" x14ac:dyDescent="0.25">
      <c r="A150" s="308"/>
      <c r="B150" s="2"/>
      <c r="E150" s="9">
        <f t="shared" si="4"/>
        <v>14</v>
      </c>
    </row>
    <row r="151" spans="1:5" x14ac:dyDescent="0.25">
      <c r="A151" s="308"/>
      <c r="B151" s="2"/>
      <c r="E151" s="9">
        <f t="shared" si="4"/>
        <v>14</v>
      </c>
    </row>
    <row r="152" spans="1:5" x14ac:dyDescent="0.25">
      <c r="A152" s="308"/>
      <c r="B152" s="2"/>
      <c r="E152" s="9">
        <f t="shared" si="4"/>
        <v>14</v>
      </c>
    </row>
    <row r="153" spans="1:5" x14ac:dyDescent="0.25">
      <c r="A153" s="308"/>
      <c r="B153" s="2"/>
      <c r="E153" s="9">
        <f t="shared" si="4"/>
        <v>14</v>
      </c>
    </row>
    <row r="154" spans="1:5" x14ac:dyDescent="0.25">
      <c r="A154" s="308"/>
      <c r="B154" s="2"/>
      <c r="E154" s="9">
        <f t="shared" si="4"/>
        <v>14</v>
      </c>
    </row>
    <row r="155" spans="1:5" x14ac:dyDescent="0.25">
      <c r="A155" s="308"/>
      <c r="B155" s="2"/>
      <c r="E155" s="9">
        <f t="shared" si="4"/>
        <v>14</v>
      </c>
    </row>
    <row r="156" spans="1:5" x14ac:dyDescent="0.25">
      <c r="A156" s="308"/>
      <c r="B156" s="2"/>
      <c r="E156" s="9">
        <f t="shared" si="4"/>
        <v>14</v>
      </c>
    </row>
    <row r="157" spans="1:5" x14ac:dyDescent="0.25">
      <c r="A157" s="308"/>
      <c r="B157" s="2"/>
      <c r="E157" s="9">
        <f t="shared" si="4"/>
        <v>14</v>
      </c>
    </row>
    <row r="158" spans="1:5" x14ac:dyDescent="0.25">
      <c r="A158" s="308"/>
      <c r="B158" s="2"/>
      <c r="E158" s="9">
        <f t="shared" si="4"/>
        <v>14</v>
      </c>
    </row>
    <row r="159" spans="1:5" x14ac:dyDescent="0.25">
      <c r="A159" s="308"/>
      <c r="B159" s="2"/>
      <c r="E159" s="9">
        <f t="shared" si="4"/>
        <v>14</v>
      </c>
    </row>
    <row r="160" spans="1:5" x14ac:dyDescent="0.25">
      <c r="A160" s="308"/>
      <c r="B160" s="2"/>
      <c r="E160" s="9">
        <f t="shared" si="4"/>
        <v>14</v>
      </c>
    </row>
    <row r="161" spans="1:5" x14ac:dyDescent="0.25">
      <c r="A161" s="308"/>
      <c r="B161" s="2"/>
      <c r="E161" s="9">
        <f t="shared" si="4"/>
        <v>14</v>
      </c>
    </row>
    <row r="162" spans="1:5" x14ac:dyDescent="0.25">
      <c r="A162" s="308"/>
      <c r="B162" s="2"/>
      <c r="E162" s="9">
        <f t="shared" si="4"/>
        <v>14</v>
      </c>
    </row>
    <row r="163" spans="1:5" x14ac:dyDescent="0.25">
      <c r="A163" s="308"/>
      <c r="B163" s="2"/>
      <c r="E163" s="9">
        <f t="shared" si="4"/>
        <v>14</v>
      </c>
    </row>
    <row r="164" spans="1:5" x14ac:dyDescent="0.25">
      <c r="A164" s="308"/>
      <c r="B164" s="2"/>
      <c r="E164" s="9">
        <f t="shared" si="4"/>
        <v>14</v>
      </c>
    </row>
    <row r="165" spans="1:5" x14ac:dyDescent="0.25">
      <c r="A165" s="308"/>
      <c r="B165" s="2"/>
      <c r="E165" s="9">
        <f t="shared" si="4"/>
        <v>14</v>
      </c>
    </row>
    <row r="166" spans="1:5" x14ac:dyDescent="0.25">
      <c r="A166" s="308"/>
      <c r="B166" s="2"/>
      <c r="E166" s="9">
        <f t="shared" si="4"/>
        <v>14</v>
      </c>
    </row>
    <row r="167" spans="1:5" x14ac:dyDescent="0.25">
      <c r="A167" s="308"/>
      <c r="B167" s="2"/>
      <c r="E167" s="9">
        <f t="shared" si="4"/>
        <v>14</v>
      </c>
    </row>
    <row r="168" spans="1:5" x14ac:dyDescent="0.25">
      <c r="A168" s="308"/>
      <c r="B168" s="2"/>
      <c r="E168" s="9">
        <f t="shared" si="4"/>
        <v>14</v>
      </c>
    </row>
    <row r="169" spans="1:5" x14ac:dyDescent="0.25">
      <c r="A169" s="308"/>
      <c r="B169" s="2"/>
      <c r="E169" s="9">
        <f t="shared" si="4"/>
        <v>14</v>
      </c>
    </row>
    <row r="170" spans="1:5" x14ac:dyDescent="0.25">
      <c r="A170" s="308"/>
      <c r="B170" s="2"/>
      <c r="E170" s="9">
        <f t="shared" si="4"/>
        <v>14</v>
      </c>
    </row>
    <row r="171" spans="1:5" x14ac:dyDescent="0.25">
      <c r="A171" s="308"/>
      <c r="B171" s="2"/>
      <c r="E171" s="9">
        <f t="shared" si="4"/>
        <v>14</v>
      </c>
    </row>
    <row r="172" spans="1:5" x14ac:dyDescent="0.25">
      <c r="A172" s="308"/>
      <c r="B172" s="2"/>
      <c r="E172" s="9">
        <f t="shared" si="4"/>
        <v>14</v>
      </c>
    </row>
    <row r="173" spans="1:5" x14ac:dyDescent="0.25">
      <c r="A173" s="308"/>
      <c r="B173" s="2"/>
      <c r="E173" s="9">
        <f t="shared" si="4"/>
        <v>14</v>
      </c>
    </row>
    <row r="174" spans="1:5" x14ac:dyDescent="0.25">
      <c r="A174" s="308"/>
      <c r="B174" s="2"/>
      <c r="E174" s="9">
        <f t="shared" si="4"/>
        <v>14</v>
      </c>
    </row>
    <row r="175" spans="1:5" x14ac:dyDescent="0.25">
      <c r="A175" s="308"/>
      <c r="B175" s="2"/>
      <c r="E175" s="9">
        <f t="shared" si="4"/>
        <v>14</v>
      </c>
    </row>
    <row r="176" spans="1:5" x14ac:dyDescent="0.25">
      <c r="A176" s="308"/>
      <c r="B176" s="2"/>
      <c r="E176" s="9">
        <f t="shared" si="4"/>
        <v>14</v>
      </c>
    </row>
    <row r="177" spans="1:5" x14ac:dyDescent="0.25">
      <c r="A177" s="308"/>
      <c r="B177" s="2"/>
      <c r="E177" s="9">
        <f t="shared" si="4"/>
        <v>14</v>
      </c>
    </row>
    <row r="178" spans="1:5" x14ac:dyDescent="0.25">
      <c r="A178" s="308"/>
      <c r="B178" s="2"/>
      <c r="E178" s="9">
        <f t="shared" si="4"/>
        <v>14</v>
      </c>
    </row>
    <row r="179" spans="1:5" x14ac:dyDescent="0.25">
      <c r="A179" s="308"/>
      <c r="B179" s="2"/>
      <c r="E179" s="9">
        <f t="shared" si="4"/>
        <v>14</v>
      </c>
    </row>
    <row r="180" spans="1:5" x14ac:dyDescent="0.25">
      <c r="A180" s="308"/>
      <c r="B180" s="2"/>
      <c r="E180" s="9">
        <f t="shared" si="4"/>
        <v>14</v>
      </c>
    </row>
    <row r="181" spans="1:5" x14ac:dyDescent="0.25">
      <c r="A181" s="308"/>
      <c r="B181" s="2"/>
      <c r="E181" s="9">
        <f t="shared" si="4"/>
        <v>14</v>
      </c>
    </row>
    <row r="182" spans="1:5" x14ac:dyDescent="0.25">
      <c r="A182" s="308"/>
      <c r="B182" s="2"/>
      <c r="E182" s="9">
        <f t="shared" si="4"/>
        <v>14</v>
      </c>
    </row>
    <row r="183" spans="1:5" x14ac:dyDescent="0.25">
      <c r="A183" s="308"/>
      <c r="B183" s="2"/>
      <c r="E183" s="9">
        <f t="shared" si="4"/>
        <v>14</v>
      </c>
    </row>
    <row r="184" spans="1:5" x14ac:dyDescent="0.25">
      <c r="A184" s="308"/>
      <c r="B184" s="2"/>
      <c r="E184" s="9">
        <f t="shared" si="4"/>
        <v>14</v>
      </c>
    </row>
    <row r="185" spans="1:5" x14ac:dyDescent="0.25">
      <c r="A185" s="308"/>
      <c r="B185" s="2"/>
      <c r="E185" s="9">
        <f t="shared" si="4"/>
        <v>14</v>
      </c>
    </row>
    <row r="186" spans="1:5" x14ac:dyDescent="0.25">
      <c r="A186" s="308"/>
      <c r="B186" s="2"/>
      <c r="E186" s="9">
        <f t="shared" si="4"/>
        <v>14</v>
      </c>
    </row>
    <row r="187" spans="1:5" x14ac:dyDescent="0.25">
      <c r="A187" s="308"/>
      <c r="B187" s="2"/>
      <c r="E187" s="9">
        <f t="shared" si="4"/>
        <v>14</v>
      </c>
    </row>
    <row r="188" spans="1:5" x14ac:dyDescent="0.25">
      <c r="A188" s="308"/>
      <c r="B188" s="2"/>
      <c r="E188" s="9">
        <f t="shared" si="4"/>
        <v>14</v>
      </c>
    </row>
    <row r="189" spans="1:5" x14ac:dyDescent="0.25">
      <c r="A189" s="308"/>
      <c r="B189" s="2"/>
      <c r="E189" s="9">
        <f t="shared" si="4"/>
        <v>14</v>
      </c>
    </row>
    <row r="190" spans="1:5" x14ac:dyDescent="0.25">
      <c r="A190" s="308"/>
      <c r="B190" s="2"/>
      <c r="E190" s="9">
        <f t="shared" si="4"/>
        <v>14</v>
      </c>
    </row>
    <row r="191" spans="1:5" x14ac:dyDescent="0.25">
      <c r="A191" s="308"/>
      <c r="B191" s="2"/>
      <c r="E191" s="9">
        <f t="shared" si="4"/>
        <v>14</v>
      </c>
    </row>
    <row r="192" spans="1:5" x14ac:dyDescent="0.25">
      <c r="A192" s="308"/>
      <c r="B192" s="2"/>
      <c r="E192" s="9">
        <f t="shared" si="4"/>
        <v>14</v>
      </c>
    </row>
    <row r="193" spans="1:5" x14ac:dyDescent="0.25">
      <c r="A193" s="308"/>
      <c r="B193" s="2"/>
      <c r="E193" s="9">
        <f t="shared" si="4"/>
        <v>14</v>
      </c>
    </row>
    <row r="194" spans="1:5" x14ac:dyDescent="0.25">
      <c r="A194" s="308"/>
      <c r="B194" s="2"/>
      <c r="E194" s="9">
        <f t="shared" si="4"/>
        <v>14</v>
      </c>
    </row>
    <row r="195" spans="1:5" x14ac:dyDescent="0.25">
      <c r="A195" s="308"/>
      <c r="B195" s="2"/>
      <c r="E195" s="9">
        <f t="shared" si="4"/>
        <v>14</v>
      </c>
    </row>
    <row r="196" spans="1:5" x14ac:dyDescent="0.25">
      <c r="A196" s="308"/>
      <c r="B196" s="2"/>
      <c r="E196" s="9">
        <f t="shared" si="4"/>
        <v>14</v>
      </c>
    </row>
    <row r="197" spans="1:5" x14ac:dyDescent="0.25">
      <c r="A197" s="308"/>
      <c r="B197" s="2"/>
      <c r="E197" s="9">
        <f t="shared" si="4"/>
        <v>14</v>
      </c>
    </row>
    <row r="198" spans="1:5" x14ac:dyDescent="0.25">
      <c r="A198" s="308"/>
      <c r="B198" s="2"/>
      <c r="E198" s="9">
        <f t="shared" si="4"/>
        <v>14</v>
      </c>
    </row>
    <row r="199" spans="1:5" x14ac:dyDescent="0.25">
      <c r="A199" s="308"/>
      <c r="B199" s="2"/>
      <c r="E199" s="9">
        <f t="shared" si="4"/>
        <v>14</v>
      </c>
    </row>
    <row r="200" spans="1:5" x14ac:dyDescent="0.25">
      <c r="A200" s="308"/>
      <c r="B200" s="2"/>
      <c r="E200" s="9">
        <f t="shared" ref="E200:E231" si="5">D200+14</f>
        <v>14</v>
      </c>
    </row>
    <row r="201" spans="1:5" x14ac:dyDescent="0.25">
      <c r="A201" s="308"/>
      <c r="B201" s="2"/>
      <c r="E201" s="9">
        <f t="shared" si="5"/>
        <v>14</v>
      </c>
    </row>
    <row r="202" spans="1:5" x14ac:dyDescent="0.25">
      <c r="A202" s="308"/>
      <c r="B202" s="2"/>
      <c r="E202" s="9">
        <f t="shared" si="5"/>
        <v>14</v>
      </c>
    </row>
    <row r="203" spans="1:5" x14ac:dyDescent="0.25">
      <c r="A203" s="308"/>
      <c r="B203" s="2"/>
      <c r="E203" s="9">
        <f t="shared" si="5"/>
        <v>14</v>
      </c>
    </row>
    <row r="204" spans="1:5" x14ac:dyDescent="0.25">
      <c r="A204" s="308"/>
      <c r="B204" s="2"/>
      <c r="E204" s="9">
        <f t="shared" si="5"/>
        <v>14</v>
      </c>
    </row>
    <row r="205" spans="1:5" x14ac:dyDescent="0.25">
      <c r="A205" s="308"/>
      <c r="B205" s="2"/>
      <c r="E205" s="9">
        <f t="shared" si="5"/>
        <v>14</v>
      </c>
    </row>
    <row r="206" spans="1:5" x14ac:dyDescent="0.25">
      <c r="A206" s="308"/>
      <c r="B206" s="2"/>
      <c r="E206" s="9">
        <f t="shared" si="5"/>
        <v>14</v>
      </c>
    </row>
    <row r="207" spans="1:5" x14ac:dyDescent="0.25">
      <c r="A207" s="308"/>
      <c r="B207" s="2"/>
      <c r="E207" s="9">
        <f t="shared" si="5"/>
        <v>14</v>
      </c>
    </row>
    <row r="208" spans="1:5" x14ac:dyDescent="0.25">
      <c r="A208" s="308"/>
      <c r="B208" s="2"/>
      <c r="E208" s="9">
        <f t="shared" si="5"/>
        <v>14</v>
      </c>
    </row>
    <row r="209" spans="1:5" x14ac:dyDescent="0.25">
      <c r="A209" s="308"/>
      <c r="B209" s="2"/>
      <c r="E209" s="9">
        <f t="shared" si="5"/>
        <v>14</v>
      </c>
    </row>
    <row r="210" spans="1:5" x14ac:dyDescent="0.25">
      <c r="A210" s="21"/>
      <c r="B210" s="2"/>
      <c r="E210" s="9">
        <f t="shared" si="5"/>
        <v>14</v>
      </c>
    </row>
    <row r="211" spans="1:5" x14ac:dyDescent="0.25">
      <c r="A211" s="21"/>
      <c r="B211" s="2"/>
      <c r="E211" s="9">
        <f t="shared" si="5"/>
        <v>14</v>
      </c>
    </row>
    <row r="212" spans="1:5" x14ac:dyDescent="0.25">
      <c r="A212" s="21"/>
      <c r="B212" s="2"/>
      <c r="E212" s="9">
        <f t="shared" si="5"/>
        <v>14</v>
      </c>
    </row>
    <row r="213" spans="1:5" x14ac:dyDescent="0.25">
      <c r="A213" s="21"/>
      <c r="B213" s="2"/>
      <c r="E213" s="9">
        <f t="shared" si="5"/>
        <v>14</v>
      </c>
    </row>
    <row r="214" spans="1:5" x14ac:dyDescent="0.25">
      <c r="A214" s="21"/>
      <c r="B214" s="2"/>
      <c r="E214" s="9">
        <f t="shared" si="5"/>
        <v>14</v>
      </c>
    </row>
    <row r="215" spans="1:5" x14ac:dyDescent="0.25">
      <c r="A215" s="21"/>
      <c r="B215" s="2"/>
      <c r="E215" s="9">
        <f t="shared" si="5"/>
        <v>14</v>
      </c>
    </row>
    <row r="216" spans="1:5" x14ac:dyDescent="0.25">
      <c r="A216" s="21"/>
      <c r="B216" s="2"/>
      <c r="E216" s="9">
        <f t="shared" si="5"/>
        <v>14</v>
      </c>
    </row>
    <row r="217" spans="1:5" x14ac:dyDescent="0.25">
      <c r="A217" s="21"/>
      <c r="B217" s="2"/>
      <c r="E217" s="9">
        <f t="shared" si="5"/>
        <v>14</v>
      </c>
    </row>
    <row r="218" spans="1:5" x14ac:dyDescent="0.25">
      <c r="A218" s="21"/>
      <c r="B218" s="2"/>
      <c r="E218" s="9">
        <f t="shared" si="5"/>
        <v>14</v>
      </c>
    </row>
    <row r="219" spans="1:5" x14ac:dyDescent="0.25">
      <c r="A219" s="21"/>
      <c r="B219" s="2"/>
      <c r="E219" s="9">
        <f t="shared" si="5"/>
        <v>14</v>
      </c>
    </row>
    <row r="220" spans="1:5" x14ac:dyDescent="0.25">
      <c r="A220" s="21"/>
      <c r="B220" s="2"/>
      <c r="E220" s="9">
        <f t="shared" si="5"/>
        <v>14</v>
      </c>
    </row>
    <row r="221" spans="1:5" x14ac:dyDescent="0.25">
      <c r="A221" s="21"/>
      <c r="B221" s="2"/>
      <c r="E221" s="9">
        <f t="shared" si="5"/>
        <v>14</v>
      </c>
    </row>
    <row r="222" spans="1:5" x14ac:dyDescent="0.25">
      <c r="A222" s="21"/>
      <c r="B222" s="2"/>
      <c r="E222" s="9">
        <f t="shared" si="5"/>
        <v>14</v>
      </c>
    </row>
    <row r="223" spans="1:5" x14ac:dyDescent="0.25">
      <c r="A223" s="21"/>
      <c r="B223" s="2"/>
      <c r="E223" s="9">
        <f t="shared" si="5"/>
        <v>14</v>
      </c>
    </row>
    <row r="224" spans="1:5" x14ac:dyDescent="0.25">
      <c r="A224" s="21"/>
      <c r="B224" s="2"/>
      <c r="E224" s="9">
        <f t="shared" si="5"/>
        <v>14</v>
      </c>
    </row>
    <row r="225" spans="1:5" x14ac:dyDescent="0.25">
      <c r="A225" s="21"/>
      <c r="B225" s="2"/>
      <c r="E225" s="9">
        <f t="shared" si="5"/>
        <v>14</v>
      </c>
    </row>
    <row r="226" spans="1:5" x14ac:dyDescent="0.25">
      <c r="A226" s="21"/>
      <c r="B226" s="2"/>
      <c r="E226" s="9">
        <f t="shared" si="5"/>
        <v>14</v>
      </c>
    </row>
    <row r="227" spans="1:5" x14ac:dyDescent="0.25">
      <c r="E227" s="9">
        <f t="shared" si="5"/>
        <v>14</v>
      </c>
    </row>
    <row r="228" spans="1:5" x14ac:dyDescent="0.25">
      <c r="E228" s="9">
        <f t="shared" si="5"/>
        <v>14</v>
      </c>
    </row>
    <row r="229" spans="1:5" x14ac:dyDescent="0.25">
      <c r="E229" s="9">
        <f t="shared" si="5"/>
        <v>14</v>
      </c>
    </row>
    <row r="230" spans="1:5" x14ac:dyDescent="0.25">
      <c r="E230" s="9">
        <f t="shared" si="5"/>
        <v>14</v>
      </c>
    </row>
    <row r="231" spans="1:5" x14ac:dyDescent="0.25">
      <c r="E231" s="9">
        <f t="shared" si="5"/>
        <v>14</v>
      </c>
    </row>
  </sheetData>
  <sortState ref="K27:L31">
    <sortCondition descending="1" ref="L26:L31"/>
  </sortState>
  <conditionalFormatting sqref="A8:A10 A1:B7 A11:B26 A84:B90 A83 B8 A92:B95 B91 A38:B82 A104:B104 B96:B103 A36:A37 A27:A34 A116:B116 B105:B115 A120:B1048576 B117:B119">
    <cfRule type="duplicateValues" dxfId="913" priority="11"/>
  </conditionalFormatting>
  <conditionalFormatting sqref="F1:F1048576">
    <cfRule type="cellIs" dxfId="912" priority="7" operator="equal">
      <formula>"Időben"</formula>
    </cfRule>
    <cfRule type="cellIs" dxfId="911" priority="9" operator="equal">
      <formula>"Lejárt a határidő"</formula>
    </cfRule>
  </conditionalFormatting>
  <conditionalFormatting sqref="H9">
    <cfRule type="cellIs" dxfId="910" priority="8" operator="equal">
      <formula>"Időben"</formula>
    </cfRule>
  </conditionalFormatting>
  <conditionalFormatting sqref="B10">
    <cfRule type="duplicateValues" dxfId="909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C44"/>
  <sheetViews>
    <sheetView workbookViewId="0">
      <selection activeCell="A35" sqref="A35"/>
    </sheetView>
  </sheetViews>
  <sheetFormatPr defaultRowHeight="15" x14ac:dyDescent="0.25"/>
  <cols>
    <col min="1" max="3" width="21.7109375" customWidth="1"/>
  </cols>
  <sheetData>
    <row r="1" spans="1:3" ht="16.5" thickBot="1" x14ac:dyDescent="0.3">
      <c r="A1" s="46" t="s">
        <v>302</v>
      </c>
      <c r="B1" s="47" t="s">
        <v>303</v>
      </c>
      <c r="C1" s="48" t="s">
        <v>304</v>
      </c>
    </row>
    <row r="2" spans="1:3" ht="15.75" x14ac:dyDescent="0.25">
      <c r="A2" s="49" t="s">
        <v>2</v>
      </c>
      <c r="B2" s="50" t="s">
        <v>305</v>
      </c>
      <c r="C2" s="51" t="s">
        <v>306</v>
      </c>
    </row>
    <row r="3" spans="1:3" ht="15.75" x14ac:dyDescent="0.25">
      <c r="A3" s="52" t="s">
        <v>3</v>
      </c>
      <c r="B3" s="53" t="s">
        <v>305</v>
      </c>
      <c r="C3" s="54" t="s">
        <v>307</v>
      </c>
    </row>
    <row r="4" spans="1:3" ht="15.75" x14ac:dyDescent="0.25">
      <c r="A4" s="52" t="s">
        <v>4</v>
      </c>
      <c r="B4" s="53" t="s">
        <v>308</v>
      </c>
      <c r="C4" s="54" t="s">
        <v>309</v>
      </c>
    </row>
    <row r="5" spans="1:3" ht="16.5" thickBot="1" x14ac:dyDescent="0.3">
      <c r="A5" s="55" t="s">
        <v>5</v>
      </c>
      <c r="B5" s="56" t="s">
        <v>308</v>
      </c>
      <c r="C5" s="57" t="s">
        <v>310</v>
      </c>
    </row>
    <row r="6" spans="1:3" ht="15.75" x14ac:dyDescent="0.25">
      <c r="A6" s="58" t="s">
        <v>6</v>
      </c>
      <c r="B6" s="59" t="s">
        <v>311</v>
      </c>
      <c r="C6" s="60" t="s">
        <v>312</v>
      </c>
    </row>
    <row r="7" spans="1:3" ht="15.75" x14ac:dyDescent="0.25">
      <c r="A7" s="61" t="s">
        <v>7</v>
      </c>
      <c r="B7" s="62" t="s">
        <v>311</v>
      </c>
      <c r="C7" s="63" t="s">
        <v>313</v>
      </c>
    </row>
    <row r="8" spans="1:3" ht="15.75" x14ac:dyDescent="0.25">
      <c r="A8" s="61" t="s">
        <v>8</v>
      </c>
      <c r="B8" s="62" t="s">
        <v>311</v>
      </c>
      <c r="C8" s="63" t="s">
        <v>314</v>
      </c>
    </row>
    <row r="9" spans="1:3" ht="15.75" x14ac:dyDescent="0.25">
      <c r="A9" s="61" t="s">
        <v>9</v>
      </c>
      <c r="B9" s="62" t="s">
        <v>311</v>
      </c>
      <c r="C9" s="63" t="s">
        <v>315</v>
      </c>
    </row>
    <row r="10" spans="1:3" ht="15.75" x14ac:dyDescent="0.25">
      <c r="A10" s="61" t="s">
        <v>10</v>
      </c>
      <c r="B10" s="62" t="s">
        <v>311</v>
      </c>
      <c r="C10" s="63" t="s">
        <v>316</v>
      </c>
    </row>
    <row r="11" spans="1:3" ht="15.75" x14ac:dyDescent="0.25">
      <c r="A11" s="61" t="s">
        <v>11</v>
      </c>
      <c r="B11" s="62" t="s">
        <v>311</v>
      </c>
      <c r="C11" s="63" t="s">
        <v>317</v>
      </c>
    </row>
    <row r="12" spans="1:3" ht="15.75" x14ac:dyDescent="0.25">
      <c r="A12" s="61" t="s">
        <v>12</v>
      </c>
      <c r="B12" s="62" t="s">
        <v>311</v>
      </c>
      <c r="C12" s="63" t="s">
        <v>318</v>
      </c>
    </row>
    <row r="13" spans="1:3" ht="15.75" x14ac:dyDescent="0.25">
      <c r="A13" s="61" t="s">
        <v>13</v>
      </c>
      <c r="B13" s="62" t="s">
        <v>311</v>
      </c>
      <c r="C13" s="63" t="s">
        <v>319</v>
      </c>
    </row>
    <row r="14" spans="1:3" ht="15.75" x14ac:dyDescent="0.25">
      <c r="A14" s="61" t="s">
        <v>14</v>
      </c>
      <c r="B14" s="62" t="s">
        <v>311</v>
      </c>
      <c r="C14" s="63" t="s">
        <v>320</v>
      </c>
    </row>
    <row r="15" spans="1:3" ht="16.5" thickBot="1" x14ac:dyDescent="0.3">
      <c r="A15" s="64" t="s">
        <v>15</v>
      </c>
      <c r="B15" s="65" t="s">
        <v>311</v>
      </c>
      <c r="C15" s="66" t="s">
        <v>321</v>
      </c>
    </row>
    <row r="16" spans="1:3" ht="15.75" x14ac:dyDescent="0.25">
      <c r="A16" s="67" t="s">
        <v>16</v>
      </c>
      <c r="B16" s="68" t="s">
        <v>311</v>
      </c>
      <c r="C16" s="69" t="s">
        <v>322</v>
      </c>
    </row>
    <row r="17" spans="1:3" ht="15.75" x14ac:dyDescent="0.25">
      <c r="A17" s="70" t="s">
        <v>17</v>
      </c>
      <c r="B17" s="71" t="s">
        <v>311</v>
      </c>
      <c r="C17" s="72" t="s">
        <v>323</v>
      </c>
    </row>
    <row r="18" spans="1:3" ht="15.75" x14ac:dyDescent="0.25">
      <c r="A18" s="70" t="s">
        <v>18</v>
      </c>
      <c r="B18" s="71" t="s">
        <v>311</v>
      </c>
      <c r="C18" s="72" t="s">
        <v>207</v>
      </c>
    </row>
    <row r="19" spans="1:3" ht="15.75" x14ac:dyDescent="0.25">
      <c r="A19" s="70" t="s">
        <v>19</v>
      </c>
      <c r="B19" s="71" t="s">
        <v>311</v>
      </c>
      <c r="C19" s="72" t="s">
        <v>324</v>
      </c>
    </row>
    <row r="20" spans="1:3" ht="15.75" x14ac:dyDescent="0.25">
      <c r="A20" s="70" t="s">
        <v>20</v>
      </c>
      <c r="B20" s="71" t="s">
        <v>311</v>
      </c>
      <c r="C20" s="72" t="s">
        <v>325</v>
      </c>
    </row>
    <row r="21" spans="1:3" ht="16.5" thickBot="1" x14ac:dyDescent="0.3">
      <c r="A21" s="73" t="s">
        <v>21</v>
      </c>
      <c r="B21" s="74" t="s">
        <v>311</v>
      </c>
      <c r="C21" s="75" t="s">
        <v>326</v>
      </c>
    </row>
    <row r="22" spans="1:3" ht="15.75" x14ac:dyDescent="0.25">
      <c r="A22" s="76" t="s">
        <v>22</v>
      </c>
      <c r="B22" s="77" t="s">
        <v>311</v>
      </c>
      <c r="C22" s="78" t="s">
        <v>327</v>
      </c>
    </row>
    <row r="23" spans="1:3" ht="16.5" thickBot="1" x14ac:dyDescent="0.3">
      <c r="A23" s="79" t="s">
        <v>23</v>
      </c>
      <c r="B23" s="80" t="s">
        <v>311</v>
      </c>
      <c r="C23" s="81" t="s">
        <v>328</v>
      </c>
    </row>
    <row r="24" spans="1:3" ht="15.75" x14ac:dyDescent="0.25">
      <c r="A24" s="82" t="s">
        <v>24</v>
      </c>
      <c r="B24" s="83" t="s">
        <v>311</v>
      </c>
      <c r="C24" s="84" t="s">
        <v>329</v>
      </c>
    </row>
    <row r="25" spans="1:3" ht="15.75" x14ac:dyDescent="0.25">
      <c r="A25" s="70" t="s">
        <v>25</v>
      </c>
      <c r="B25" s="71" t="s">
        <v>311</v>
      </c>
      <c r="C25" s="72" t="s">
        <v>330</v>
      </c>
    </row>
    <row r="26" spans="1:3" ht="16.5" thickBot="1" x14ac:dyDescent="0.3">
      <c r="A26" s="85" t="s">
        <v>26</v>
      </c>
      <c r="B26" s="86" t="s">
        <v>311</v>
      </c>
      <c r="C26" s="87" t="s">
        <v>331</v>
      </c>
    </row>
    <row r="27" spans="1:3" ht="15.75" x14ac:dyDescent="0.25">
      <c r="A27" s="88" t="s">
        <v>77</v>
      </c>
      <c r="B27" s="89" t="s">
        <v>332</v>
      </c>
      <c r="C27" s="90" t="s">
        <v>333</v>
      </c>
    </row>
    <row r="28" spans="1:3" ht="15.75" x14ac:dyDescent="0.25">
      <c r="A28" s="91" t="s">
        <v>78</v>
      </c>
      <c r="B28" s="92" t="s">
        <v>332</v>
      </c>
      <c r="C28" s="93" t="s">
        <v>334</v>
      </c>
    </row>
    <row r="29" spans="1:3" ht="15.75" x14ac:dyDescent="0.25">
      <c r="A29" s="91" t="s">
        <v>79</v>
      </c>
      <c r="B29" s="92" t="s">
        <v>332</v>
      </c>
      <c r="C29" s="93" t="s">
        <v>335</v>
      </c>
    </row>
    <row r="30" spans="1:3" ht="15.75" x14ac:dyDescent="0.25">
      <c r="A30" s="91" t="s">
        <v>80</v>
      </c>
      <c r="B30" s="92" t="s">
        <v>332</v>
      </c>
      <c r="C30" s="93" t="s">
        <v>336</v>
      </c>
    </row>
    <row r="31" spans="1:3" ht="15.75" x14ac:dyDescent="0.25">
      <c r="A31" s="91" t="s">
        <v>81</v>
      </c>
      <c r="B31" s="92" t="s">
        <v>332</v>
      </c>
      <c r="C31" s="93" t="s">
        <v>337</v>
      </c>
    </row>
    <row r="32" spans="1:3" ht="15.75" x14ac:dyDescent="0.25">
      <c r="A32" s="91" t="s">
        <v>141</v>
      </c>
      <c r="B32" s="92" t="s">
        <v>338</v>
      </c>
      <c r="C32" s="93" t="s">
        <v>339</v>
      </c>
    </row>
    <row r="33" spans="1:3" ht="15.75" x14ac:dyDescent="0.25">
      <c r="A33" s="91" t="s">
        <v>142</v>
      </c>
      <c r="B33" s="92" t="s">
        <v>338</v>
      </c>
      <c r="C33" s="93" t="s">
        <v>340</v>
      </c>
    </row>
    <row r="34" spans="1:3" ht="15.75" x14ac:dyDescent="0.25">
      <c r="A34" s="91" t="s">
        <v>2449</v>
      </c>
      <c r="B34" s="92" t="s">
        <v>2831</v>
      </c>
      <c r="C34" s="93" t="s">
        <v>2830</v>
      </c>
    </row>
    <row r="35" spans="1:3" ht="15.75" x14ac:dyDescent="0.25">
      <c r="A35" s="91" t="s">
        <v>157</v>
      </c>
      <c r="B35" s="92" t="s">
        <v>341</v>
      </c>
      <c r="C35" s="93" t="s">
        <v>342</v>
      </c>
    </row>
    <row r="36" spans="1:3" ht="15.75" x14ac:dyDescent="0.25">
      <c r="A36" s="91" t="s">
        <v>158</v>
      </c>
      <c r="B36" s="92" t="s">
        <v>341</v>
      </c>
      <c r="C36" s="93" t="s">
        <v>343</v>
      </c>
    </row>
    <row r="37" spans="1:3" ht="16.5" thickBot="1" x14ac:dyDescent="0.3">
      <c r="A37" s="94" t="s">
        <v>344</v>
      </c>
      <c r="B37" s="95" t="s">
        <v>345</v>
      </c>
      <c r="C37" s="96" t="s">
        <v>346</v>
      </c>
    </row>
    <row r="38" spans="1:3" ht="15.75" x14ac:dyDescent="0.25">
      <c r="A38" s="49" t="s">
        <v>347</v>
      </c>
      <c r="B38" s="50" t="s">
        <v>348</v>
      </c>
      <c r="C38" s="51" t="s">
        <v>349</v>
      </c>
    </row>
    <row r="39" spans="1:3" ht="15.75" x14ac:dyDescent="0.25">
      <c r="A39" s="52" t="s">
        <v>347</v>
      </c>
      <c r="B39" s="53" t="s">
        <v>350</v>
      </c>
      <c r="C39" s="54" t="s">
        <v>351</v>
      </c>
    </row>
    <row r="40" spans="1:3" ht="15.75" x14ac:dyDescent="0.25">
      <c r="A40" s="52" t="s">
        <v>352</v>
      </c>
      <c r="B40" s="97" t="s">
        <v>353</v>
      </c>
      <c r="C40" s="54" t="s">
        <v>354</v>
      </c>
    </row>
    <row r="41" spans="1:3" ht="16.5" thickBot="1" x14ac:dyDescent="0.3">
      <c r="A41" s="55" t="s">
        <v>347</v>
      </c>
      <c r="B41" s="98" t="s">
        <v>355</v>
      </c>
      <c r="C41" s="57" t="s">
        <v>356</v>
      </c>
    </row>
    <row r="42" spans="1:3" ht="16.5" thickBot="1" x14ac:dyDescent="0.3">
      <c r="A42" s="99" t="s">
        <v>545</v>
      </c>
      <c r="B42" s="100" t="s">
        <v>547</v>
      </c>
      <c r="C42" s="113" t="s">
        <v>546</v>
      </c>
    </row>
    <row r="43" spans="1:3" ht="16.5" thickBot="1" x14ac:dyDescent="0.3">
      <c r="A43" s="99" t="s">
        <v>891</v>
      </c>
      <c r="B43" s="100" t="s">
        <v>891</v>
      </c>
      <c r="C43" s="113">
        <v>10817</v>
      </c>
    </row>
    <row r="44" spans="1:3" ht="16.5" thickBot="1" x14ac:dyDescent="0.3">
      <c r="A44" s="99" t="s">
        <v>194</v>
      </c>
      <c r="B44" s="100" t="s">
        <v>357</v>
      </c>
      <c r="C44" s="101" t="s">
        <v>358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6">
    <pageSetUpPr fitToPage="1"/>
  </sheetPr>
  <dimension ref="A1:J32"/>
  <sheetViews>
    <sheetView topLeftCell="A25" zoomScale="85" zoomScaleNormal="85" workbookViewId="0">
      <selection activeCell="K28" sqref="K28"/>
    </sheetView>
  </sheetViews>
  <sheetFormatPr defaultRowHeight="15" x14ac:dyDescent="0.25"/>
  <cols>
    <col min="1" max="1" width="19.85546875" style="1" customWidth="1"/>
    <col min="2" max="2" width="23.140625" style="1" customWidth="1"/>
    <col min="3" max="3" width="22.28515625" style="1" hidden="1" customWidth="1"/>
    <col min="4" max="4" width="28.28515625" style="1" customWidth="1"/>
    <col min="5" max="5" width="32.5703125" style="1" customWidth="1"/>
    <col min="6" max="6" width="20.7109375" style="1" hidden="1" customWidth="1"/>
    <col min="7" max="7" width="23.28515625" style="1" customWidth="1"/>
    <col min="8" max="8" width="26.42578125" style="1" customWidth="1"/>
    <col min="9" max="9" width="16.7109375" style="1" customWidth="1"/>
    <col min="10" max="10" width="10.28515625" style="1" bestFit="1" customWidth="1"/>
  </cols>
  <sheetData>
    <row r="1" spans="1:8" ht="80.45" customHeight="1" thickBot="1" x14ac:dyDescent="0.3">
      <c r="A1" s="520" t="s">
        <v>344</v>
      </c>
      <c r="B1" s="500" t="s">
        <v>2661</v>
      </c>
      <c r="C1" s="500" t="s">
        <v>2310</v>
      </c>
      <c r="D1" s="452" t="s">
        <v>2649</v>
      </c>
      <c r="E1" s="501" t="s">
        <v>2662</v>
      </c>
      <c r="F1" s="500" t="s">
        <v>2311</v>
      </c>
      <c r="G1" s="500" t="s">
        <v>2650</v>
      </c>
      <c r="H1" s="509" t="s">
        <v>2651</v>
      </c>
    </row>
    <row r="2" spans="1:8" ht="49.9" customHeight="1" x14ac:dyDescent="0.25">
      <c r="A2" s="150" t="s">
        <v>585</v>
      </c>
      <c r="B2" s="456" t="s">
        <v>306</v>
      </c>
      <c r="C2" s="141"/>
      <c r="D2" s="495">
        <v>45447</v>
      </c>
      <c r="E2" s="495">
        <v>45447</v>
      </c>
      <c r="F2" s="2"/>
      <c r="G2" s="166">
        <v>2490</v>
      </c>
      <c r="H2" s="407" t="s">
        <v>2480</v>
      </c>
    </row>
    <row r="3" spans="1:8" ht="49.9" customHeight="1" x14ac:dyDescent="0.25">
      <c r="A3" s="151" t="s">
        <v>587</v>
      </c>
      <c r="B3" s="457" t="s">
        <v>307</v>
      </c>
      <c r="C3" s="141"/>
      <c r="D3" s="495">
        <v>45447</v>
      </c>
      <c r="E3" s="495">
        <v>45447</v>
      </c>
      <c r="F3" s="2"/>
      <c r="G3" s="166">
        <v>2180</v>
      </c>
      <c r="H3" s="407" t="s">
        <v>2475</v>
      </c>
    </row>
    <row r="4" spans="1:8" ht="49.9" customHeight="1" x14ac:dyDescent="0.25">
      <c r="A4" s="151" t="s">
        <v>588</v>
      </c>
      <c r="B4" s="457" t="s">
        <v>309</v>
      </c>
      <c r="C4" s="141"/>
      <c r="D4" s="495">
        <v>45434</v>
      </c>
      <c r="E4" s="495">
        <v>45434</v>
      </c>
      <c r="F4" s="2"/>
      <c r="G4" s="166">
        <v>2092</v>
      </c>
      <c r="H4" s="407" t="s">
        <v>2453</v>
      </c>
    </row>
    <row r="5" spans="1:8" ht="49.9" customHeight="1" thickBot="1" x14ac:dyDescent="0.3">
      <c r="A5" s="152" t="s">
        <v>589</v>
      </c>
      <c r="B5" s="458" t="s">
        <v>310</v>
      </c>
      <c r="C5" s="167"/>
      <c r="D5" s="503">
        <v>45434</v>
      </c>
      <c r="E5" s="503">
        <v>45434</v>
      </c>
      <c r="F5" s="2"/>
      <c r="G5" s="110">
        <v>1900</v>
      </c>
      <c r="H5" s="408" t="s">
        <v>2482</v>
      </c>
    </row>
    <row r="6" spans="1:8" ht="49.9" customHeight="1" thickBot="1" x14ac:dyDescent="0.3">
      <c r="A6" s="169" t="s">
        <v>590</v>
      </c>
      <c r="B6" s="504" t="s">
        <v>312</v>
      </c>
      <c r="C6" s="514" t="s">
        <v>2384</v>
      </c>
      <c r="D6" s="513">
        <v>45428</v>
      </c>
      <c r="E6" s="497">
        <v>45428</v>
      </c>
      <c r="F6" s="429"/>
      <c r="G6" s="165">
        <v>5600</v>
      </c>
      <c r="H6" s="510" t="s">
        <v>2388</v>
      </c>
    </row>
    <row r="7" spans="1:8" ht="49.9" customHeight="1" thickBot="1" x14ac:dyDescent="0.3">
      <c r="A7" s="170" t="s">
        <v>592</v>
      </c>
      <c r="B7" s="505" t="s">
        <v>313</v>
      </c>
      <c r="C7" s="515">
        <v>45420</v>
      </c>
      <c r="D7" s="517">
        <v>45420</v>
      </c>
      <c r="E7" s="518">
        <v>45420</v>
      </c>
      <c r="F7" s="25"/>
      <c r="G7" s="166">
        <v>5107</v>
      </c>
      <c r="H7" s="407" t="s">
        <v>2357</v>
      </c>
    </row>
    <row r="8" spans="1:8" ht="49.9" customHeight="1" thickBot="1" x14ac:dyDescent="0.3">
      <c r="A8" s="170" t="s">
        <v>593</v>
      </c>
      <c r="B8" s="505" t="s">
        <v>314</v>
      </c>
      <c r="C8" s="516"/>
      <c r="D8" s="495">
        <v>45427</v>
      </c>
      <c r="E8" s="495">
        <v>45427</v>
      </c>
      <c r="F8" s="25"/>
      <c r="G8" s="166">
        <v>4948</v>
      </c>
      <c r="H8" s="407" t="s">
        <v>2387</v>
      </c>
    </row>
    <row r="9" spans="1:8" ht="49.9" customHeight="1" thickBot="1" x14ac:dyDescent="0.3">
      <c r="A9" s="170" t="s">
        <v>594</v>
      </c>
      <c r="B9" s="505" t="s">
        <v>315</v>
      </c>
      <c r="C9" s="515">
        <v>45420</v>
      </c>
      <c r="D9" s="517">
        <v>45420</v>
      </c>
      <c r="E9" s="495">
        <v>45420</v>
      </c>
      <c r="F9" s="25"/>
      <c r="G9" s="166">
        <v>4490</v>
      </c>
      <c r="H9" s="407" t="s">
        <v>2356</v>
      </c>
    </row>
    <row r="10" spans="1:8" ht="49.9" customHeight="1" x14ac:dyDescent="0.25">
      <c r="A10" s="170" t="s">
        <v>595</v>
      </c>
      <c r="B10" s="505" t="s">
        <v>316</v>
      </c>
      <c r="C10" s="168"/>
      <c r="D10" s="495">
        <v>45427</v>
      </c>
      <c r="E10" s="495">
        <v>45427</v>
      </c>
      <c r="F10" s="18"/>
      <c r="G10" s="166">
        <v>4065</v>
      </c>
      <c r="H10" s="407" t="s">
        <v>2386</v>
      </c>
    </row>
    <row r="11" spans="1:8" ht="49.9" customHeight="1" x14ac:dyDescent="0.25">
      <c r="A11" s="170" t="s">
        <v>11</v>
      </c>
      <c r="B11" s="505" t="s">
        <v>317</v>
      </c>
      <c r="C11" s="141"/>
      <c r="D11" s="495">
        <v>45427</v>
      </c>
      <c r="E11" s="495">
        <v>45427</v>
      </c>
      <c r="F11" s="25"/>
      <c r="G11" s="166">
        <v>6187</v>
      </c>
      <c r="H11" s="407" t="s">
        <v>2385</v>
      </c>
    </row>
    <row r="12" spans="1:8" ht="49.9" customHeight="1" x14ac:dyDescent="0.25">
      <c r="A12" s="170" t="s">
        <v>12</v>
      </c>
      <c r="B12" s="505" t="s">
        <v>318</v>
      </c>
      <c r="C12" s="141"/>
      <c r="D12" s="495">
        <v>45421</v>
      </c>
      <c r="E12" s="495">
        <v>45421</v>
      </c>
      <c r="F12" s="25"/>
      <c r="G12" s="166">
        <v>1543</v>
      </c>
      <c r="H12" s="407" t="s">
        <v>2399</v>
      </c>
    </row>
    <row r="13" spans="1:8" ht="49.9" customHeight="1" x14ac:dyDescent="0.25">
      <c r="A13" s="170" t="s">
        <v>13</v>
      </c>
      <c r="B13" s="505" t="s">
        <v>319</v>
      </c>
      <c r="C13" s="498">
        <v>45387</v>
      </c>
      <c r="D13" s="495">
        <v>45420</v>
      </c>
      <c r="E13" s="495">
        <v>45420</v>
      </c>
      <c r="F13" s="25"/>
      <c r="G13" s="166">
        <v>4193</v>
      </c>
      <c r="H13" s="407" t="s">
        <v>2401</v>
      </c>
    </row>
    <row r="14" spans="1:8" ht="49.9" customHeight="1" x14ac:dyDescent="0.25">
      <c r="A14" s="170" t="s">
        <v>14</v>
      </c>
      <c r="B14" s="505" t="s">
        <v>320</v>
      </c>
      <c r="C14" s="498">
        <v>45387</v>
      </c>
      <c r="D14" s="495">
        <v>45420</v>
      </c>
      <c r="E14" s="495">
        <v>45420</v>
      </c>
      <c r="F14" s="25"/>
      <c r="G14" s="166">
        <v>3992</v>
      </c>
      <c r="H14" s="407" t="s">
        <v>2403</v>
      </c>
    </row>
    <row r="15" spans="1:8" ht="49.9" customHeight="1" thickBot="1" x14ac:dyDescent="0.3">
      <c r="A15" s="171" t="s">
        <v>15</v>
      </c>
      <c r="B15" s="505" t="s">
        <v>321</v>
      </c>
      <c r="C15" s="498">
        <v>45387</v>
      </c>
      <c r="D15" s="495">
        <v>45420</v>
      </c>
      <c r="E15" s="495">
        <v>45420</v>
      </c>
      <c r="F15" s="21"/>
      <c r="G15" s="166">
        <v>1852</v>
      </c>
      <c r="H15" s="407" t="s">
        <v>2405</v>
      </c>
    </row>
    <row r="16" spans="1:8" ht="49.9" customHeight="1" x14ac:dyDescent="0.25">
      <c r="A16" s="489" t="s">
        <v>16</v>
      </c>
      <c r="B16" s="506" t="s">
        <v>322</v>
      </c>
      <c r="C16" s="141"/>
      <c r="D16" s="495">
        <v>45429</v>
      </c>
      <c r="E16" s="495">
        <v>45429</v>
      </c>
      <c r="F16" s="25"/>
      <c r="G16" s="166">
        <v>4440</v>
      </c>
      <c r="H16" s="407" t="s">
        <v>2412</v>
      </c>
    </row>
    <row r="17" spans="1:8" ht="49.9" customHeight="1" x14ac:dyDescent="0.25">
      <c r="A17" s="173" t="s">
        <v>17</v>
      </c>
      <c r="B17" s="506" t="s">
        <v>323</v>
      </c>
      <c r="C17" s="498">
        <v>45387</v>
      </c>
      <c r="D17" s="495">
        <v>45427</v>
      </c>
      <c r="E17" s="495">
        <v>45427</v>
      </c>
      <c r="F17" s="21"/>
      <c r="G17" s="166">
        <v>5065</v>
      </c>
      <c r="H17" s="407" t="s">
        <v>2411</v>
      </c>
    </row>
    <row r="18" spans="1:8" ht="49.9" customHeight="1" x14ac:dyDescent="0.25">
      <c r="A18" s="173" t="s">
        <v>18</v>
      </c>
      <c r="B18" s="506" t="s">
        <v>207</v>
      </c>
      <c r="C18" s="141"/>
      <c r="D18" s="502">
        <v>45433</v>
      </c>
      <c r="E18" s="502">
        <v>45433</v>
      </c>
      <c r="F18" s="21"/>
      <c r="G18" s="166">
        <v>6426</v>
      </c>
      <c r="H18" s="407" t="s">
        <v>2409</v>
      </c>
    </row>
    <row r="19" spans="1:8" ht="49.9" customHeight="1" x14ac:dyDescent="0.25">
      <c r="A19" s="173" t="s">
        <v>19</v>
      </c>
      <c r="B19" s="506" t="s">
        <v>324</v>
      </c>
      <c r="C19" s="498">
        <v>45420</v>
      </c>
      <c r="D19" s="495">
        <v>45429</v>
      </c>
      <c r="E19" s="495">
        <v>45429</v>
      </c>
      <c r="F19" s="21"/>
      <c r="G19" s="166">
        <v>5838</v>
      </c>
      <c r="H19" s="407" t="s">
        <v>2406</v>
      </c>
    </row>
    <row r="20" spans="1:8" ht="49.9" customHeight="1" x14ac:dyDescent="0.25">
      <c r="A20" s="173" t="s">
        <v>20</v>
      </c>
      <c r="B20" s="506" t="s">
        <v>325</v>
      </c>
      <c r="C20" s="141"/>
      <c r="D20" s="495">
        <v>45428</v>
      </c>
      <c r="E20" s="495">
        <v>45428</v>
      </c>
      <c r="G20" s="166">
        <v>4100</v>
      </c>
      <c r="H20" s="407" t="s">
        <v>2437</v>
      </c>
    </row>
    <row r="21" spans="1:8" ht="49.9" customHeight="1" thickBot="1" x14ac:dyDescent="0.3">
      <c r="A21" s="177" t="s">
        <v>21</v>
      </c>
      <c r="B21" s="506" t="s">
        <v>326</v>
      </c>
      <c r="C21" s="498">
        <v>45420</v>
      </c>
      <c r="D21" s="502">
        <v>45433</v>
      </c>
      <c r="E21" s="502">
        <v>45433</v>
      </c>
      <c r="F21" s="21"/>
      <c r="G21" s="166">
        <v>4934</v>
      </c>
      <c r="H21" s="407" t="s">
        <v>2435</v>
      </c>
    </row>
    <row r="22" spans="1:8" ht="49.9" customHeight="1" x14ac:dyDescent="0.25">
      <c r="A22" s="175" t="s">
        <v>22</v>
      </c>
      <c r="B22" s="507" t="s">
        <v>327</v>
      </c>
      <c r="C22" s="141"/>
      <c r="D22" s="495">
        <v>45422</v>
      </c>
      <c r="E22" s="495">
        <v>45422</v>
      </c>
      <c r="F22" s="21"/>
      <c r="G22" s="166">
        <v>2683</v>
      </c>
      <c r="H22" s="407" t="s">
        <v>2433</v>
      </c>
    </row>
    <row r="23" spans="1:8" ht="49.9" customHeight="1" thickBot="1" x14ac:dyDescent="0.3">
      <c r="A23" s="176" t="s">
        <v>23</v>
      </c>
      <c r="B23" s="507" t="s">
        <v>328</v>
      </c>
      <c r="C23" s="498">
        <v>45420</v>
      </c>
      <c r="D23" s="519">
        <v>45422</v>
      </c>
      <c r="E23" s="519">
        <v>45422</v>
      </c>
      <c r="F23" s="21"/>
      <c r="G23" s="166">
        <v>2365</v>
      </c>
      <c r="H23" s="407" t="s">
        <v>2431</v>
      </c>
    </row>
    <row r="24" spans="1:8" ht="49.9" customHeight="1" x14ac:dyDescent="0.25">
      <c r="A24" s="172" t="s">
        <v>24</v>
      </c>
      <c r="B24" s="506" t="s">
        <v>329</v>
      </c>
      <c r="C24" s="498">
        <v>45420</v>
      </c>
      <c r="D24" s="495">
        <v>45429</v>
      </c>
      <c r="E24" s="495">
        <v>45429</v>
      </c>
      <c r="F24" s="21"/>
      <c r="G24" s="166">
        <v>3039</v>
      </c>
      <c r="H24" s="407" t="s">
        <v>2459</v>
      </c>
    </row>
    <row r="25" spans="1:8" ht="49.9" customHeight="1" x14ac:dyDescent="0.25">
      <c r="A25" s="173" t="s">
        <v>25</v>
      </c>
      <c r="B25" s="506" t="s">
        <v>330</v>
      </c>
      <c r="C25" s="141"/>
      <c r="D25" s="495">
        <v>45429</v>
      </c>
      <c r="E25" s="495">
        <v>45429</v>
      </c>
      <c r="F25" s="21"/>
      <c r="G25" s="166">
        <v>2950</v>
      </c>
      <c r="H25" s="407" t="s">
        <v>2457</v>
      </c>
    </row>
    <row r="26" spans="1:8" ht="49.9" customHeight="1" thickBot="1" x14ac:dyDescent="0.3">
      <c r="A26" s="177" t="s">
        <v>26</v>
      </c>
      <c r="B26" s="508" t="s">
        <v>331</v>
      </c>
      <c r="C26" s="499">
        <v>45418</v>
      </c>
      <c r="D26" s="502">
        <v>45433</v>
      </c>
      <c r="E26" s="502">
        <v>45433</v>
      </c>
      <c r="F26" s="26"/>
      <c r="G26" s="512">
        <v>6329</v>
      </c>
      <c r="H26" s="511" t="s">
        <v>2455</v>
      </c>
    </row>
    <row r="27" spans="1:8" ht="15.75" thickBot="1" x14ac:dyDescent="0.3"/>
    <row r="28" spans="1:8" ht="80.45" customHeight="1" thickBot="1" x14ac:dyDescent="0.3">
      <c r="A28" s="520" t="s">
        <v>2660</v>
      </c>
      <c r="B28" s="500" t="s">
        <v>2661</v>
      </c>
      <c r="C28" s="500" t="s">
        <v>2310</v>
      </c>
      <c r="D28" s="452" t="s">
        <v>2649</v>
      </c>
      <c r="E28" s="501" t="s">
        <v>2662</v>
      </c>
      <c r="F28" s="500" t="s">
        <v>2311</v>
      </c>
      <c r="G28" s="500" t="s">
        <v>2650</v>
      </c>
      <c r="H28" s="509" t="s">
        <v>2651</v>
      </c>
    </row>
    <row r="29" spans="1:8" ht="49.9" customHeight="1" thickBot="1" x14ac:dyDescent="0.3">
      <c r="A29" s="152" t="s">
        <v>2655</v>
      </c>
      <c r="B29" s="521" t="s">
        <v>2656</v>
      </c>
      <c r="C29" s="167"/>
      <c r="D29" s="495">
        <v>45450</v>
      </c>
      <c r="E29" s="495">
        <v>45450</v>
      </c>
      <c r="F29" s="2"/>
      <c r="G29" s="110">
        <v>8555</v>
      </c>
      <c r="H29" s="408" t="s">
        <v>2485</v>
      </c>
    </row>
    <row r="30" spans="1:8" ht="49.9" customHeight="1" x14ac:dyDescent="0.25">
      <c r="A30" s="150" t="s">
        <v>2652</v>
      </c>
      <c r="B30" s="522" t="s">
        <v>2657</v>
      </c>
      <c r="C30" s="141"/>
      <c r="D30" s="495">
        <v>45450</v>
      </c>
      <c r="E30" s="495">
        <v>45450</v>
      </c>
      <c r="F30" s="2"/>
      <c r="G30" s="166">
        <v>9320</v>
      </c>
      <c r="H30" s="407" t="s">
        <v>2485</v>
      </c>
    </row>
    <row r="31" spans="1:8" ht="49.9" customHeight="1" x14ac:dyDescent="0.25">
      <c r="A31" s="151" t="s">
        <v>2653</v>
      </c>
      <c r="B31" s="523" t="s">
        <v>2658</v>
      </c>
      <c r="C31" s="141"/>
      <c r="D31" s="495">
        <v>45450</v>
      </c>
      <c r="E31" s="495">
        <v>45450</v>
      </c>
      <c r="F31" s="2"/>
      <c r="G31" s="166">
        <v>9878</v>
      </c>
      <c r="H31" s="407" t="s">
        <v>2485</v>
      </c>
    </row>
    <row r="32" spans="1:8" ht="49.9" customHeight="1" x14ac:dyDescent="0.25">
      <c r="A32" s="151" t="s">
        <v>2654</v>
      </c>
      <c r="B32" s="523" t="s">
        <v>2659</v>
      </c>
      <c r="C32" s="141"/>
      <c r="D32" s="495">
        <v>45450</v>
      </c>
      <c r="E32" s="495">
        <v>45450</v>
      </c>
      <c r="F32" s="2"/>
      <c r="G32" s="166">
        <v>6969</v>
      </c>
      <c r="H32" s="407" t="s">
        <v>2485</v>
      </c>
    </row>
  </sheetData>
  <conditionalFormatting sqref="G1:H5 C7 C1:E6 G28:H32 C8:E1048576">
    <cfRule type="cellIs" dxfId="908" priority="5" operator="equal">
      <formula>"X"</formula>
    </cfRule>
    <cfRule type="cellIs" dxfId="907" priority="6" operator="equal">
      <formula>"OK"</formula>
    </cfRule>
  </conditionalFormatting>
  <conditionalFormatting sqref="B28">
    <cfRule type="cellIs" dxfId="906" priority="3" operator="equal">
      <formula>"X"</formula>
    </cfRule>
    <cfRule type="cellIs" dxfId="905" priority="4" operator="equal">
      <formula>"OK"</formula>
    </cfRule>
  </conditionalFormatting>
  <conditionalFormatting sqref="B1">
    <cfRule type="cellIs" dxfId="904" priority="1" operator="equal">
      <formula>"X"</formula>
    </cfRule>
    <cfRule type="cellIs" dxfId="903" priority="2" operator="equal">
      <formula>"OK"</formula>
    </cfRule>
  </conditionalFormatting>
  <pageMargins left="0.7" right="0.7" top="0.75" bottom="0.75" header="0.3" footer="0.3"/>
  <pageSetup paperSize="9" scale="2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>
    <pageSetUpPr fitToPage="1"/>
  </sheetPr>
  <dimension ref="A1:Q26"/>
  <sheetViews>
    <sheetView zoomScaleNormal="100" workbookViewId="0">
      <selection activeCell="E20" sqref="E20"/>
    </sheetView>
  </sheetViews>
  <sheetFormatPr defaultRowHeight="15" x14ac:dyDescent="0.25"/>
  <cols>
    <col min="2" max="2" width="21.28515625" customWidth="1"/>
    <col min="3" max="3" width="13.85546875" customWidth="1"/>
    <col min="4" max="4" width="16.5703125" customWidth="1"/>
    <col min="5" max="5" width="17.140625" customWidth="1"/>
    <col min="6" max="6" width="5.28515625" hidden="1" customWidth="1"/>
    <col min="7" max="7" width="9.5703125" hidden="1" customWidth="1"/>
    <col min="8" max="8" width="10.7109375" hidden="1" customWidth="1"/>
    <col min="9" max="9" width="9.28515625" style="1" bestFit="1" customWidth="1"/>
    <col min="10" max="10" width="12" customWidth="1"/>
    <col min="11" max="11" width="16.5703125" style="1" customWidth="1"/>
    <col min="12" max="12" width="14.85546875" customWidth="1"/>
    <col min="13" max="13" width="10.42578125" customWidth="1"/>
    <col min="14" max="14" width="15.5703125" style="193" customWidth="1"/>
    <col min="15" max="15" width="15.42578125" style="193" customWidth="1"/>
    <col min="16" max="16" width="8.85546875" style="1"/>
    <col min="17" max="17" width="13.28515625" customWidth="1"/>
  </cols>
  <sheetData>
    <row r="1" spans="1:17" ht="28.9" customHeight="1" thickBot="1" x14ac:dyDescent="0.3">
      <c r="A1" s="200"/>
      <c r="B1" s="155" t="s">
        <v>302</v>
      </c>
      <c r="C1" s="156" t="s">
        <v>303</v>
      </c>
      <c r="D1" s="157" t="s">
        <v>304</v>
      </c>
      <c r="E1" s="181" t="s">
        <v>2582</v>
      </c>
      <c r="F1" s="134" t="s">
        <v>583</v>
      </c>
      <c r="G1" s="114" t="s">
        <v>581</v>
      </c>
      <c r="H1" s="118" t="s">
        <v>584</v>
      </c>
      <c r="I1" s="134" t="s">
        <v>681</v>
      </c>
      <c r="J1" s="142" t="s">
        <v>682</v>
      </c>
      <c r="K1" s="7" t="s">
        <v>92</v>
      </c>
      <c r="L1" s="7" t="s">
        <v>656</v>
      </c>
      <c r="M1" s="257"/>
      <c r="N1" s="188" t="s">
        <v>710</v>
      </c>
      <c r="O1" s="188" t="s">
        <v>119</v>
      </c>
      <c r="P1" s="7" t="s">
        <v>798</v>
      </c>
    </row>
    <row r="2" spans="1:17" ht="15.75" x14ac:dyDescent="0.25">
      <c r="A2" s="147">
        <v>1</v>
      </c>
      <c r="B2" s="150" t="s">
        <v>585</v>
      </c>
      <c r="C2" s="153" t="s">
        <v>305</v>
      </c>
      <c r="D2" s="153" t="s">
        <v>306</v>
      </c>
      <c r="E2" s="218">
        <v>2787</v>
      </c>
      <c r="F2" s="115" t="s">
        <v>586</v>
      </c>
      <c r="G2" s="115" t="s">
        <v>586</v>
      </c>
      <c r="H2" s="119" t="s">
        <v>586</v>
      </c>
      <c r="I2" s="164">
        <v>2062</v>
      </c>
      <c r="J2" s="165">
        <f t="shared" ref="J2:J17" si="0">I2+2000</f>
        <v>4062</v>
      </c>
      <c r="K2" s="121" t="str">
        <f>IF(E2&gt;M2,"SZERVIZ","RENDBEN")</f>
        <v>RENDBEN</v>
      </c>
      <c r="L2" s="128"/>
      <c r="M2" s="139">
        <f t="shared" ref="M2:M17" si="1">J2-300</f>
        <v>3762</v>
      </c>
      <c r="N2" s="189"/>
      <c r="O2" s="194"/>
      <c r="Q2" s="150" t="s">
        <v>585</v>
      </c>
    </row>
    <row r="3" spans="1:17" ht="15.75" x14ac:dyDescent="0.25">
      <c r="A3" s="148">
        <v>2</v>
      </c>
      <c r="B3" s="151" t="s">
        <v>587</v>
      </c>
      <c r="C3" s="154" t="s">
        <v>305</v>
      </c>
      <c r="D3" s="154" t="s">
        <v>307</v>
      </c>
      <c r="E3" s="219">
        <v>2277</v>
      </c>
      <c r="F3" s="115" t="s">
        <v>586</v>
      </c>
      <c r="G3" s="115" t="s">
        <v>586</v>
      </c>
      <c r="H3" s="119" t="s">
        <v>586</v>
      </c>
      <c r="I3" s="141">
        <v>0</v>
      </c>
      <c r="J3" s="166">
        <f t="shared" si="0"/>
        <v>2000</v>
      </c>
      <c r="K3" s="122" t="str">
        <f t="shared" ref="K3:K26" si="2">IF(E3&gt;M3,"SZERVIZ","RENDBEN")</f>
        <v>SZERVIZ</v>
      </c>
      <c r="L3" s="105"/>
      <c r="M3" s="139">
        <f t="shared" si="1"/>
        <v>1700</v>
      </c>
      <c r="N3" s="190"/>
      <c r="O3" s="195"/>
      <c r="Q3" s="151" t="s">
        <v>587</v>
      </c>
    </row>
    <row r="4" spans="1:17" ht="15.75" x14ac:dyDescent="0.25">
      <c r="A4" s="148">
        <v>3</v>
      </c>
      <c r="B4" s="151" t="s">
        <v>588</v>
      </c>
      <c r="C4" s="154" t="s">
        <v>308</v>
      </c>
      <c r="D4" s="154" t="s">
        <v>309</v>
      </c>
      <c r="E4" s="219">
        <v>2307</v>
      </c>
      <c r="F4" s="115" t="s">
        <v>586</v>
      </c>
      <c r="G4" s="115" t="s">
        <v>586</v>
      </c>
      <c r="H4" s="119" t="s">
        <v>586</v>
      </c>
      <c r="I4" s="141">
        <v>1996</v>
      </c>
      <c r="J4" s="166">
        <f t="shared" si="0"/>
        <v>3996</v>
      </c>
      <c r="K4" s="122" t="str">
        <f t="shared" si="2"/>
        <v>RENDBEN</v>
      </c>
      <c r="L4" s="105"/>
      <c r="M4" s="139">
        <f t="shared" si="1"/>
        <v>3696</v>
      </c>
      <c r="N4" s="191">
        <v>45414</v>
      </c>
      <c r="O4" s="195" t="s">
        <v>2263</v>
      </c>
      <c r="Q4" s="151" t="s">
        <v>588</v>
      </c>
    </row>
    <row r="5" spans="1:17" ht="16.5" thickBot="1" x14ac:dyDescent="0.3">
      <c r="A5" s="149">
        <v>4</v>
      </c>
      <c r="B5" s="152" t="s">
        <v>589</v>
      </c>
      <c r="C5" s="494" t="s">
        <v>308</v>
      </c>
      <c r="D5" s="494" t="s">
        <v>310</v>
      </c>
      <c r="E5" s="222">
        <v>1441</v>
      </c>
      <c r="F5" s="133" t="s">
        <v>586</v>
      </c>
      <c r="G5" s="133" t="s">
        <v>586</v>
      </c>
      <c r="H5" s="163" t="s">
        <v>586</v>
      </c>
      <c r="I5" s="167">
        <v>0</v>
      </c>
      <c r="J5" s="110">
        <f t="shared" si="0"/>
        <v>2000</v>
      </c>
      <c r="K5" s="123" t="str">
        <f t="shared" si="2"/>
        <v>RENDBEN</v>
      </c>
      <c r="L5" s="345"/>
      <c r="M5" s="184">
        <f t="shared" si="1"/>
        <v>1700</v>
      </c>
      <c r="N5" s="192"/>
      <c r="O5" s="196"/>
      <c r="Q5" s="152" t="s">
        <v>589</v>
      </c>
    </row>
    <row r="6" spans="1:17" ht="15.75" x14ac:dyDescent="0.25">
      <c r="A6" s="490">
        <v>5</v>
      </c>
      <c r="B6" s="447" t="s">
        <v>590</v>
      </c>
      <c r="C6" s="491" t="s">
        <v>311</v>
      </c>
      <c r="D6" s="448" t="s">
        <v>312</v>
      </c>
      <c r="E6" s="218">
        <v>6028</v>
      </c>
      <c r="F6" s="492" t="s">
        <v>591</v>
      </c>
      <c r="G6" s="126" t="s">
        <v>586</v>
      </c>
      <c r="H6" s="127" t="s">
        <v>591</v>
      </c>
      <c r="I6" s="168">
        <v>5203</v>
      </c>
      <c r="J6" s="17">
        <f t="shared" si="0"/>
        <v>7203</v>
      </c>
      <c r="K6" s="121" t="str">
        <f t="shared" si="2"/>
        <v>RENDBEN</v>
      </c>
      <c r="L6" s="493" t="s">
        <v>591</v>
      </c>
      <c r="M6" s="182">
        <f t="shared" si="1"/>
        <v>6903</v>
      </c>
      <c r="N6" s="14">
        <v>45387</v>
      </c>
      <c r="O6" s="17" t="s">
        <v>2208</v>
      </c>
      <c r="P6" s="1" t="s">
        <v>684</v>
      </c>
      <c r="Q6" s="169" t="s">
        <v>590</v>
      </c>
    </row>
    <row r="7" spans="1:17" ht="15.75" x14ac:dyDescent="0.25">
      <c r="A7" s="148">
        <v>6</v>
      </c>
      <c r="B7" s="170" t="s">
        <v>592</v>
      </c>
      <c r="C7" s="137" t="s">
        <v>311</v>
      </c>
      <c r="D7" s="135" t="s">
        <v>313</v>
      </c>
      <c r="E7" s="219">
        <v>5591</v>
      </c>
      <c r="F7" s="130" t="s">
        <v>591</v>
      </c>
      <c r="G7" s="115" t="s">
        <v>586</v>
      </c>
      <c r="H7" s="120" t="s">
        <v>591</v>
      </c>
      <c r="I7" s="141">
        <v>4815</v>
      </c>
      <c r="J7" s="166">
        <f t="shared" si="0"/>
        <v>6815</v>
      </c>
      <c r="K7" s="122" t="str">
        <f t="shared" si="2"/>
        <v>RENDBEN</v>
      </c>
      <c r="L7" s="160" t="s">
        <v>591</v>
      </c>
      <c r="M7" s="139">
        <f t="shared" si="1"/>
        <v>6515</v>
      </c>
      <c r="N7" s="15">
        <v>45387</v>
      </c>
      <c r="O7" s="166" t="s">
        <v>2206</v>
      </c>
      <c r="P7" s="1" t="s">
        <v>684</v>
      </c>
      <c r="Q7" s="170" t="s">
        <v>592</v>
      </c>
    </row>
    <row r="8" spans="1:17" ht="15.75" x14ac:dyDescent="0.25">
      <c r="A8" s="148">
        <v>7</v>
      </c>
      <c r="B8" s="170" t="s">
        <v>593</v>
      </c>
      <c r="C8" s="137" t="s">
        <v>311</v>
      </c>
      <c r="D8" s="135" t="s">
        <v>314</v>
      </c>
      <c r="E8" s="219">
        <v>5333</v>
      </c>
      <c r="F8" s="131" t="s">
        <v>586</v>
      </c>
      <c r="G8" s="115" t="s">
        <v>586</v>
      </c>
      <c r="H8" s="119" t="s">
        <v>586</v>
      </c>
      <c r="I8" s="486">
        <v>4625</v>
      </c>
      <c r="J8" s="166">
        <f t="shared" si="0"/>
        <v>6625</v>
      </c>
      <c r="K8" s="122" t="str">
        <f t="shared" si="2"/>
        <v>RENDBEN</v>
      </c>
      <c r="L8" s="160" t="s">
        <v>591</v>
      </c>
      <c r="M8" s="139">
        <f t="shared" si="1"/>
        <v>6325</v>
      </c>
      <c r="N8" s="15">
        <v>45385</v>
      </c>
      <c r="O8" s="166" t="s">
        <v>2174</v>
      </c>
      <c r="P8" s="1" t="s">
        <v>684</v>
      </c>
      <c r="Q8" s="170" t="s">
        <v>593</v>
      </c>
    </row>
    <row r="9" spans="1:17" ht="15.75" x14ac:dyDescent="0.25">
      <c r="A9" s="148">
        <v>8</v>
      </c>
      <c r="B9" s="170" t="s">
        <v>594</v>
      </c>
      <c r="C9" s="137" t="s">
        <v>311</v>
      </c>
      <c r="D9" s="135" t="s">
        <v>315</v>
      </c>
      <c r="E9" s="219">
        <v>4776</v>
      </c>
      <c r="F9" s="130" t="s">
        <v>591</v>
      </c>
      <c r="G9" s="115" t="s">
        <v>586</v>
      </c>
      <c r="H9" s="120" t="s">
        <v>591</v>
      </c>
      <c r="I9" s="141">
        <v>3087</v>
      </c>
      <c r="J9" s="166">
        <f t="shared" si="0"/>
        <v>5087</v>
      </c>
      <c r="K9" s="122" t="str">
        <f t="shared" si="2"/>
        <v>RENDBEN</v>
      </c>
      <c r="L9" s="160" t="s">
        <v>591</v>
      </c>
      <c r="M9" s="139">
        <f t="shared" si="1"/>
        <v>4787</v>
      </c>
      <c r="N9" s="15">
        <v>45110</v>
      </c>
      <c r="O9" s="166" t="s">
        <v>664</v>
      </c>
      <c r="P9" s="1" t="s">
        <v>684</v>
      </c>
      <c r="Q9" s="170" t="s">
        <v>594</v>
      </c>
    </row>
    <row r="10" spans="1:17" ht="15.75" x14ac:dyDescent="0.25">
      <c r="A10" s="148">
        <v>9</v>
      </c>
      <c r="B10" s="170" t="s">
        <v>595</v>
      </c>
      <c r="C10" s="137" t="s">
        <v>311</v>
      </c>
      <c r="D10" s="135" t="s">
        <v>316</v>
      </c>
      <c r="E10" s="219">
        <v>4349</v>
      </c>
      <c r="F10" s="131" t="s">
        <v>586</v>
      </c>
      <c r="G10" s="115" t="s">
        <v>586</v>
      </c>
      <c r="H10" s="119" t="s">
        <v>586</v>
      </c>
      <c r="I10" s="141">
        <v>2947</v>
      </c>
      <c r="J10" s="166">
        <f t="shared" si="0"/>
        <v>4947</v>
      </c>
      <c r="K10" s="122" t="str">
        <f t="shared" si="2"/>
        <v>RENDBEN</v>
      </c>
      <c r="L10" s="160" t="s">
        <v>591</v>
      </c>
      <c r="M10" s="139">
        <f t="shared" si="1"/>
        <v>4647</v>
      </c>
      <c r="N10" s="15">
        <v>45112</v>
      </c>
      <c r="O10" s="166" t="s">
        <v>680</v>
      </c>
      <c r="P10" s="1" t="s">
        <v>684</v>
      </c>
      <c r="Q10" s="170" t="s">
        <v>595</v>
      </c>
    </row>
    <row r="11" spans="1:17" ht="15.75" x14ac:dyDescent="0.25">
      <c r="A11" s="148">
        <v>10</v>
      </c>
      <c r="B11" s="170" t="s">
        <v>11</v>
      </c>
      <c r="C11" s="137" t="s">
        <v>311</v>
      </c>
      <c r="D11" s="135" t="s">
        <v>317</v>
      </c>
      <c r="E11" s="219">
        <v>6520</v>
      </c>
      <c r="F11" s="131" t="s">
        <v>586</v>
      </c>
      <c r="G11" s="115" t="s">
        <v>586</v>
      </c>
      <c r="H11" s="119" t="s">
        <v>586</v>
      </c>
      <c r="I11" s="141">
        <v>3670</v>
      </c>
      <c r="J11" s="166">
        <f t="shared" si="0"/>
        <v>5670</v>
      </c>
      <c r="K11" s="122" t="str">
        <f t="shared" si="2"/>
        <v>SZERVIZ</v>
      </c>
      <c r="L11" s="160" t="s">
        <v>591</v>
      </c>
      <c r="M11" s="139">
        <f t="shared" si="1"/>
        <v>5370</v>
      </c>
      <c r="N11" s="15">
        <v>45133</v>
      </c>
      <c r="O11" s="166" t="s">
        <v>733</v>
      </c>
      <c r="P11" s="1" t="s">
        <v>684</v>
      </c>
      <c r="Q11" s="170" t="s">
        <v>11</v>
      </c>
    </row>
    <row r="12" spans="1:17" ht="15.75" x14ac:dyDescent="0.25">
      <c r="A12" s="148">
        <v>11</v>
      </c>
      <c r="B12" s="170" t="s">
        <v>12</v>
      </c>
      <c r="C12" s="137" t="s">
        <v>311</v>
      </c>
      <c r="D12" s="135" t="s">
        <v>318</v>
      </c>
      <c r="E12" s="219">
        <v>4491</v>
      </c>
      <c r="F12" s="131" t="s">
        <v>586</v>
      </c>
      <c r="G12" s="115" t="s">
        <v>586</v>
      </c>
      <c r="H12" s="119" t="s">
        <v>586</v>
      </c>
      <c r="I12" s="141">
        <v>1988</v>
      </c>
      <c r="J12" s="166">
        <f t="shared" si="0"/>
        <v>3988</v>
      </c>
      <c r="K12" s="122" t="str">
        <f t="shared" si="2"/>
        <v>SZERVIZ</v>
      </c>
      <c r="L12" s="160" t="s">
        <v>591</v>
      </c>
      <c r="M12" s="139">
        <f t="shared" si="1"/>
        <v>3688</v>
      </c>
      <c r="N12" s="15">
        <v>45153</v>
      </c>
      <c r="O12" s="166" t="s">
        <v>793</v>
      </c>
      <c r="P12" s="1" t="s">
        <v>684</v>
      </c>
      <c r="Q12" s="170" t="s">
        <v>12</v>
      </c>
    </row>
    <row r="13" spans="1:17" ht="15.75" x14ac:dyDescent="0.25">
      <c r="A13" s="148">
        <v>12</v>
      </c>
      <c r="B13" s="170" t="s">
        <v>13</v>
      </c>
      <c r="C13" s="137" t="s">
        <v>311</v>
      </c>
      <c r="D13" s="135" t="s">
        <v>319</v>
      </c>
      <c r="E13" s="219">
        <v>4702</v>
      </c>
      <c r="F13" s="131" t="s">
        <v>586</v>
      </c>
      <c r="G13" s="115" t="s">
        <v>586</v>
      </c>
      <c r="H13" s="119" t="s">
        <v>586</v>
      </c>
      <c r="I13" s="141">
        <v>2328</v>
      </c>
      <c r="J13" s="166">
        <f t="shared" si="0"/>
        <v>4328</v>
      </c>
      <c r="K13" s="122" t="str">
        <f t="shared" si="2"/>
        <v>SZERVIZ</v>
      </c>
      <c r="L13" s="160" t="s">
        <v>591</v>
      </c>
      <c r="M13" s="139">
        <f t="shared" si="1"/>
        <v>4028</v>
      </c>
      <c r="N13" s="15">
        <v>45175</v>
      </c>
      <c r="O13" s="166" t="s">
        <v>863</v>
      </c>
      <c r="P13" s="1" t="s">
        <v>684</v>
      </c>
      <c r="Q13" s="170" t="s">
        <v>13</v>
      </c>
    </row>
    <row r="14" spans="1:17" ht="15.75" x14ac:dyDescent="0.25">
      <c r="A14" s="148">
        <v>13</v>
      </c>
      <c r="B14" s="170" t="s">
        <v>14</v>
      </c>
      <c r="C14" s="137" t="s">
        <v>311</v>
      </c>
      <c r="D14" s="135" t="s">
        <v>320</v>
      </c>
      <c r="E14" s="219">
        <v>4385</v>
      </c>
      <c r="F14" s="130" t="s">
        <v>591</v>
      </c>
      <c r="G14" s="115" t="s">
        <v>586</v>
      </c>
      <c r="H14" s="120" t="s">
        <v>591</v>
      </c>
      <c r="I14" s="141">
        <v>1971</v>
      </c>
      <c r="J14" s="166">
        <f t="shared" si="0"/>
        <v>3971</v>
      </c>
      <c r="K14" s="122" t="str">
        <f t="shared" si="2"/>
        <v>SZERVIZ</v>
      </c>
      <c r="L14" s="160" t="s">
        <v>591</v>
      </c>
      <c r="M14" s="139">
        <f t="shared" si="1"/>
        <v>3671</v>
      </c>
      <c r="N14" s="15">
        <v>45113</v>
      </c>
      <c r="O14" s="166" t="s">
        <v>685</v>
      </c>
      <c r="P14" s="1" t="s">
        <v>684</v>
      </c>
      <c r="Q14" s="170" t="s">
        <v>14</v>
      </c>
    </row>
    <row r="15" spans="1:17" ht="16.5" thickBot="1" x14ac:dyDescent="0.3">
      <c r="A15" s="149">
        <v>14</v>
      </c>
      <c r="B15" s="171" t="s">
        <v>15</v>
      </c>
      <c r="C15" s="138" t="s">
        <v>311</v>
      </c>
      <c r="D15" s="136" t="s">
        <v>321</v>
      </c>
      <c r="E15" s="222">
        <v>2239</v>
      </c>
      <c r="F15" s="132" t="s">
        <v>586</v>
      </c>
      <c r="G15" s="133" t="s">
        <v>586</v>
      </c>
      <c r="H15" s="163" t="s">
        <v>586</v>
      </c>
      <c r="I15" s="167">
        <v>0</v>
      </c>
      <c r="J15" s="110">
        <f t="shared" si="0"/>
        <v>2000</v>
      </c>
      <c r="K15" s="123" t="str">
        <f t="shared" si="2"/>
        <v>SZERVIZ</v>
      </c>
      <c r="L15" s="161" t="s">
        <v>591</v>
      </c>
      <c r="M15" s="184">
        <f t="shared" si="1"/>
        <v>1700</v>
      </c>
      <c r="N15" s="108">
        <v>45110</v>
      </c>
      <c r="O15" s="110" t="s">
        <v>668</v>
      </c>
      <c r="P15" s="1" t="s">
        <v>684</v>
      </c>
      <c r="Q15" s="171" t="s">
        <v>15</v>
      </c>
    </row>
    <row r="16" spans="1:17" ht="15.75" x14ac:dyDescent="0.25">
      <c r="A16" s="147">
        <v>15</v>
      </c>
      <c r="B16" s="67" t="s">
        <v>16</v>
      </c>
      <c r="C16" s="68" t="s">
        <v>311</v>
      </c>
      <c r="D16" s="69" t="s">
        <v>322</v>
      </c>
      <c r="E16" s="221">
        <v>4807</v>
      </c>
      <c r="F16" s="185" t="s">
        <v>591</v>
      </c>
      <c r="G16" s="129" t="s">
        <v>586</v>
      </c>
      <c r="H16" s="162" t="s">
        <v>591</v>
      </c>
      <c r="I16" s="164">
        <v>2909</v>
      </c>
      <c r="J16" s="165">
        <f t="shared" si="0"/>
        <v>4909</v>
      </c>
      <c r="K16" s="158" t="str">
        <f t="shared" si="2"/>
        <v>SZERVIZ</v>
      </c>
      <c r="L16" s="159" t="s">
        <v>591</v>
      </c>
      <c r="M16" s="183">
        <f t="shared" si="1"/>
        <v>4609</v>
      </c>
      <c r="N16" s="140">
        <v>45127</v>
      </c>
      <c r="O16" s="194" t="s">
        <v>720</v>
      </c>
      <c r="P16" s="1" t="s">
        <v>684</v>
      </c>
      <c r="Q16" s="172" t="s">
        <v>16</v>
      </c>
    </row>
    <row r="17" spans="1:17" ht="15.75" x14ac:dyDescent="0.25">
      <c r="A17" s="148">
        <v>16</v>
      </c>
      <c r="B17" s="70" t="s">
        <v>17</v>
      </c>
      <c r="C17" s="71" t="s">
        <v>311</v>
      </c>
      <c r="D17" s="72" t="s">
        <v>323</v>
      </c>
      <c r="E17" s="219">
        <v>5534</v>
      </c>
      <c r="F17" s="116" t="s">
        <v>591</v>
      </c>
      <c r="G17" s="115" t="s">
        <v>586</v>
      </c>
      <c r="H17" s="120" t="s">
        <v>591</v>
      </c>
      <c r="I17" s="141">
        <v>3280</v>
      </c>
      <c r="J17" s="166">
        <f t="shared" si="0"/>
        <v>5280</v>
      </c>
      <c r="K17" s="122" t="str">
        <f t="shared" si="2"/>
        <v>SZERVIZ</v>
      </c>
      <c r="L17" s="160" t="s">
        <v>591</v>
      </c>
      <c r="M17" s="139">
        <f t="shared" si="1"/>
        <v>4980</v>
      </c>
      <c r="N17" s="191">
        <v>45176</v>
      </c>
      <c r="O17" s="195" t="s">
        <v>865</v>
      </c>
      <c r="P17" s="1" t="s">
        <v>684</v>
      </c>
      <c r="Q17" s="173" t="s">
        <v>17</v>
      </c>
    </row>
    <row r="18" spans="1:17" ht="15.75" x14ac:dyDescent="0.25">
      <c r="A18" s="148">
        <v>17</v>
      </c>
      <c r="B18" s="70" t="s">
        <v>18</v>
      </c>
      <c r="C18" s="71" t="s">
        <v>311</v>
      </c>
      <c r="D18" s="72" t="s">
        <v>207</v>
      </c>
      <c r="E18" s="219">
        <v>6778</v>
      </c>
      <c r="F18" s="116" t="s">
        <v>591</v>
      </c>
      <c r="G18" s="115" t="s">
        <v>586</v>
      </c>
      <c r="H18" s="120" t="s">
        <v>591</v>
      </c>
      <c r="I18" s="141">
        <v>4216</v>
      </c>
      <c r="J18" s="166">
        <f>I18+2000</f>
        <v>6216</v>
      </c>
      <c r="K18" s="122" t="str">
        <f t="shared" si="2"/>
        <v>SZERVIZ</v>
      </c>
      <c r="L18" s="160" t="s">
        <v>591</v>
      </c>
      <c r="M18" s="139">
        <f>J18-300</f>
        <v>5916</v>
      </c>
      <c r="N18" s="191">
        <v>45166</v>
      </c>
      <c r="O18" s="195"/>
      <c r="P18" s="1" t="s">
        <v>684</v>
      </c>
      <c r="Q18" s="173" t="s">
        <v>18</v>
      </c>
    </row>
    <row r="19" spans="1:17" ht="15.75" x14ac:dyDescent="0.25">
      <c r="A19" s="148">
        <v>18</v>
      </c>
      <c r="B19" s="70" t="s">
        <v>19</v>
      </c>
      <c r="C19" s="71" t="s">
        <v>311</v>
      </c>
      <c r="D19" s="72" t="s">
        <v>324</v>
      </c>
      <c r="E19" s="219">
        <v>6108</v>
      </c>
      <c r="F19" s="115" t="s">
        <v>586</v>
      </c>
      <c r="G19" s="115" t="s">
        <v>586</v>
      </c>
      <c r="H19" s="119" t="s">
        <v>586</v>
      </c>
      <c r="I19" s="141">
        <v>5712</v>
      </c>
      <c r="J19" s="166">
        <f>I19+2000</f>
        <v>7712</v>
      </c>
      <c r="K19" s="122" t="str">
        <f t="shared" si="2"/>
        <v>RENDBEN</v>
      </c>
      <c r="L19" s="180" t="s">
        <v>591</v>
      </c>
      <c r="M19" s="139">
        <f>J19-300</f>
        <v>7412</v>
      </c>
      <c r="N19" s="15">
        <v>45397</v>
      </c>
      <c r="O19" s="166" t="s">
        <v>2236</v>
      </c>
      <c r="P19" s="1" t="s">
        <v>684</v>
      </c>
      <c r="Q19" s="173" t="s">
        <v>19</v>
      </c>
    </row>
    <row r="20" spans="1:17" ht="15.75" x14ac:dyDescent="0.25">
      <c r="A20" s="148">
        <v>19</v>
      </c>
      <c r="B20" s="70" t="s">
        <v>20</v>
      </c>
      <c r="C20" s="71" t="s">
        <v>311</v>
      </c>
      <c r="D20" s="72" t="s">
        <v>325</v>
      </c>
      <c r="E20" s="219">
        <v>4337</v>
      </c>
      <c r="F20" s="116" t="s">
        <v>591</v>
      </c>
      <c r="G20" s="115" t="s">
        <v>586</v>
      </c>
      <c r="H20" s="120" t="s">
        <v>591</v>
      </c>
      <c r="I20" s="141">
        <v>2545</v>
      </c>
      <c r="J20" s="166">
        <f t="shared" ref="J20:J26" si="3">I20+2000</f>
        <v>4545</v>
      </c>
      <c r="K20" s="122" t="str">
        <f t="shared" si="2"/>
        <v>SZERVIZ</v>
      </c>
      <c r="L20" s="180" t="s">
        <v>591</v>
      </c>
      <c r="M20" s="139">
        <f t="shared" ref="M20:M26" si="4">J20-300</f>
        <v>4245</v>
      </c>
      <c r="N20" s="191">
        <v>45126</v>
      </c>
      <c r="O20" s="195" t="s">
        <v>713</v>
      </c>
      <c r="P20" s="1" t="s">
        <v>684</v>
      </c>
      <c r="Q20" s="173" t="s">
        <v>20</v>
      </c>
    </row>
    <row r="21" spans="1:17" ht="16.5" thickBot="1" x14ac:dyDescent="0.3">
      <c r="A21" s="149">
        <v>20</v>
      </c>
      <c r="B21" s="85" t="s">
        <v>21</v>
      </c>
      <c r="C21" s="86" t="s">
        <v>311</v>
      </c>
      <c r="D21" s="87" t="s">
        <v>326</v>
      </c>
      <c r="E21" s="220">
        <v>5324</v>
      </c>
      <c r="F21" s="186" t="s">
        <v>591</v>
      </c>
      <c r="G21" s="133" t="s">
        <v>586</v>
      </c>
      <c r="H21" s="187" t="s">
        <v>591</v>
      </c>
      <c r="I21" s="167">
        <v>2911</v>
      </c>
      <c r="J21" s="110">
        <f t="shared" si="3"/>
        <v>4911</v>
      </c>
      <c r="K21" s="123" t="str">
        <f t="shared" si="2"/>
        <v>SZERVIZ</v>
      </c>
      <c r="L21" s="198" t="s">
        <v>591</v>
      </c>
      <c r="M21" s="184">
        <f t="shared" si="4"/>
        <v>4611</v>
      </c>
      <c r="N21" s="206">
        <v>45167</v>
      </c>
      <c r="O21" s="196" t="s">
        <v>837</v>
      </c>
      <c r="P21" s="1" t="s">
        <v>684</v>
      </c>
      <c r="Q21" s="174" t="s">
        <v>21</v>
      </c>
    </row>
    <row r="22" spans="1:17" ht="16.5" thickBot="1" x14ac:dyDescent="0.3">
      <c r="A22" s="147">
        <v>21</v>
      </c>
      <c r="B22" s="76" t="s">
        <v>22</v>
      </c>
      <c r="C22" s="77" t="s">
        <v>311</v>
      </c>
      <c r="D22" s="78" t="s">
        <v>327</v>
      </c>
      <c r="E22" s="221">
        <v>2941</v>
      </c>
      <c r="F22" s="129" t="s">
        <v>586</v>
      </c>
      <c r="G22" s="129" t="s">
        <v>586</v>
      </c>
      <c r="H22" s="199" t="s">
        <v>586</v>
      </c>
      <c r="I22" s="164">
        <v>1715</v>
      </c>
      <c r="J22" s="165">
        <f t="shared" si="3"/>
        <v>3715</v>
      </c>
      <c r="K22" s="158" t="str">
        <f t="shared" si="2"/>
        <v>RENDBEN</v>
      </c>
      <c r="L22" s="198" t="s">
        <v>591</v>
      </c>
      <c r="M22" s="183">
        <f t="shared" si="4"/>
        <v>3415</v>
      </c>
      <c r="N22" s="208">
        <v>45176</v>
      </c>
      <c r="O22" s="194" t="s">
        <v>867</v>
      </c>
      <c r="P22" s="1" t="s">
        <v>684</v>
      </c>
      <c r="Q22" s="175" t="s">
        <v>22</v>
      </c>
    </row>
    <row r="23" spans="1:17" ht="16.5" thickBot="1" x14ac:dyDescent="0.3">
      <c r="A23" s="149">
        <v>22</v>
      </c>
      <c r="B23" s="79" t="s">
        <v>23</v>
      </c>
      <c r="C23" s="80" t="s">
        <v>311</v>
      </c>
      <c r="D23" s="81" t="s">
        <v>328</v>
      </c>
      <c r="E23" s="222">
        <v>2537</v>
      </c>
      <c r="F23" s="133" t="s">
        <v>586</v>
      </c>
      <c r="G23" s="133" t="s">
        <v>586</v>
      </c>
      <c r="H23" s="163" t="s">
        <v>586</v>
      </c>
      <c r="I23" s="167">
        <v>1550</v>
      </c>
      <c r="J23" s="110">
        <f t="shared" si="3"/>
        <v>3550</v>
      </c>
      <c r="K23" s="123" t="str">
        <f t="shared" si="2"/>
        <v>RENDBEN</v>
      </c>
      <c r="L23" s="143"/>
      <c r="M23" s="184">
        <f t="shared" si="4"/>
        <v>3250</v>
      </c>
      <c r="N23" s="192"/>
      <c r="O23" s="196"/>
      <c r="P23" s="1" t="s">
        <v>684</v>
      </c>
      <c r="Q23" s="176" t="s">
        <v>23</v>
      </c>
    </row>
    <row r="24" spans="1:17" ht="15.75" x14ac:dyDescent="0.25">
      <c r="A24" s="147">
        <v>23</v>
      </c>
      <c r="B24" s="144" t="s">
        <v>24</v>
      </c>
      <c r="C24" s="83" t="s">
        <v>311</v>
      </c>
      <c r="D24" s="84" t="s">
        <v>329</v>
      </c>
      <c r="E24" s="218">
        <v>3447</v>
      </c>
      <c r="F24" s="125" t="s">
        <v>591</v>
      </c>
      <c r="G24" s="126" t="s">
        <v>586</v>
      </c>
      <c r="H24" s="127" t="s">
        <v>591</v>
      </c>
      <c r="I24" s="168">
        <v>2544</v>
      </c>
      <c r="J24" s="17">
        <f t="shared" si="3"/>
        <v>4544</v>
      </c>
      <c r="K24" s="121" t="str">
        <f t="shared" si="2"/>
        <v>RENDBEN</v>
      </c>
      <c r="L24" s="179"/>
      <c r="M24" s="182">
        <f t="shared" si="4"/>
        <v>4244</v>
      </c>
      <c r="N24" s="207">
        <v>45167</v>
      </c>
      <c r="O24" s="197" t="s">
        <v>838</v>
      </c>
      <c r="P24" s="1" t="s">
        <v>684</v>
      </c>
      <c r="Q24" s="172" t="s">
        <v>24</v>
      </c>
    </row>
    <row r="25" spans="1:17" ht="16.5" thickBot="1" x14ac:dyDescent="0.3">
      <c r="A25" s="148">
        <v>24</v>
      </c>
      <c r="B25" s="145" t="s">
        <v>25</v>
      </c>
      <c r="C25" s="71" t="s">
        <v>311</v>
      </c>
      <c r="D25" s="72" t="s">
        <v>330</v>
      </c>
      <c r="E25" s="219">
        <v>3227</v>
      </c>
      <c r="F25" s="115" t="s">
        <v>586</v>
      </c>
      <c r="G25" s="115" t="s">
        <v>586</v>
      </c>
      <c r="H25" s="119" t="s">
        <v>586</v>
      </c>
      <c r="I25" s="141">
        <v>1882</v>
      </c>
      <c r="J25" s="166">
        <f t="shared" si="3"/>
        <v>3882</v>
      </c>
      <c r="K25" s="122" t="str">
        <f t="shared" si="2"/>
        <v>RENDBEN</v>
      </c>
      <c r="L25" s="161" t="s">
        <v>591</v>
      </c>
      <c r="M25" s="139">
        <f t="shared" si="4"/>
        <v>3582</v>
      </c>
      <c r="N25" s="191">
        <v>45240</v>
      </c>
      <c r="O25" s="195" t="s">
        <v>1074</v>
      </c>
      <c r="P25" s="1" t="s">
        <v>684</v>
      </c>
      <c r="Q25" s="173" t="s">
        <v>25</v>
      </c>
    </row>
    <row r="26" spans="1:17" ht="16.5" thickBot="1" x14ac:dyDescent="0.3">
      <c r="A26" s="149">
        <v>25</v>
      </c>
      <c r="B26" s="146" t="s">
        <v>26</v>
      </c>
      <c r="C26" s="86" t="s">
        <v>311</v>
      </c>
      <c r="D26" s="87" t="s">
        <v>331</v>
      </c>
      <c r="E26" s="222">
        <v>6446</v>
      </c>
      <c r="F26" s="116" t="s">
        <v>591</v>
      </c>
      <c r="G26" s="115" t="s">
        <v>586</v>
      </c>
      <c r="H26" s="120" t="s">
        <v>591</v>
      </c>
      <c r="I26" s="167">
        <v>5813</v>
      </c>
      <c r="J26" s="110">
        <f t="shared" si="3"/>
        <v>7813</v>
      </c>
      <c r="K26" s="123" t="str">
        <f t="shared" si="2"/>
        <v>RENDBEN</v>
      </c>
      <c r="L26" s="161" t="s">
        <v>591</v>
      </c>
      <c r="M26" s="139">
        <f t="shared" si="4"/>
        <v>7513</v>
      </c>
      <c r="N26" s="206">
        <v>45155</v>
      </c>
      <c r="O26" s="196" t="s">
        <v>811</v>
      </c>
      <c r="Q26" s="177" t="s">
        <v>26</v>
      </c>
    </row>
  </sheetData>
  <conditionalFormatting sqref="K1:K1048576">
    <cfRule type="cellIs" dxfId="902" priority="3" operator="equal">
      <formula>"SZERVIZ"</formula>
    </cfRule>
    <cfRule type="cellIs" dxfId="901" priority="4" operator="equal">
      <formula>"RENDBEN"</formula>
    </cfRule>
  </conditionalFormatting>
  <conditionalFormatting sqref="L1">
    <cfRule type="cellIs" dxfId="900" priority="1" operator="equal">
      <formula>"SZERVIZ"</formula>
    </cfRule>
    <cfRule type="cellIs" dxfId="899" priority="2" operator="equal">
      <formula>"RENDBEN"</formula>
    </cfRule>
  </conditionalFormatting>
  <pageMargins left="0.7" right="0.7" top="0.75" bottom="0.75" header="0.3" footer="0.3"/>
  <pageSetup paperSize="9" scale="6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4">
    <pageSetUpPr fitToPage="1"/>
  </sheetPr>
  <dimension ref="A1:H22"/>
  <sheetViews>
    <sheetView zoomScale="85" zoomScaleNormal="85" workbookViewId="0">
      <selection activeCell="E2" sqref="E2"/>
    </sheetView>
  </sheetViews>
  <sheetFormatPr defaultRowHeight="15" x14ac:dyDescent="0.25"/>
  <cols>
    <col min="1" max="1" width="19.85546875" style="1" customWidth="1"/>
    <col min="2" max="2" width="23.140625" style="1" customWidth="1"/>
    <col min="3" max="3" width="16.42578125" style="1" customWidth="1"/>
    <col min="4" max="4" width="28.28515625" style="1" customWidth="1"/>
    <col min="5" max="5" width="32.5703125" style="1" customWidth="1"/>
    <col min="6" max="6" width="16.28515625" style="1" customWidth="1"/>
    <col min="7" max="7" width="23.28515625" customWidth="1"/>
    <col min="8" max="8" width="24" customWidth="1"/>
    <col min="9" max="9" width="13" customWidth="1"/>
  </cols>
  <sheetData>
    <row r="1" spans="1:8" ht="60" customHeight="1" thickBot="1" x14ac:dyDescent="0.3">
      <c r="A1" s="249"/>
      <c r="B1" s="249"/>
      <c r="C1" s="7" t="s">
        <v>1931</v>
      </c>
      <c r="D1" s="7" t="s">
        <v>1932</v>
      </c>
      <c r="E1" s="442" t="s">
        <v>1933</v>
      </c>
      <c r="F1" s="7" t="s">
        <v>1975</v>
      </c>
      <c r="G1" s="7" t="s">
        <v>1474</v>
      </c>
      <c r="H1" s="7" t="s">
        <v>2005</v>
      </c>
    </row>
    <row r="2" spans="1:8" ht="49.9" customHeight="1" x14ac:dyDescent="0.25">
      <c r="A2" s="411" t="s">
        <v>590</v>
      </c>
      <c r="B2" s="422" t="s">
        <v>312</v>
      </c>
      <c r="C2" s="423" t="s">
        <v>1934</v>
      </c>
      <c r="D2" s="423" t="s">
        <v>1934</v>
      </c>
      <c r="E2" s="426" t="s">
        <v>1935</v>
      </c>
      <c r="F2" s="429">
        <v>45331</v>
      </c>
      <c r="G2" s="310"/>
      <c r="H2" s="281"/>
    </row>
    <row r="3" spans="1:8" ht="49.9" customHeight="1" x14ac:dyDescent="0.25">
      <c r="A3" s="412" t="s">
        <v>592</v>
      </c>
      <c r="B3" s="419" t="s">
        <v>313</v>
      </c>
      <c r="C3" s="2" t="s">
        <v>1934</v>
      </c>
      <c r="D3" s="2" t="s">
        <v>1934</v>
      </c>
      <c r="E3" s="21" t="s">
        <v>1934</v>
      </c>
      <c r="F3" s="25">
        <v>45344</v>
      </c>
      <c r="G3" s="105"/>
      <c r="H3" s="285"/>
    </row>
    <row r="4" spans="1:8" ht="49.9" customHeight="1" x14ac:dyDescent="0.25">
      <c r="A4" s="412" t="s">
        <v>593</v>
      </c>
      <c r="B4" s="419" t="s">
        <v>314</v>
      </c>
      <c r="C4" s="2" t="s">
        <v>1934</v>
      </c>
      <c r="D4" s="2" t="s">
        <v>1935</v>
      </c>
      <c r="E4" s="21" t="s">
        <v>1935</v>
      </c>
      <c r="F4" s="25">
        <v>45308</v>
      </c>
      <c r="G4" s="105"/>
      <c r="H4" s="285"/>
    </row>
    <row r="5" spans="1:8" ht="49.9" customHeight="1" x14ac:dyDescent="0.25">
      <c r="A5" s="412" t="s">
        <v>594</v>
      </c>
      <c r="B5" s="419" t="s">
        <v>315</v>
      </c>
      <c r="C5" s="2" t="s">
        <v>1934</v>
      </c>
      <c r="D5" s="2" t="s">
        <v>1934</v>
      </c>
      <c r="E5" s="21" t="s">
        <v>1935</v>
      </c>
      <c r="F5" s="25">
        <v>45329</v>
      </c>
      <c r="G5" s="105"/>
      <c r="H5" s="285"/>
    </row>
    <row r="6" spans="1:8" ht="49.9" customHeight="1" x14ac:dyDescent="0.25">
      <c r="A6" s="412" t="s">
        <v>595</v>
      </c>
      <c r="B6" s="419" t="s">
        <v>316</v>
      </c>
      <c r="C6" s="2" t="s">
        <v>1934</v>
      </c>
      <c r="D6" s="2" t="s">
        <v>1934</v>
      </c>
      <c r="E6" s="2" t="s">
        <v>1934</v>
      </c>
      <c r="F6" s="18" t="s">
        <v>2142</v>
      </c>
      <c r="G6" s="105"/>
      <c r="H6" s="285"/>
    </row>
    <row r="7" spans="1:8" ht="49.9" customHeight="1" x14ac:dyDescent="0.25">
      <c r="A7" s="412" t="s">
        <v>11</v>
      </c>
      <c r="B7" s="419" t="s">
        <v>317</v>
      </c>
      <c r="C7" s="2"/>
      <c r="D7" s="2"/>
      <c r="E7" s="21"/>
      <c r="F7" s="25"/>
      <c r="G7" s="105"/>
      <c r="H7" s="285"/>
    </row>
    <row r="8" spans="1:8" ht="49.9" customHeight="1" x14ac:dyDescent="0.25">
      <c r="A8" s="412" t="s">
        <v>12</v>
      </c>
      <c r="B8" s="419" t="s">
        <v>318</v>
      </c>
      <c r="C8" s="2" t="s">
        <v>1934</v>
      </c>
      <c r="D8" s="2" t="s">
        <v>1934</v>
      </c>
      <c r="E8" s="2" t="s">
        <v>1934</v>
      </c>
      <c r="F8" s="25">
        <v>45328</v>
      </c>
      <c r="G8" s="3">
        <v>45350</v>
      </c>
      <c r="H8" s="285"/>
    </row>
    <row r="9" spans="1:8" ht="49.9" customHeight="1" x14ac:dyDescent="0.25">
      <c r="A9" s="412" t="s">
        <v>13</v>
      </c>
      <c r="B9" s="419" t="s">
        <v>319</v>
      </c>
      <c r="C9" s="2" t="s">
        <v>1934</v>
      </c>
      <c r="D9" s="2" t="s">
        <v>1934</v>
      </c>
      <c r="E9" s="21" t="s">
        <v>1935</v>
      </c>
      <c r="F9" s="25">
        <v>45336</v>
      </c>
      <c r="G9" s="105"/>
      <c r="H9" s="285"/>
    </row>
    <row r="10" spans="1:8" ht="49.9" customHeight="1" x14ac:dyDescent="0.25">
      <c r="A10" s="412" t="s">
        <v>14</v>
      </c>
      <c r="B10" s="419" t="s">
        <v>320</v>
      </c>
      <c r="C10" s="2" t="s">
        <v>1934</v>
      </c>
      <c r="D10" s="2" t="s">
        <v>1934</v>
      </c>
      <c r="E10" s="21" t="s">
        <v>1935</v>
      </c>
      <c r="F10" s="25">
        <v>45338</v>
      </c>
      <c r="G10" s="105"/>
      <c r="H10" s="285"/>
    </row>
    <row r="11" spans="1:8" ht="49.9" customHeight="1" thickBot="1" x14ac:dyDescent="0.3">
      <c r="A11" s="413" t="s">
        <v>15</v>
      </c>
      <c r="B11" s="419" t="s">
        <v>321</v>
      </c>
      <c r="C11" s="2"/>
      <c r="D11" s="2"/>
      <c r="E11" s="21"/>
      <c r="F11" s="21"/>
      <c r="G11" s="105"/>
      <c r="H11" s="285"/>
    </row>
    <row r="12" spans="1:8" ht="49.9" customHeight="1" x14ac:dyDescent="0.25">
      <c r="A12" s="414" t="s">
        <v>16</v>
      </c>
      <c r="B12" s="420" t="s">
        <v>322</v>
      </c>
      <c r="C12" s="2" t="s">
        <v>1934</v>
      </c>
      <c r="D12" s="2" t="s">
        <v>1934</v>
      </c>
      <c r="E12" s="21" t="s">
        <v>1934</v>
      </c>
      <c r="F12" s="25">
        <v>45343</v>
      </c>
      <c r="G12" s="105"/>
      <c r="H12" s="285"/>
    </row>
    <row r="13" spans="1:8" ht="49.9" customHeight="1" x14ac:dyDescent="0.25">
      <c r="A13" s="415" t="s">
        <v>17</v>
      </c>
      <c r="B13" s="420" t="s">
        <v>323</v>
      </c>
      <c r="C13" s="2"/>
      <c r="D13" s="2"/>
      <c r="E13" s="21"/>
      <c r="F13" s="21"/>
      <c r="G13" s="105"/>
      <c r="H13" s="285"/>
    </row>
    <row r="14" spans="1:8" ht="49.9" customHeight="1" x14ac:dyDescent="0.25">
      <c r="A14" s="415" t="s">
        <v>18</v>
      </c>
      <c r="B14" s="420" t="s">
        <v>207</v>
      </c>
      <c r="C14" s="2"/>
      <c r="D14" s="2"/>
      <c r="E14" s="21"/>
      <c r="F14" s="21"/>
      <c r="G14" s="105"/>
      <c r="H14" s="285"/>
    </row>
    <row r="15" spans="1:8" ht="49.9" customHeight="1" x14ac:dyDescent="0.25">
      <c r="A15" s="415" t="s">
        <v>19</v>
      </c>
      <c r="B15" s="420" t="s">
        <v>324</v>
      </c>
      <c r="C15" s="2"/>
      <c r="D15" s="2"/>
      <c r="E15" s="21"/>
      <c r="F15" s="21"/>
      <c r="G15" s="105"/>
      <c r="H15" s="285"/>
    </row>
    <row r="16" spans="1:8" ht="49.9" customHeight="1" x14ac:dyDescent="0.25">
      <c r="A16" s="415" t="s">
        <v>20</v>
      </c>
      <c r="B16" s="420" t="s">
        <v>325</v>
      </c>
      <c r="C16" s="2" t="s">
        <v>1934</v>
      </c>
      <c r="D16" s="2" t="s">
        <v>1934</v>
      </c>
      <c r="E16" s="21" t="s">
        <v>1935</v>
      </c>
      <c r="F16" s="25">
        <v>45317</v>
      </c>
      <c r="G16" s="105"/>
      <c r="H16" s="285"/>
    </row>
    <row r="17" spans="1:8" ht="49.9" customHeight="1" thickBot="1" x14ac:dyDescent="0.3">
      <c r="A17" s="416" t="s">
        <v>21</v>
      </c>
      <c r="B17" s="420" t="s">
        <v>326</v>
      </c>
      <c r="C17" s="2"/>
      <c r="D17" s="2"/>
      <c r="E17" s="21"/>
      <c r="F17" s="21"/>
      <c r="G17" s="105"/>
      <c r="H17" s="285"/>
    </row>
    <row r="18" spans="1:8" ht="49.9" customHeight="1" x14ac:dyDescent="0.25">
      <c r="A18" s="417" t="s">
        <v>22</v>
      </c>
      <c r="B18" s="421" t="s">
        <v>327</v>
      </c>
      <c r="C18" s="2"/>
      <c r="D18" s="2"/>
      <c r="E18" s="21"/>
      <c r="F18" s="21"/>
      <c r="G18" s="105"/>
      <c r="H18" s="285"/>
    </row>
    <row r="19" spans="1:8" ht="49.9" customHeight="1" thickBot="1" x14ac:dyDescent="0.3">
      <c r="A19" s="418" t="s">
        <v>23</v>
      </c>
      <c r="B19" s="421" t="s">
        <v>328</v>
      </c>
      <c r="C19" s="2"/>
      <c r="D19" s="2"/>
      <c r="E19" s="21"/>
      <c r="F19" s="21"/>
      <c r="G19" s="105"/>
      <c r="H19" s="285"/>
    </row>
    <row r="20" spans="1:8" ht="49.9" customHeight="1" x14ac:dyDescent="0.25">
      <c r="A20" s="424" t="s">
        <v>24</v>
      </c>
      <c r="B20" s="420" t="s">
        <v>329</v>
      </c>
      <c r="C20" s="2"/>
      <c r="D20" s="2"/>
      <c r="E20" s="21"/>
      <c r="F20" s="21"/>
      <c r="G20" s="105"/>
      <c r="H20" s="285"/>
    </row>
    <row r="21" spans="1:8" ht="49.9" customHeight="1" x14ac:dyDescent="0.25">
      <c r="A21" s="415" t="s">
        <v>25</v>
      </c>
      <c r="B21" s="420" t="s">
        <v>330</v>
      </c>
      <c r="C21" s="2"/>
      <c r="D21" s="2"/>
      <c r="E21" s="21"/>
      <c r="F21" s="21"/>
      <c r="G21" s="105"/>
      <c r="H21" s="285"/>
    </row>
    <row r="22" spans="1:8" ht="49.9" customHeight="1" thickBot="1" x14ac:dyDescent="0.3">
      <c r="A22" s="416" t="s">
        <v>26</v>
      </c>
      <c r="B22" s="425" t="s">
        <v>331</v>
      </c>
      <c r="C22" s="109"/>
      <c r="D22" s="109"/>
      <c r="E22" s="239"/>
      <c r="F22" s="239"/>
      <c r="G22" s="345"/>
      <c r="H22" s="287"/>
    </row>
  </sheetData>
  <conditionalFormatting sqref="G1:H1 C1:E1048576">
    <cfRule type="cellIs" dxfId="898" priority="1" operator="equal">
      <formula>"X"</formula>
    </cfRule>
    <cfRule type="cellIs" dxfId="897" priority="2" operator="equal">
      <formula>"OK"</formula>
    </cfRule>
  </conditionalFormatting>
  <pageMargins left="0.7" right="0.7" top="0.75" bottom="0.75" header="0.3" footer="0.3"/>
  <pageSetup paperSize="9" scale="47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8"/>
  <dimension ref="A1:C26"/>
  <sheetViews>
    <sheetView workbookViewId="0">
      <selection activeCell="E6" sqref="E6:F6"/>
    </sheetView>
  </sheetViews>
  <sheetFormatPr defaultRowHeight="15" x14ac:dyDescent="0.25"/>
  <cols>
    <col min="1" max="2" width="19.140625" customWidth="1"/>
    <col min="3" max="3" width="15.85546875" customWidth="1"/>
  </cols>
  <sheetData>
    <row r="1" spans="1:3" ht="46.15" customHeight="1" thickBot="1" x14ac:dyDescent="0.3">
      <c r="A1" s="2"/>
      <c r="B1" s="2"/>
      <c r="C1" s="455" t="s">
        <v>2116</v>
      </c>
    </row>
    <row r="2" spans="1:3" ht="22.9" customHeight="1" x14ac:dyDescent="0.25">
      <c r="A2" s="150" t="s">
        <v>585</v>
      </c>
      <c r="B2" s="456" t="s">
        <v>306</v>
      </c>
      <c r="C2" s="455" t="s">
        <v>684</v>
      </c>
    </row>
    <row r="3" spans="1:3" ht="22.9" customHeight="1" x14ac:dyDescent="0.25">
      <c r="A3" s="151" t="s">
        <v>587</v>
      </c>
      <c r="B3" s="457" t="s">
        <v>307</v>
      </c>
      <c r="C3" s="459" t="s">
        <v>2117</v>
      </c>
    </row>
    <row r="4" spans="1:3" ht="22.9" customHeight="1" x14ac:dyDescent="0.25">
      <c r="A4" s="151" t="s">
        <v>588</v>
      </c>
      <c r="B4" s="457" t="s">
        <v>309</v>
      </c>
      <c r="C4" s="455" t="s">
        <v>684</v>
      </c>
    </row>
    <row r="5" spans="1:3" ht="22.9" customHeight="1" thickBot="1" x14ac:dyDescent="0.3">
      <c r="A5" s="152" t="s">
        <v>589</v>
      </c>
      <c r="B5" s="458" t="s">
        <v>310</v>
      </c>
      <c r="C5" s="455" t="s">
        <v>684</v>
      </c>
    </row>
    <row r="6" spans="1:3" ht="22.9" customHeight="1" x14ac:dyDescent="0.25">
      <c r="A6" s="419" t="s">
        <v>590</v>
      </c>
      <c r="B6" s="419" t="s">
        <v>312</v>
      </c>
      <c r="C6" s="455" t="s">
        <v>684</v>
      </c>
    </row>
    <row r="7" spans="1:3" ht="22.9" customHeight="1" x14ac:dyDescent="0.25">
      <c r="A7" s="419" t="s">
        <v>592</v>
      </c>
      <c r="B7" s="419" t="s">
        <v>313</v>
      </c>
      <c r="C7" s="455" t="s">
        <v>684</v>
      </c>
    </row>
    <row r="8" spans="1:3" ht="22.9" customHeight="1" x14ac:dyDescent="0.25">
      <c r="A8" s="419" t="s">
        <v>593</v>
      </c>
      <c r="B8" s="419" t="s">
        <v>314</v>
      </c>
      <c r="C8" s="455" t="s">
        <v>684</v>
      </c>
    </row>
    <row r="9" spans="1:3" ht="22.9" customHeight="1" x14ac:dyDescent="0.25">
      <c r="A9" s="419" t="s">
        <v>594</v>
      </c>
      <c r="B9" s="419" t="s">
        <v>315</v>
      </c>
      <c r="C9" s="455" t="s">
        <v>684</v>
      </c>
    </row>
    <row r="10" spans="1:3" ht="22.9" customHeight="1" x14ac:dyDescent="0.25">
      <c r="A10" s="419" t="s">
        <v>595</v>
      </c>
      <c r="B10" s="419" t="s">
        <v>316</v>
      </c>
      <c r="C10" s="455" t="s">
        <v>684</v>
      </c>
    </row>
    <row r="11" spans="1:3" ht="22.9" customHeight="1" x14ac:dyDescent="0.25">
      <c r="A11" s="419" t="s">
        <v>11</v>
      </c>
      <c r="B11" s="419" t="s">
        <v>317</v>
      </c>
      <c r="C11" s="455" t="s">
        <v>684</v>
      </c>
    </row>
    <row r="12" spans="1:3" ht="22.9" customHeight="1" x14ac:dyDescent="0.25">
      <c r="A12" s="419" t="s">
        <v>12</v>
      </c>
      <c r="B12" s="419" t="s">
        <v>318</v>
      </c>
      <c r="C12" s="455" t="s">
        <v>684</v>
      </c>
    </row>
    <row r="13" spans="1:3" ht="22.9" customHeight="1" x14ac:dyDescent="0.25">
      <c r="A13" s="419" t="s">
        <v>13</v>
      </c>
      <c r="B13" s="419" t="s">
        <v>319</v>
      </c>
      <c r="C13" s="455" t="s">
        <v>684</v>
      </c>
    </row>
    <row r="14" spans="1:3" ht="22.9" customHeight="1" x14ac:dyDescent="0.25">
      <c r="A14" s="419" t="s">
        <v>14</v>
      </c>
      <c r="B14" s="419" t="s">
        <v>320</v>
      </c>
      <c r="C14" s="455" t="s">
        <v>684</v>
      </c>
    </row>
    <row r="15" spans="1:3" ht="22.9" customHeight="1" x14ac:dyDescent="0.25">
      <c r="A15" s="419" t="s">
        <v>15</v>
      </c>
      <c r="B15" s="419" t="s">
        <v>321</v>
      </c>
      <c r="C15" s="455" t="s">
        <v>684</v>
      </c>
    </row>
    <row r="16" spans="1:3" ht="22.9" customHeight="1" x14ac:dyDescent="0.25">
      <c r="A16" s="420" t="s">
        <v>16</v>
      </c>
      <c r="B16" s="420" t="s">
        <v>322</v>
      </c>
      <c r="C16" s="455" t="s">
        <v>684</v>
      </c>
    </row>
    <row r="17" spans="1:3" ht="22.9" customHeight="1" x14ac:dyDescent="0.25">
      <c r="A17" s="420" t="s">
        <v>17</v>
      </c>
      <c r="B17" s="420" t="s">
        <v>323</v>
      </c>
      <c r="C17" s="455" t="s">
        <v>684</v>
      </c>
    </row>
    <row r="18" spans="1:3" ht="22.9" customHeight="1" x14ac:dyDescent="0.25">
      <c r="A18" s="420" t="s">
        <v>18</v>
      </c>
      <c r="B18" s="420" t="s">
        <v>207</v>
      </c>
      <c r="C18" s="455" t="s">
        <v>684</v>
      </c>
    </row>
    <row r="19" spans="1:3" ht="22.9" customHeight="1" x14ac:dyDescent="0.25">
      <c r="A19" s="420" t="s">
        <v>19</v>
      </c>
      <c r="B19" s="420" t="s">
        <v>324</v>
      </c>
      <c r="C19" s="455" t="s">
        <v>684</v>
      </c>
    </row>
    <row r="20" spans="1:3" ht="22.9" customHeight="1" x14ac:dyDescent="0.25">
      <c r="A20" s="420" t="s">
        <v>20</v>
      </c>
      <c r="B20" s="420" t="s">
        <v>325</v>
      </c>
      <c r="C20" s="455" t="s">
        <v>684</v>
      </c>
    </row>
    <row r="21" spans="1:3" ht="22.9" customHeight="1" x14ac:dyDescent="0.25">
      <c r="A21" s="420" t="s">
        <v>21</v>
      </c>
      <c r="B21" s="420" t="s">
        <v>326</v>
      </c>
      <c r="C21" s="455" t="s">
        <v>684</v>
      </c>
    </row>
    <row r="22" spans="1:3" ht="22.9" customHeight="1" x14ac:dyDescent="0.25">
      <c r="A22" s="421" t="s">
        <v>22</v>
      </c>
      <c r="B22" s="421" t="s">
        <v>327</v>
      </c>
      <c r="C22" s="455" t="s">
        <v>684</v>
      </c>
    </row>
    <row r="23" spans="1:3" ht="22.9" customHeight="1" x14ac:dyDescent="0.25">
      <c r="A23" s="421" t="s">
        <v>23</v>
      </c>
      <c r="B23" s="421" t="s">
        <v>328</v>
      </c>
      <c r="C23" s="455" t="s">
        <v>684</v>
      </c>
    </row>
    <row r="24" spans="1:3" ht="22.9" customHeight="1" x14ac:dyDescent="0.25">
      <c r="A24" s="420" t="s">
        <v>24</v>
      </c>
      <c r="B24" s="420" t="s">
        <v>329</v>
      </c>
      <c r="C24" s="455" t="s">
        <v>684</v>
      </c>
    </row>
    <row r="25" spans="1:3" ht="22.9" customHeight="1" x14ac:dyDescent="0.25">
      <c r="A25" s="420" t="s">
        <v>25</v>
      </c>
      <c r="B25" s="420" t="s">
        <v>330</v>
      </c>
      <c r="C25" s="455" t="s">
        <v>684</v>
      </c>
    </row>
    <row r="26" spans="1:3" ht="22.9" customHeight="1" x14ac:dyDescent="0.25">
      <c r="A26" s="420" t="s">
        <v>26</v>
      </c>
      <c r="B26" s="420" t="s">
        <v>331</v>
      </c>
      <c r="C26" s="455" t="s">
        <v>684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/>
  <dimension ref="A1:L26"/>
  <sheetViews>
    <sheetView workbookViewId="0">
      <selection activeCell="F25" sqref="F25"/>
    </sheetView>
  </sheetViews>
  <sheetFormatPr defaultRowHeight="15" x14ac:dyDescent="0.25"/>
  <cols>
    <col min="1" max="1" width="16.140625" customWidth="1"/>
    <col min="2" max="2" width="22.140625" customWidth="1"/>
    <col min="3" max="3" width="16.28515625" style="1" customWidth="1"/>
    <col min="4" max="4" width="18" style="1" customWidth="1"/>
    <col min="5" max="5" width="13.28515625" style="1" customWidth="1"/>
    <col min="6" max="6" width="29.7109375" style="1" customWidth="1"/>
    <col min="7" max="7" width="13.28515625" customWidth="1"/>
    <col min="8" max="8" width="13.28515625" style="1" customWidth="1"/>
    <col min="9" max="9" width="13.42578125" customWidth="1"/>
    <col min="10" max="10" width="10.28515625" style="1" customWidth="1"/>
    <col min="11" max="11" width="12.5703125" style="193" customWidth="1"/>
    <col min="12" max="12" width="13.5703125" style="193" customWidth="1"/>
  </cols>
  <sheetData>
    <row r="1" spans="1:12" s="410" customFormat="1" ht="43.9" customHeight="1" thickBot="1" x14ac:dyDescent="0.3">
      <c r="A1" s="450"/>
      <c r="B1" s="451"/>
      <c r="C1" s="443" t="s">
        <v>1994</v>
      </c>
      <c r="D1" s="444" t="s">
        <v>1995</v>
      </c>
      <c r="E1" s="445" t="s">
        <v>1991</v>
      </c>
      <c r="F1" s="446" t="s">
        <v>2068</v>
      </c>
      <c r="H1" s="452" t="s">
        <v>2082</v>
      </c>
      <c r="I1" s="452" t="s">
        <v>2083</v>
      </c>
      <c r="J1" s="452" t="s">
        <v>2115</v>
      </c>
      <c r="K1" s="453" t="s">
        <v>2084</v>
      </c>
      <c r="L1" s="453" t="s">
        <v>2085</v>
      </c>
    </row>
    <row r="2" spans="1:12" ht="25.15" customHeight="1" thickBot="1" x14ac:dyDescent="0.3">
      <c r="A2" s="150" t="s">
        <v>585</v>
      </c>
      <c r="B2" s="427" t="s">
        <v>306</v>
      </c>
      <c r="C2" s="423" t="s">
        <v>1992</v>
      </c>
      <c r="D2" s="423" t="s">
        <v>1992</v>
      </c>
      <c r="E2" s="426" t="s">
        <v>1992</v>
      </c>
      <c r="F2" s="249" t="s">
        <v>2070</v>
      </c>
      <c r="H2" s="452">
        <f>COUNTIF(F:F,"Ok")</f>
        <v>9</v>
      </c>
      <c r="I2" s="452">
        <f>COUNTIF(F:F,"Kell")</f>
        <v>6</v>
      </c>
      <c r="J2" s="452">
        <f>H2+K2</f>
        <v>16</v>
      </c>
      <c r="K2" s="452">
        <v>7</v>
      </c>
      <c r="L2" s="454">
        <f>20-J2</f>
        <v>4</v>
      </c>
    </row>
    <row r="3" spans="1:12" ht="25.15" customHeight="1" x14ac:dyDescent="0.25">
      <c r="A3" s="151" t="s">
        <v>587</v>
      </c>
      <c r="B3" s="428" t="s">
        <v>307</v>
      </c>
      <c r="C3" s="2" t="s">
        <v>1992</v>
      </c>
      <c r="D3" s="2" t="s">
        <v>1992</v>
      </c>
      <c r="E3" s="21" t="s">
        <v>1992</v>
      </c>
      <c r="F3" s="28" t="s">
        <v>2081</v>
      </c>
    </row>
    <row r="4" spans="1:12" ht="25.15" customHeight="1" thickBot="1" x14ac:dyDescent="0.3">
      <c r="A4" s="151" t="s">
        <v>588</v>
      </c>
      <c r="B4" s="428" t="s">
        <v>309</v>
      </c>
      <c r="C4" s="2" t="s">
        <v>1992</v>
      </c>
      <c r="D4" s="2" t="s">
        <v>1992</v>
      </c>
      <c r="E4" s="21" t="s">
        <v>1992</v>
      </c>
      <c r="F4" s="226" t="s">
        <v>1992</v>
      </c>
      <c r="G4" s="488"/>
    </row>
    <row r="5" spans="1:12" ht="25.15" customHeight="1" thickBot="1" x14ac:dyDescent="0.3">
      <c r="A5" s="152" t="s">
        <v>589</v>
      </c>
      <c r="B5" s="449" t="s">
        <v>310</v>
      </c>
      <c r="C5" s="109" t="s">
        <v>1992</v>
      </c>
      <c r="D5" s="109" t="s">
        <v>1992</v>
      </c>
      <c r="E5" s="239" t="s">
        <v>1992</v>
      </c>
      <c r="F5" s="28" t="s">
        <v>2081</v>
      </c>
    </row>
    <row r="6" spans="1:12" ht="25.15" customHeight="1" thickBot="1" x14ac:dyDescent="0.3">
      <c r="A6" s="447" t="s">
        <v>590</v>
      </c>
      <c r="B6" s="448" t="s">
        <v>312</v>
      </c>
      <c r="C6" s="4" t="s">
        <v>1992</v>
      </c>
      <c r="D6" s="4" t="s">
        <v>1992</v>
      </c>
      <c r="E6" s="22" t="s">
        <v>1992</v>
      </c>
      <c r="F6" s="226" t="s">
        <v>1992</v>
      </c>
    </row>
    <row r="7" spans="1:12" ht="25.15" customHeight="1" thickBot="1" x14ac:dyDescent="0.3">
      <c r="A7" s="170" t="s">
        <v>592</v>
      </c>
      <c r="B7" s="135" t="s">
        <v>313</v>
      </c>
      <c r="C7" s="2" t="s">
        <v>1992</v>
      </c>
      <c r="D7" s="2" t="s">
        <v>1992</v>
      </c>
      <c r="E7" s="21" t="s">
        <v>1992</v>
      </c>
      <c r="F7" s="226" t="s">
        <v>2070</v>
      </c>
    </row>
    <row r="8" spans="1:12" ht="25.15" customHeight="1" thickBot="1" x14ac:dyDescent="0.3">
      <c r="A8" s="170" t="s">
        <v>593</v>
      </c>
      <c r="B8" s="135" t="s">
        <v>314</v>
      </c>
      <c r="C8" s="2" t="s">
        <v>1992</v>
      </c>
      <c r="D8" s="2" t="s">
        <v>1992</v>
      </c>
      <c r="E8" s="21" t="s">
        <v>1992</v>
      </c>
      <c r="F8" s="226" t="s">
        <v>2070</v>
      </c>
    </row>
    <row r="9" spans="1:12" ht="25.15" customHeight="1" x14ac:dyDescent="0.25">
      <c r="A9" s="170" t="s">
        <v>594</v>
      </c>
      <c r="B9" s="135" t="s">
        <v>315</v>
      </c>
      <c r="C9" s="2" t="s">
        <v>1992</v>
      </c>
      <c r="D9" s="2" t="s">
        <v>1992</v>
      </c>
      <c r="E9" s="21" t="s">
        <v>1992</v>
      </c>
      <c r="F9" s="28" t="s">
        <v>1992</v>
      </c>
    </row>
    <row r="10" spans="1:12" ht="25.15" customHeight="1" x14ac:dyDescent="0.25">
      <c r="A10" s="170" t="s">
        <v>595</v>
      </c>
      <c r="B10" s="135" t="s">
        <v>316</v>
      </c>
      <c r="C10" s="2" t="s">
        <v>1992</v>
      </c>
      <c r="D10" s="2" t="s">
        <v>1992</v>
      </c>
      <c r="E10" s="21" t="s">
        <v>1992</v>
      </c>
      <c r="F10" s="28" t="s">
        <v>1992</v>
      </c>
      <c r="G10" s="488"/>
    </row>
    <row r="11" spans="1:12" ht="25.15" customHeight="1" x14ac:dyDescent="0.25">
      <c r="A11" s="170" t="s">
        <v>11</v>
      </c>
      <c r="B11" s="135" t="s">
        <v>317</v>
      </c>
      <c r="C11" s="2" t="s">
        <v>1992</v>
      </c>
      <c r="D11" s="2" t="s">
        <v>1992</v>
      </c>
      <c r="E11" s="21" t="s">
        <v>1992</v>
      </c>
      <c r="F11" s="28" t="s">
        <v>2069</v>
      </c>
    </row>
    <row r="12" spans="1:12" ht="25.15" customHeight="1" x14ac:dyDescent="0.25">
      <c r="A12" s="170" t="s">
        <v>12</v>
      </c>
      <c r="B12" s="135" t="s">
        <v>318</v>
      </c>
      <c r="C12" s="2" t="s">
        <v>1992</v>
      </c>
      <c r="D12" s="2" t="s">
        <v>1992</v>
      </c>
      <c r="E12" s="21" t="s">
        <v>1992</v>
      </c>
      <c r="F12" s="28" t="s">
        <v>1992</v>
      </c>
    </row>
    <row r="13" spans="1:12" ht="25.15" customHeight="1" x14ac:dyDescent="0.25">
      <c r="A13" s="170" t="s">
        <v>13</v>
      </c>
      <c r="B13" s="135" t="s">
        <v>319</v>
      </c>
      <c r="C13" s="2" t="s">
        <v>1992</v>
      </c>
      <c r="D13" s="2" t="s">
        <v>1992</v>
      </c>
      <c r="E13" s="21" t="s">
        <v>1992</v>
      </c>
      <c r="F13" s="28" t="s">
        <v>1992</v>
      </c>
    </row>
    <row r="14" spans="1:12" ht="25.15" customHeight="1" thickBot="1" x14ac:dyDescent="0.3">
      <c r="A14" s="170" t="s">
        <v>14</v>
      </c>
      <c r="B14" s="135" t="s">
        <v>320</v>
      </c>
      <c r="C14" s="2" t="s">
        <v>1992</v>
      </c>
      <c r="D14" s="2" t="s">
        <v>1992</v>
      </c>
      <c r="E14" s="21" t="s">
        <v>1992</v>
      </c>
      <c r="F14" s="226" t="s">
        <v>2070</v>
      </c>
      <c r="G14" s="1" t="s">
        <v>1935</v>
      </c>
    </row>
    <row r="15" spans="1:12" ht="25.15" customHeight="1" thickBot="1" x14ac:dyDescent="0.3">
      <c r="A15" s="171" t="s">
        <v>15</v>
      </c>
      <c r="B15" s="136" t="s">
        <v>321</v>
      </c>
      <c r="C15" s="2" t="s">
        <v>1992</v>
      </c>
      <c r="D15" s="2" t="s">
        <v>1992</v>
      </c>
      <c r="E15" s="21" t="s">
        <v>1992</v>
      </c>
      <c r="F15" s="226" t="s">
        <v>2070</v>
      </c>
    </row>
    <row r="16" spans="1:12" ht="25.15" customHeight="1" thickBot="1" x14ac:dyDescent="0.3">
      <c r="A16" s="67" t="s">
        <v>16</v>
      </c>
      <c r="B16" s="69" t="s">
        <v>322</v>
      </c>
      <c r="C16" s="2" t="s">
        <v>1992</v>
      </c>
      <c r="D16" s="2" t="s">
        <v>1992</v>
      </c>
      <c r="E16" s="21" t="s">
        <v>1992</v>
      </c>
      <c r="F16" s="226" t="s">
        <v>2070</v>
      </c>
    </row>
    <row r="17" spans="1:7" ht="25.15" customHeight="1" x14ac:dyDescent="0.25">
      <c r="A17" s="70" t="s">
        <v>17</v>
      </c>
      <c r="B17" s="72" t="s">
        <v>323</v>
      </c>
      <c r="C17" s="2" t="s">
        <v>1992</v>
      </c>
      <c r="D17" s="2" t="s">
        <v>1992</v>
      </c>
      <c r="E17" s="21" t="s">
        <v>1992</v>
      </c>
      <c r="F17" s="28" t="s">
        <v>1992</v>
      </c>
    </row>
    <row r="18" spans="1:7" ht="25.15" customHeight="1" thickBot="1" x14ac:dyDescent="0.3">
      <c r="A18" s="70" t="s">
        <v>18</v>
      </c>
      <c r="B18" s="72" t="s">
        <v>207</v>
      </c>
      <c r="C18" s="2" t="s">
        <v>1992</v>
      </c>
      <c r="D18" s="2" t="s">
        <v>1992</v>
      </c>
      <c r="E18" s="21" t="s">
        <v>1992</v>
      </c>
      <c r="F18" s="226" t="s">
        <v>2070</v>
      </c>
    </row>
    <row r="19" spans="1:7" ht="25.15" customHeight="1" x14ac:dyDescent="0.25">
      <c r="A19" s="70" t="s">
        <v>19</v>
      </c>
      <c r="B19" s="72" t="s">
        <v>324</v>
      </c>
      <c r="C19" s="2" t="s">
        <v>1992</v>
      </c>
      <c r="D19" s="2" t="s">
        <v>1992</v>
      </c>
      <c r="E19" s="21" t="s">
        <v>1992</v>
      </c>
      <c r="F19" s="487" t="s">
        <v>1992</v>
      </c>
      <c r="G19" s="488"/>
    </row>
    <row r="20" spans="1:7" ht="25.15" customHeight="1" thickBot="1" x14ac:dyDescent="0.3">
      <c r="A20" s="70" t="s">
        <v>20</v>
      </c>
      <c r="B20" s="72" t="s">
        <v>325</v>
      </c>
      <c r="C20" s="2" t="s">
        <v>1993</v>
      </c>
      <c r="D20" s="2" t="s">
        <v>1992</v>
      </c>
      <c r="E20" s="21" t="s">
        <v>1992</v>
      </c>
      <c r="F20" s="226" t="s">
        <v>2070</v>
      </c>
    </row>
    <row r="21" spans="1:7" ht="25.15" customHeight="1" thickBot="1" x14ac:dyDescent="0.3">
      <c r="A21" s="85" t="s">
        <v>21</v>
      </c>
      <c r="B21" s="87" t="s">
        <v>326</v>
      </c>
      <c r="C21" s="2" t="s">
        <v>1993</v>
      </c>
      <c r="D21" s="2" t="s">
        <v>1992</v>
      </c>
      <c r="E21" s="21" t="s">
        <v>1992</v>
      </c>
      <c r="F21" s="28" t="s">
        <v>2069</v>
      </c>
      <c r="G21" s="1" t="s">
        <v>1935</v>
      </c>
    </row>
    <row r="22" spans="1:7" ht="25.15" customHeight="1" thickBot="1" x14ac:dyDescent="0.3">
      <c r="A22" s="76" t="s">
        <v>22</v>
      </c>
      <c r="B22" s="78" t="s">
        <v>327</v>
      </c>
      <c r="C22" s="2" t="s">
        <v>1992</v>
      </c>
      <c r="D22" s="2" t="s">
        <v>1992</v>
      </c>
      <c r="E22" s="21" t="s">
        <v>1992</v>
      </c>
      <c r="F22" s="226" t="s">
        <v>2070</v>
      </c>
    </row>
    <row r="23" spans="1:7" ht="25.15" customHeight="1" thickBot="1" x14ac:dyDescent="0.3">
      <c r="A23" s="79" t="s">
        <v>23</v>
      </c>
      <c r="B23" s="81" t="s">
        <v>328</v>
      </c>
      <c r="C23" s="2" t="s">
        <v>1992</v>
      </c>
      <c r="D23" s="2" t="s">
        <v>1992</v>
      </c>
      <c r="E23" s="21" t="s">
        <v>1993</v>
      </c>
      <c r="F23" s="28" t="s">
        <v>2069</v>
      </c>
      <c r="G23" s="1" t="s">
        <v>1935</v>
      </c>
    </row>
    <row r="24" spans="1:7" ht="25.15" customHeight="1" x14ac:dyDescent="0.25">
      <c r="A24" s="82" t="s">
        <v>24</v>
      </c>
      <c r="B24" s="84" t="s">
        <v>329</v>
      </c>
      <c r="C24" s="2" t="s">
        <v>1992</v>
      </c>
      <c r="D24" s="2" t="s">
        <v>1992</v>
      </c>
      <c r="E24" s="21" t="s">
        <v>1992</v>
      </c>
      <c r="F24" s="28" t="s">
        <v>1992</v>
      </c>
      <c r="G24" s="488"/>
    </row>
    <row r="25" spans="1:7" ht="25.15" customHeight="1" x14ac:dyDescent="0.25">
      <c r="A25" s="70" t="s">
        <v>25</v>
      </c>
      <c r="B25" s="72" t="s">
        <v>330</v>
      </c>
      <c r="C25" s="2" t="s">
        <v>1992</v>
      </c>
      <c r="D25" s="2" t="s">
        <v>1992</v>
      </c>
      <c r="E25" s="21" t="s">
        <v>1992</v>
      </c>
      <c r="F25" s="28" t="s">
        <v>2069</v>
      </c>
    </row>
    <row r="26" spans="1:7" ht="25.15" customHeight="1" thickBot="1" x14ac:dyDescent="0.3">
      <c r="A26" s="85" t="s">
        <v>26</v>
      </c>
      <c r="B26" s="87" t="s">
        <v>331</v>
      </c>
      <c r="C26" s="109" t="s">
        <v>1992</v>
      </c>
      <c r="D26" s="109" t="s">
        <v>1993</v>
      </c>
      <c r="E26" s="239" t="s">
        <v>1992</v>
      </c>
      <c r="F26" s="226" t="s">
        <v>2070</v>
      </c>
    </row>
  </sheetData>
  <conditionalFormatting sqref="C1:E1048576 G23 G21 G14">
    <cfRule type="cellIs" dxfId="896" priority="13" operator="equal">
      <formula>"Nok"</formula>
    </cfRule>
    <cfRule type="cellIs" dxfId="895" priority="14" operator="equal">
      <formula>"Ok"</formula>
    </cfRule>
  </conditionalFormatting>
  <conditionalFormatting sqref="F9:F10">
    <cfRule type="cellIs" dxfId="894" priority="11" operator="equal">
      <formula>"Nok"</formula>
    </cfRule>
    <cfRule type="cellIs" dxfId="893" priority="12" operator="equal">
      <formula>"Ok"</formula>
    </cfRule>
  </conditionalFormatting>
  <conditionalFormatting sqref="F12:F13">
    <cfRule type="cellIs" dxfId="892" priority="9" operator="equal">
      <formula>"Nok"</formula>
    </cfRule>
    <cfRule type="cellIs" dxfId="891" priority="10" operator="equal">
      <formula>"Ok"</formula>
    </cfRule>
  </conditionalFormatting>
  <conditionalFormatting sqref="F24">
    <cfRule type="cellIs" dxfId="890" priority="7" operator="equal">
      <formula>"Nok"</formula>
    </cfRule>
    <cfRule type="cellIs" dxfId="889" priority="8" operator="equal">
      <formula>"Ok"</formula>
    </cfRule>
  </conditionalFormatting>
  <conditionalFormatting sqref="F4 F6">
    <cfRule type="cellIs" dxfId="888" priority="5" operator="equal">
      <formula>"Nok"</formula>
    </cfRule>
    <cfRule type="cellIs" dxfId="887" priority="6" operator="equal">
      <formula>"Ok"</formula>
    </cfRule>
  </conditionalFormatting>
  <conditionalFormatting sqref="F17">
    <cfRule type="cellIs" dxfId="886" priority="3" operator="equal">
      <formula>"Nok"</formula>
    </cfRule>
    <cfRule type="cellIs" dxfId="885" priority="4" operator="equal">
      <formula>"Ok"</formula>
    </cfRule>
  </conditionalFormatting>
  <conditionalFormatting sqref="F19">
    <cfRule type="cellIs" dxfId="884" priority="1" operator="equal">
      <formula>"Nok"</formula>
    </cfRule>
    <cfRule type="cellIs" dxfId="883" priority="2" operator="equal">
      <formula>"Ok"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9">
    <pageSetUpPr fitToPage="1"/>
  </sheetPr>
  <dimension ref="C4:H7"/>
  <sheetViews>
    <sheetView workbookViewId="0">
      <selection activeCell="H13" sqref="H13"/>
    </sheetView>
  </sheetViews>
  <sheetFormatPr defaultColWidth="8.85546875" defaultRowHeight="18.75" x14ac:dyDescent="0.25"/>
  <cols>
    <col min="1" max="2" width="8.85546875" style="1"/>
    <col min="3" max="3" width="19.85546875" style="478" customWidth="1"/>
    <col min="4" max="4" width="55" style="1" customWidth="1"/>
    <col min="5" max="5" width="15.28515625" style="1" customWidth="1"/>
    <col min="6" max="6" width="15.85546875" style="1" customWidth="1"/>
    <col min="7" max="7" width="14.42578125" style="1" customWidth="1"/>
    <col min="8" max="8" width="13" style="1" customWidth="1"/>
    <col min="9" max="16384" width="8.85546875" style="1"/>
  </cols>
  <sheetData>
    <row r="4" spans="3:8" ht="19.5" thickBot="1" x14ac:dyDescent="0.3"/>
    <row r="5" spans="3:8" ht="57" thickBot="1" x14ac:dyDescent="0.3">
      <c r="C5" s="479" t="s">
        <v>2123</v>
      </c>
      <c r="D5" s="479" t="s">
        <v>2119</v>
      </c>
      <c r="E5" s="480" t="s">
        <v>2120</v>
      </c>
      <c r="F5" s="480" t="s">
        <v>2121</v>
      </c>
      <c r="G5" s="480" t="s">
        <v>2122</v>
      </c>
      <c r="H5" s="480" t="s">
        <v>2124</v>
      </c>
    </row>
    <row r="6" spans="3:8" ht="58.9" customHeight="1" thickBot="1" x14ac:dyDescent="0.3">
      <c r="C6" s="481" t="s">
        <v>16</v>
      </c>
      <c r="D6" s="484" t="s">
        <v>2125</v>
      </c>
      <c r="E6" s="483">
        <v>45187</v>
      </c>
      <c r="F6" s="484">
        <v>3355</v>
      </c>
      <c r="G6" s="484">
        <v>4176</v>
      </c>
      <c r="H6" s="485">
        <f>G6-F6</f>
        <v>821</v>
      </c>
    </row>
    <row r="7" spans="3:8" ht="38.25" thickBot="1" x14ac:dyDescent="0.3">
      <c r="C7" s="481" t="s">
        <v>25</v>
      </c>
      <c r="D7" s="482" t="s">
        <v>2126</v>
      </c>
      <c r="E7" s="483">
        <v>45187</v>
      </c>
      <c r="F7" s="484">
        <v>1611</v>
      </c>
      <c r="G7" s="484">
        <v>2662</v>
      </c>
      <c r="H7" s="485">
        <f>G7-F7</f>
        <v>1051</v>
      </c>
    </row>
  </sheetData>
  <pageMargins left="0.7" right="0.7" top="0.75" bottom="0.75" header="0.3" footer="0.3"/>
  <pageSetup paperSize="9" scale="8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B1:D165"/>
  <sheetViews>
    <sheetView topLeftCell="A34" workbookViewId="0">
      <selection activeCell="B164" sqref="B164"/>
    </sheetView>
  </sheetViews>
  <sheetFormatPr defaultRowHeight="15" x14ac:dyDescent="0.25"/>
  <cols>
    <col min="2" max="2" width="18.42578125" customWidth="1"/>
    <col min="3" max="3" width="70.28515625" customWidth="1"/>
    <col min="4" max="4" width="70.28515625" style="1" customWidth="1"/>
    <col min="5" max="6" width="70.28515625" customWidth="1"/>
  </cols>
  <sheetData>
    <row r="1" spans="2:2" x14ac:dyDescent="0.25">
      <c r="B1" s="1" t="s">
        <v>2167</v>
      </c>
    </row>
    <row r="2" spans="2:2" x14ac:dyDescent="0.25">
      <c r="B2" s="1" t="s">
        <v>153</v>
      </c>
    </row>
    <row r="3" spans="2:2" x14ac:dyDescent="0.25">
      <c r="B3" s="1" t="s">
        <v>162</v>
      </c>
    </row>
    <row r="4" spans="2:2" x14ac:dyDescent="0.25">
      <c r="B4" s="1" t="s">
        <v>130</v>
      </c>
    </row>
    <row r="5" spans="2:2" x14ac:dyDescent="0.25">
      <c r="B5" s="1" t="s">
        <v>2476</v>
      </c>
    </row>
    <row r="6" spans="2:2" x14ac:dyDescent="0.25">
      <c r="B6" s="1" t="s">
        <v>2477</v>
      </c>
    </row>
    <row r="7" spans="2:2" x14ac:dyDescent="0.25">
      <c r="B7" s="1" t="s">
        <v>2478</v>
      </c>
    </row>
    <row r="8" spans="2:2" x14ac:dyDescent="0.25">
      <c r="B8" s="1" t="s">
        <v>2479</v>
      </c>
    </row>
    <row r="9" spans="2:2" x14ac:dyDescent="0.25">
      <c r="B9" s="1" t="s">
        <v>212</v>
      </c>
    </row>
    <row r="10" spans="2:2" x14ac:dyDescent="0.25">
      <c r="B10" s="1" t="s">
        <v>157</v>
      </c>
    </row>
    <row r="11" spans="2:2" x14ac:dyDescent="0.25">
      <c r="B11" s="1" t="s">
        <v>158</v>
      </c>
    </row>
    <row r="12" spans="2:2" x14ac:dyDescent="0.25">
      <c r="B12" s="1" t="s">
        <v>184</v>
      </c>
    </row>
    <row r="13" spans="2:2" x14ac:dyDescent="0.25">
      <c r="B13" s="1" t="s">
        <v>2153</v>
      </c>
    </row>
    <row r="14" spans="2:2" x14ac:dyDescent="0.25">
      <c r="B14" s="1" t="s">
        <v>2471</v>
      </c>
    </row>
    <row r="15" spans="2:2" x14ac:dyDescent="0.25">
      <c r="B15" s="1" t="s">
        <v>111</v>
      </c>
    </row>
    <row r="16" spans="2:2" x14ac:dyDescent="0.25">
      <c r="B16" s="1" t="s">
        <v>110</v>
      </c>
    </row>
    <row r="17" spans="2:3" x14ac:dyDescent="0.25">
      <c r="B17" s="1" t="s">
        <v>1247</v>
      </c>
      <c r="C17" t="s">
        <v>1279</v>
      </c>
    </row>
    <row r="18" spans="2:3" x14ac:dyDescent="0.25">
      <c r="B18" s="1" t="s">
        <v>1248</v>
      </c>
      <c r="C18" t="s">
        <v>1280</v>
      </c>
    </row>
    <row r="19" spans="2:3" x14ac:dyDescent="0.25">
      <c r="B19" s="1" t="s">
        <v>1249</v>
      </c>
      <c r="C19" t="s">
        <v>1281</v>
      </c>
    </row>
    <row r="20" spans="2:3" x14ac:dyDescent="0.25">
      <c r="B20" s="1" t="s">
        <v>1250</v>
      </c>
      <c r="C20" t="s">
        <v>1282</v>
      </c>
    </row>
    <row r="21" spans="2:3" x14ac:dyDescent="0.25">
      <c r="B21" s="1" t="s">
        <v>1251</v>
      </c>
      <c r="C21" t="s">
        <v>1283</v>
      </c>
    </row>
    <row r="22" spans="2:3" x14ac:dyDescent="0.25">
      <c r="B22" s="1" t="s">
        <v>1235</v>
      </c>
      <c r="C22" t="s">
        <v>1267</v>
      </c>
    </row>
    <row r="23" spans="2:3" x14ac:dyDescent="0.25">
      <c r="B23" s="1" t="s">
        <v>1236</v>
      </c>
      <c r="C23" t="s">
        <v>1268</v>
      </c>
    </row>
    <row r="24" spans="2:3" x14ac:dyDescent="0.25">
      <c r="B24" s="1" t="s">
        <v>1237</v>
      </c>
      <c r="C24" t="s">
        <v>1269</v>
      </c>
    </row>
    <row r="25" spans="2:3" x14ac:dyDescent="0.25">
      <c r="B25" s="1" t="s">
        <v>1238</v>
      </c>
      <c r="C25" t="s">
        <v>1270</v>
      </c>
    </row>
    <row r="26" spans="2:3" x14ac:dyDescent="0.25">
      <c r="B26" s="1" t="s">
        <v>1239</v>
      </c>
      <c r="C26" t="s">
        <v>1271</v>
      </c>
    </row>
    <row r="27" spans="2:3" x14ac:dyDescent="0.25">
      <c r="B27" s="1" t="s">
        <v>1240</v>
      </c>
      <c r="C27" t="s">
        <v>1272</v>
      </c>
    </row>
    <row r="28" spans="2:3" x14ac:dyDescent="0.25">
      <c r="B28" s="1" t="s">
        <v>1241</v>
      </c>
      <c r="C28" t="s">
        <v>1273</v>
      </c>
    </row>
    <row r="29" spans="2:3" x14ac:dyDescent="0.25">
      <c r="B29" s="1" t="s">
        <v>1242</v>
      </c>
      <c r="C29" t="s">
        <v>1274</v>
      </c>
    </row>
    <row r="30" spans="2:3" x14ac:dyDescent="0.25">
      <c r="B30" s="1" t="s">
        <v>1243</v>
      </c>
      <c r="C30" t="s">
        <v>1275</v>
      </c>
    </row>
    <row r="31" spans="2:3" x14ac:dyDescent="0.25">
      <c r="B31" s="1" t="s">
        <v>1244</v>
      </c>
      <c r="C31" t="s">
        <v>1276</v>
      </c>
    </row>
    <row r="32" spans="2:3" x14ac:dyDescent="0.25">
      <c r="B32" s="1" t="s">
        <v>1245</v>
      </c>
      <c r="C32" t="s">
        <v>1277</v>
      </c>
    </row>
    <row r="33" spans="2:4" x14ac:dyDescent="0.25">
      <c r="B33" s="1" t="s">
        <v>1246</v>
      </c>
      <c r="C33" t="s">
        <v>1278</v>
      </c>
    </row>
    <row r="34" spans="2:4" x14ac:dyDescent="0.25">
      <c r="B34" s="1" t="s">
        <v>1470</v>
      </c>
    </row>
    <row r="35" spans="2:4" x14ac:dyDescent="0.25">
      <c r="B35" s="1" t="s">
        <v>1785</v>
      </c>
    </row>
    <row r="36" spans="2:4" x14ac:dyDescent="0.25">
      <c r="B36" s="1" t="s">
        <v>2</v>
      </c>
    </row>
    <row r="37" spans="2:4" x14ac:dyDescent="0.25">
      <c r="B37" s="1" t="s">
        <v>27</v>
      </c>
    </row>
    <row r="38" spans="2:4" x14ac:dyDescent="0.25">
      <c r="B38" s="1" t="s">
        <v>52</v>
      </c>
    </row>
    <row r="39" spans="2:4" x14ac:dyDescent="0.25">
      <c r="B39" s="1" t="s">
        <v>3</v>
      </c>
      <c r="D39" s="1" t="s">
        <v>95</v>
      </c>
    </row>
    <row r="40" spans="2:4" x14ac:dyDescent="0.25">
      <c r="B40" s="1" t="s">
        <v>28</v>
      </c>
      <c r="D40" s="1" t="s">
        <v>96</v>
      </c>
    </row>
    <row r="41" spans="2:4" x14ac:dyDescent="0.25">
      <c r="B41" s="1" t="s">
        <v>53</v>
      </c>
    </row>
    <row r="42" spans="2:4" x14ac:dyDescent="0.25">
      <c r="B42" s="1" t="s">
        <v>4</v>
      </c>
    </row>
    <row r="43" spans="2:4" x14ac:dyDescent="0.25">
      <c r="B43" s="1" t="s">
        <v>29</v>
      </c>
    </row>
    <row r="44" spans="2:4" x14ac:dyDescent="0.25">
      <c r="B44" s="1" t="s">
        <v>54</v>
      </c>
    </row>
    <row r="45" spans="2:4" x14ac:dyDescent="0.25">
      <c r="B45" s="1" t="s">
        <v>5</v>
      </c>
    </row>
    <row r="46" spans="2:4" x14ac:dyDescent="0.25">
      <c r="B46" s="1" t="s">
        <v>30</v>
      </c>
    </row>
    <row r="47" spans="2:4" x14ac:dyDescent="0.25">
      <c r="B47" s="1" t="s">
        <v>55</v>
      </c>
    </row>
    <row r="48" spans="2:4" x14ac:dyDescent="0.25">
      <c r="B48" s="1" t="s">
        <v>6</v>
      </c>
    </row>
    <row r="49" spans="2:2" x14ac:dyDescent="0.25">
      <c r="B49" s="1" t="s">
        <v>31</v>
      </c>
    </row>
    <row r="50" spans="2:2" x14ac:dyDescent="0.25">
      <c r="B50" s="1" t="s">
        <v>56</v>
      </c>
    </row>
    <row r="51" spans="2:2" x14ac:dyDescent="0.25">
      <c r="B51" s="1" t="s">
        <v>7</v>
      </c>
    </row>
    <row r="52" spans="2:2" x14ac:dyDescent="0.25">
      <c r="B52" s="1" t="s">
        <v>32</v>
      </c>
    </row>
    <row r="53" spans="2:2" x14ac:dyDescent="0.25">
      <c r="B53" s="1" t="s">
        <v>57</v>
      </c>
    </row>
    <row r="54" spans="2:2" x14ac:dyDescent="0.25">
      <c r="B54" s="1" t="s">
        <v>8</v>
      </c>
    </row>
    <row r="55" spans="2:2" x14ac:dyDescent="0.25">
      <c r="B55" s="1" t="s">
        <v>33</v>
      </c>
    </row>
    <row r="56" spans="2:2" x14ac:dyDescent="0.25">
      <c r="B56" s="1" t="s">
        <v>58</v>
      </c>
    </row>
    <row r="57" spans="2:2" x14ac:dyDescent="0.25">
      <c r="B57" s="1" t="s">
        <v>9</v>
      </c>
    </row>
    <row r="58" spans="2:2" x14ac:dyDescent="0.25">
      <c r="B58" s="1" t="s">
        <v>34</v>
      </c>
    </row>
    <row r="59" spans="2:2" x14ac:dyDescent="0.25">
      <c r="B59" s="1" t="s">
        <v>59</v>
      </c>
    </row>
    <row r="60" spans="2:2" x14ac:dyDescent="0.25">
      <c r="B60" s="1" t="s">
        <v>10</v>
      </c>
    </row>
    <row r="61" spans="2:2" x14ac:dyDescent="0.25">
      <c r="B61" s="1" t="s">
        <v>35</v>
      </c>
    </row>
    <row r="62" spans="2:2" x14ac:dyDescent="0.25">
      <c r="B62" s="1" t="s">
        <v>60</v>
      </c>
    </row>
    <row r="63" spans="2:2" x14ac:dyDescent="0.25">
      <c r="B63" s="1" t="s">
        <v>11</v>
      </c>
    </row>
    <row r="64" spans="2:2" x14ac:dyDescent="0.25">
      <c r="B64" s="1" t="s">
        <v>36</v>
      </c>
    </row>
    <row r="65" spans="2:2" x14ac:dyDescent="0.25">
      <c r="B65" s="1" t="s">
        <v>61</v>
      </c>
    </row>
    <row r="66" spans="2:2" x14ac:dyDescent="0.25">
      <c r="B66" s="1" t="s">
        <v>12</v>
      </c>
    </row>
    <row r="67" spans="2:2" x14ac:dyDescent="0.25">
      <c r="B67" s="1" t="s">
        <v>37</v>
      </c>
    </row>
    <row r="68" spans="2:2" x14ac:dyDescent="0.25">
      <c r="B68" s="1" t="s">
        <v>62</v>
      </c>
    </row>
    <row r="69" spans="2:2" x14ac:dyDescent="0.25">
      <c r="B69" s="1" t="s">
        <v>13</v>
      </c>
    </row>
    <row r="70" spans="2:2" x14ac:dyDescent="0.25">
      <c r="B70" s="1" t="s">
        <v>38</v>
      </c>
    </row>
    <row r="71" spans="2:2" x14ac:dyDescent="0.25">
      <c r="B71" s="1" t="s">
        <v>63</v>
      </c>
    </row>
    <row r="72" spans="2:2" x14ac:dyDescent="0.25">
      <c r="B72" s="1" t="s">
        <v>14</v>
      </c>
    </row>
    <row r="73" spans="2:2" x14ac:dyDescent="0.25">
      <c r="B73" s="1" t="s">
        <v>39</v>
      </c>
    </row>
    <row r="74" spans="2:2" x14ac:dyDescent="0.25">
      <c r="B74" s="1" t="s">
        <v>64</v>
      </c>
    </row>
    <row r="75" spans="2:2" x14ac:dyDescent="0.25">
      <c r="B75" s="1" t="s">
        <v>15</v>
      </c>
    </row>
    <row r="76" spans="2:2" x14ac:dyDescent="0.25">
      <c r="B76" s="1" t="s">
        <v>40</v>
      </c>
    </row>
    <row r="77" spans="2:2" x14ac:dyDescent="0.25">
      <c r="B77" s="1" t="s">
        <v>65</v>
      </c>
    </row>
    <row r="78" spans="2:2" x14ac:dyDescent="0.25">
      <c r="B78" s="1" t="s">
        <v>16</v>
      </c>
    </row>
    <row r="79" spans="2:2" x14ac:dyDescent="0.25">
      <c r="B79" s="1" t="s">
        <v>41</v>
      </c>
    </row>
    <row r="80" spans="2:2" x14ac:dyDescent="0.25">
      <c r="B80" s="1" t="s">
        <v>66</v>
      </c>
    </row>
    <row r="81" spans="2:2" x14ac:dyDescent="0.25">
      <c r="B81" s="1" t="s">
        <v>17</v>
      </c>
    </row>
    <row r="82" spans="2:2" x14ac:dyDescent="0.25">
      <c r="B82" s="1" t="s">
        <v>42</v>
      </c>
    </row>
    <row r="83" spans="2:2" x14ac:dyDescent="0.25">
      <c r="B83" s="1" t="s">
        <v>67</v>
      </c>
    </row>
    <row r="84" spans="2:2" x14ac:dyDescent="0.25">
      <c r="B84" s="1" t="s">
        <v>18</v>
      </c>
    </row>
    <row r="85" spans="2:2" x14ac:dyDescent="0.25">
      <c r="B85" s="1" t="s">
        <v>43</v>
      </c>
    </row>
    <row r="86" spans="2:2" x14ac:dyDescent="0.25">
      <c r="B86" s="1" t="s">
        <v>68</v>
      </c>
    </row>
    <row r="87" spans="2:2" x14ac:dyDescent="0.25">
      <c r="B87" s="1" t="s">
        <v>19</v>
      </c>
    </row>
    <row r="88" spans="2:2" x14ac:dyDescent="0.25">
      <c r="B88" s="1" t="s">
        <v>44</v>
      </c>
    </row>
    <row r="89" spans="2:2" x14ac:dyDescent="0.25">
      <c r="B89" s="1" t="s">
        <v>69</v>
      </c>
    </row>
    <row r="90" spans="2:2" x14ac:dyDescent="0.25">
      <c r="B90" s="1" t="s">
        <v>20</v>
      </c>
    </row>
    <row r="91" spans="2:2" x14ac:dyDescent="0.25">
      <c r="B91" s="1" t="s">
        <v>45</v>
      </c>
    </row>
    <row r="92" spans="2:2" x14ac:dyDescent="0.25">
      <c r="B92" s="1" t="s">
        <v>70</v>
      </c>
    </row>
    <row r="93" spans="2:2" x14ac:dyDescent="0.25">
      <c r="B93" s="1" t="s">
        <v>21</v>
      </c>
    </row>
    <row r="94" spans="2:2" x14ac:dyDescent="0.25">
      <c r="B94" s="1" t="s">
        <v>46</v>
      </c>
    </row>
    <row r="95" spans="2:2" x14ac:dyDescent="0.25">
      <c r="B95" s="1" t="s">
        <v>71</v>
      </c>
    </row>
    <row r="96" spans="2:2" x14ac:dyDescent="0.25">
      <c r="B96" s="1" t="s">
        <v>22</v>
      </c>
    </row>
    <row r="97" spans="2:2" x14ac:dyDescent="0.25">
      <c r="B97" s="1" t="s">
        <v>47</v>
      </c>
    </row>
    <row r="98" spans="2:2" x14ac:dyDescent="0.25">
      <c r="B98" s="1" t="s">
        <v>72</v>
      </c>
    </row>
    <row r="99" spans="2:2" x14ac:dyDescent="0.25">
      <c r="B99" s="1" t="s">
        <v>23</v>
      </c>
    </row>
    <row r="100" spans="2:2" x14ac:dyDescent="0.25">
      <c r="B100" s="1" t="s">
        <v>48</v>
      </c>
    </row>
    <row r="101" spans="2:2" x14ac:dyDescent="0.25">
      <c r="B101" s="1" t="s">
        <v>73</v>
      </c>
    </row>
    <row r="102" spans="2:2" x14ac:dyDescent="0.25">
      <c r="B102" s="1" t="s">
        <v>24</v>
      </c>
    </row>
    <row r="103" spans="2:2" x14ac:dyDescent="0.25">
      <c r="B103" s="1" t="s">
        <v>49</v>
      </c>
    </row>
    <row r="104" spans="2:2" x14ac:dyDescent="0.25">
      <c r="B104" s="1" t="s">
        <v>74</v>
      </c>
    </row>
    <row r="105" spans="2:2" x14ac:dyDescent="0.25">
      <c r="B105" s="1" t="s">
        <v>25</v>
      </c>
    </row>
    <row r="106" spans="2:2" x14ac:dyDescent="0.25">
      <c r="B106" s="1" t="s">
        <v>50</v>
      </c>
    </row>
    <row r="107" spans="2:2" x14ac:dyDescent="0.25">
      <c r="B107" s="1" t="s">
        <v>75</v>
      </c>
    </row>
    <row r="108" spans="2:2" x14ac:dyDescent="0.25">
      <c r="B108" s="1" t="s">
        <v>26</v>
      </c>
    </row>
    <row r="109" spans="2:2" x14ac:dyDescent="0.25">
      <c r="B109" s="1" t="s">
        <v>51</v>
      </c>
    </row>
    <row r="110" spans="2:2" x14ac:dyDescent="0.25">
      <c r="B110" s="1" t="s">
        <v>76</v>
      </c>
    </row>
    <row r="111" spans="2:2" x14ac:dyDescent="0.25">
      <c r="B111" s="1" t="s">
        <v>148</v>
      </c>
    </row>
    <row r="112" spans="2:2" x14ac:dyDescent="0.25">
      <c r="B112" s="1" t="s">
        <v>109</v>
      </c>
    </row>
    <row r="113" spans="2:2" x14ac:dyDescent="0.25">
      <c r="B113" s="1" t="s">
        <v>77</v>
      </c>
    </row>
    <row r="114" spans="2:2" x14ac:dyDescent="0.25">
      <c r="B114" s="1" t="s">
        <v>82</v>
      </c>
    </row>
    <row r="115" spans="2:2" x14ac:dyDescent="0.25">
      <c r="B115" s="1" t="s">
        <v>87</v>
      </c>
    </row>
    <row r="116" spans="2:2" x14ac:dyDescent="0.25">
      <c r="B116" s="1" t="s">
        <v>78</v>
      </c>
    </row>
    <row r="117" spans="2:2" x14ac:dyDescent="0.25">
      <c r="B117" s="1" t="s">
        <v>83</v>
      </c>
    </row>
    <row r="118" spans="2:2" x14ac:dyDescent="0.25">
      <c r="B118" s="1" t="s">
        <v>88</v>
      </c>
    </row>
    <row r="119" spans="2:2" x14ac:dyDescent="0.25">
      <c r="B119" s="1" t="s">
        <v>79</v>
      </c>
    </row>
    <row r="120" spans="2:2" x14ac:dyDescent="0.25">
      <c r="B120" s="1" t="s">
        <v>84</v>
      </c>
    </row>
    <row r="121" spans="2:2" x14ac:dyDescent="0.25">
      <c r="B121" s="1" t="s">
        <v>89</v>
      </c>
    </row>
    <row r="122" spans="2:2" x14ac:dyDescent="0.25">
      <c r="B122" s="1" t="s">
        <v>80</v>
      </c>
    </row>
    <row r="123" spans="2:2" x14ac:dyDescent="0.25">
      <c r="B123" s="1" t="s">
        <v>85</v>
      </c>
    </row>
    <row r="124" spans="2:2" x14ac:dyDescent="0.25">
      <c r="B124" s="1" t="s">
        <v>90</v>
      </c>
    </row>
    <row r="125" spans="2:2" x14ac:dyDescent="0.25">
      <c r="B125" s="1" t="s">
        <v>81</v>
      </c>
    </row>
    <row r="126" spans="2:2" x14ac:dyDescent="0.25">
      <c r="B126" s="1" t="s">
        <v>86</v>
      </c>
    </row>
    <row r="127" spans="2:2" x14ac:dyDescent="0.25">
      <c r="B127" s="1" t="s">
        <v>91</v>
      </c>
    </row>
    <row r="128" spans="2:2" x14ac:dyDescent="0.25">
      <c r="B128" s="1" t="s">
        <v>2438</v>
      </c>
    </row>
    <row r="129" spans="2:3" x14ac:dyDescent="0.25">
      <c r="B129" s="1" t="s">
        <v>2450</v>
      </c>
    </row>
    <row r="130" spans="2:3" x14ac:dyDescent="0.25">
      <c r="B130" s="1" t="s">
        <v>2451</v>
      </c>
    </row>
    <row r="131" spans="2:3" x14ac:dyDescent="0.25">
      <c r="B131" s="1" t="s">
        <v>1223</v>
      </c>
      <c r="C131" t="s">
        <v>1253</v>
      </c>
    </row>
    <row r="132" spans="2:3" x14ac:dyDescent="0.25">
      <c r="B132" s="1" t="s">
        <v>1224</v>
      </c>
      <c r="C132" t="s">
        <v>1254</v>
      </c>
    </row>
    <row r="133" spans="2:3" x14ac:dyDescent="0.25">
      <c r="B133" s="1" t="s">
        <v>1225</v>
      </c>
      <c r="C133" t="s">
        <v>1255</v>
      </c>
    </row>
    <row r="134" spans="2:3" x14ac:dyDescent="0.25">
      <c r="B134" s="1" t="s">
        <v>1226</v>
      </c>
      <c r="C134" t="s">
        <v>1256</v>
      </c>
    </row>
    <row r="135" spans="2:3" x14ac:dyDescent="0.25">
      <c r="B135" s="1" t="s">
        <v>1227</v>
      </c>
      <c r="C135" t="s">
        <v>1232</v>
      </c>
    </row>
    <row r="136" spans="2:3" x14ac:dyDescent="0.25">
      <c r="B136" s="1" t="s">
        <v>1228</v>
      </c>
      <c r="C136" t="s">
        <v>1252</v>
      </c>
    </row>
    <row r="137" spans="2:3" x14ac:dyDescent="0.25">
      <c r="B137" s="1" t="s">
        <v>1229</v>
      </c>
      <c r="C137" t="s">
        <v>1234</v>
      </c>
    </row>
    <row r="138" spans="2:3" x14ac:dyDescent="0.25">
      <c r="B138" s="1" t="s">
        <v>1230</v>
      </c>
      <c r="C138" t="s">
        <v>1233</v>
      </c>
    </row>
    <row r="139" spans="2:3" x14ac:dyDescent="0.25">
      <c r="B139" s="1" t="s">
        <v>1231</v>
      </c>
      <c r="C139" t="s">
        <v>1284</v>
      </c>
    </row>
    <row r="140" spans="2:3" x14ac:dyDescent="0.25">
      <c r="B140" s="1" t="s">
        <v>1213</v>
      </c>
      <c r="C140" t="s">
        <v>1257</v>
      </c>
    </row>
    <row r="141" spans="2:3" x14ac:dyDescent="0.25">
      <c r="B141" s="1" t="s">
        <v>1214</v>
      </c>
      <c r="C141" t="s">
        <v>1258</v>
      </c>
    </row>
    <row r="142" spans="2:3" x14ac:dyDescent="0.25">
      <c r="B142" s="1" t="s">
        <v>1215</v>
      </c>
      <c r="C142" t="s">
        <v>1259</v>
      </c>
    </row>
    <row r="143" spans="2:3" x14ac:dyDescent="0.25">
      <c r="B143" s="1" t="s">
        <v>1216</v>
      </c>
      <c r="C143" t="s">
        <v>1260</v>
      </c>
    </row>
    <row r="144" spans="2:3" x14ac:dyDescent="0.25">
      <c r="B144" s="1" t="s">
        <v>1217</v>
      </c>
      <c r="C144" t="s">
        <v>1261</v>
      </c>
    </row>
    <row r="145" spans="2:3" x14ac:dyDescent="0.25">
      <c r="B145" s="1" t="s">
        <v>1218</v>
      </c>
      <c r="C145" t="s">
        <v>1262</v>
      </c>
    </row>
    <row r="146" spans="2:3" x14ac:dyDescent="0.25">
      <c r="B146" s="1" t="s">
        <v>1219</v>
      </c>
      <c r="C146" t="s">
        <v>1263</v>
      </c>
    </row>
    <row r="147" spans="2:3" x14ac:dyDescent="0.25">
      <c r="B147" s="1" t="s">
        <v>1220</v>
      </c>
      <c r="C147" t="s">
        <v>1264</v>
      </c>
    </row>
    <row r="148" spans="2:3" x14ac:dyDescent="0.25">
      <c r="B148" s="1" t="s">
        <v>1221</v>
      </c>
      <c r="C148" t="s">
        <v>1265</v>
      </c>
    </row>
    <row r="149" spans="2:3" x14ac:dyDescent="0.25">
      <c r="B149" s="1" t="s">
        <v>1222</v>
      </c>
      <c r="C149" t="s">
        <v>1266</v>
      </c>
    </row>
    <row r="150" spans="2:3" x14ac:dyDescent="0.25">
      <c r="B150" s="1" t="s">
        <v>812</v>
      </c>
    </row>
    <row r="151" spans="2:3" x14ac:dyDescent="0.25">
      <c r="B151" s="1" t="s">
        <v>891</v>
      </c>
    </row>
    <row r="152" spans="2:3" x14ac:dyDescent="0.25">
      <c r="B152" s="1" t="s">
        <v>132</v>
      </c>
    </row>
    <row r="153" spans="2:3" x14ac:dyDescent="0.25">
      <c r="B153" s="1" t="s">
        <v>133</v>
      </c>
    </row>
    <row r="154" spans="2:3" x14ac:dyDescent="0.25">
      <c r="B154" s="1" t="s">
        <v>141</v>
      </c>
    </row>
    <row r="155" spans="2:3" x14ac:dyDescent="0.25">
      <c r="B155" s="1" t="s">
        <v>142</v>
      </c>
    </row>
    <row r="156" spans="2:3" x14ac:dyDescent="0.25">
      <c r="B156" s="1" t="s">
        <v>2449</v>
      </c>
    </row>
    <row r="157" spans="2:3" x14ac:dyDescent="0.25">
      <c r="B157" s="1" t="s">
        <v>1315</v>
      </c>
    </row>
    <row r="158" spans="2:3" x14ac:dyDescent="0.25">
      <c r="B158" s="1" t="s">
        <v>144</v>
      </c>
    </row>
    <row r="159" spans="2:3" x14ac:dyDescent="0.25">
      <c r="B159" s="1" t="s">
        <v>857</v>
      </c>
    </row>
    <row r="160" spans="2:3" x14ac:dyDescent="0.25">
      <c r="B160" s="1" t="s">
        <v>545</v>
      </c>
    </row>
    <row r="161" spans="2:2" x14ac:dyDescent="0.25">
      <c r="B161" s="1" t="s">
        <v>1004</v>
      </c>
    </row>
    <row r="162" spans="2:2" x14ac:dyDescent="0.25">
      <c r="B162" s="1" t="s">
        <v>2493</v>
      </c>
    </row>
    <row r="163" spans="2:2" x14ac:dyDescent="0.25">
      <c r="B163" s="1" t="s">
        <v>2610</v>
      </c>
    </row>
    <row r="164" spans="2:2" x14ac:dyDescent="0.25">
      <c r="B164" s="1" t="s">
        <v>194</v>
      </c>
    </row>
    <row r="165" spans="2:2" x14ac:dyDescent="0.25">
      <c r="B165" s="1" t="s">
        <v>1203</v>
      </c>
    </row>
  </sheetData>
  <sortState ref="B1:D165">
    <sortCondition ref="B1:B165"/>
  </sortState>
  <phoneticPr fontId="8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/>
  <dimension ref="A1:M2"/>
  <sheetViews>
    <sheetView zoomScale="115" zoomScaleNormal="115" workbookViewId="0">
      <selection activeCell="M2" sqref="M2"/>
    </sheetView>
  </sheetViews>
  <sheetFormatPr defaultRowHeight="15" x14ac:dyDescent="0.25"/>
  <cols>
    <col min="1" max="1" width="1.28515625" bestFit="1" customWidth="1"/>
    <col min="2" max="2" width="9.7109375" bestFit="1" customWidth="1"/>
    <col min="3" max="3" width="9.28515625" bestFit="1" customWidth="1"/>
    <col min="4" max="4" width="14.42578125" customWidth="1"/>
    <col min="5" max="5" width="11.140625" bestFit="1" customWidth="1"/>
    <col min="6" max="6" width="19.85546875" bestFit="1" customWidth="1"/>
    <col min="7" max="10" width="7.5703125" bestFit="1" customWidth="1"/>
    <col min="11" max="11" width="44.7109375" bestFit="1" customWidth="1"/>
    <col min="12" max="12" width="9.7109375" bestFit="1" customWidth="1"/>
    <col min="13" max="13" width="29.7109375" customWidth="1"/>
    <col min="257" max="257" width="1.28515625" bestFit="1" customWidth="1"/>
    <col min="258" max="258" width="9.7109375" bestFit="1" customWidth="1"/>
    <col min="259" max="259" width="9.28515625" bestFit="1" customWidth="1"/>
    <col min="260" max="260" width="14.42578125" customWidth="1"/>
    <col min="261" max="261" width="11.140625" bestFit="1" customWidth="1"/>
    <col min="262" max="262" width="19.85546875" bestFit="1" customWidth="1"/>
    <col min="263" max="266" width="7.5703125" bestFit="1" customWidth="1"/>
    <col min="267" max="267" width="44.7109375" bestFit="1" customWidth="1"/>
    <col min="268" max="268" width="9.7109375" bestFit="1" customWidth="1"/>
    <col min="269" max="269" width="29.7109375" customWidth="1"/>
    <col min="513" max="513" width="1.28515625" bestFit="1" customWidth="1"/>
    <col min="514" max="514" width="9.7109375" bestFit="1" customWidth="1"/>
    <col min="515" max="515" width="9.28515625" bestFit="1" customWidth="1"/>
    <col min="516" max="516" width="14.42578125" customWidth="1"/>
    <col min="517" max="517" width="11.140625" bestFit="1" customWidth="1"/>
    <col min="518" max="518" width="19.85546875" bestFit="1" customWidth="1"/>
    <col min="519" max="522" width="7.5703125" bestFit="1" customWidth="1"/>
    <col min="523" max="523" width="44.7109375" bestFit="1" customWidth="1"/>
    <col min="524" max="524" width="9.7109375" bestFit="1" customWidth="1"/>
    <col min="525" max="525" width="29.7109375" customWidth="1"/>
    <col min="769" max="769" width="1.28515625" bestFit="1" customWidth="1"/>
    <col min="770" max="770" width="9.7109375" bestFit="1" customWidth="1"/>
    <col min="771" max="771" width="9.28515625" bestFit="1" customWidth="1"/>
    <col min="772" max="772" width="14.42578125" customWidth="1"/>
    <col min="773" max="773" width="11.140625" bestFit="1" customWidth="1"/>
    <col min="774" max="774" width="19.85546875" bestFit="1" customWidth="1"/>
    <col min="775" max="778" width="7.5703125" bestFit="1" customWidth="1"/>
    <col min="779" max="779" width="44.7109375" bestFit="1" customWidth="1"/>
    <col min="780" max="780" width="9.7109375" bestFit="1" customWidth="1"/>
    <col min="781" max="781" width="29.7109375" customWidth="1"/>
    <col min="1025" max="1025" width="1.28515625" bestFit="1" customWidth="1"/>
    <col min="1026" max="1026" width="9.7109375" bestFit="1" customWidth="1"/>
    <col min="1027" max="1027" width="9.28515625" bestFit="1" customWidth="1"/>
    <col min="1028" max="1028" width="14.42578125" customWidth="1"/>
    <col min="1029" max="1029" width="11.140625" bestFit="1" customWidth="1"/>
    <col min="1030" max="1030" width="19.85546875" bestFit="1" customWidth="1"/>
    <col min="1031" max="1034" width="7.5703125" bestFit="1" customWidth="1"/>
    <col min="1035" max="1035" width="44.7109375" bestFit="1" customWidth="1"/>
    <col min="1036" max="1036" width="9.7109375" bestFit="1" customWidth="1"/>
    <col min="1037" max="1037" width="29.7109375" customWidth="1"/>
    <col min="1281" max="1281" width="1.28515625" bestFit="1" customWidth="1"/>
    <col min="1282" max="1282" width="9.7109375" bestFit="1" customWidth="1"/>
    <col min="1283" max="1283" width="9.28515625" bestFit="1" customWidth="1"/>
    <col min="1284" max="1284" width="14.42578125" customWidth="1"/>
    <col min="1285" max="1285" width="11.140625" bestFit="1" customWidth="1"/>
    <col min="1286" max="1286" width="19.85546875" bestFit="1" customWidth="1"/>
    <col min="1287" max="1290" width="7.5703125" bestFit="1" customWidth="1"/>
    <col min="1291" max="1291" width="44.7109375" bestFit="1" customWidth="1"/>
    <col min="1292" max="1292" width="9.7109375" bestFit="1" customWidth="1"/>
    <col min="1293" max="1293" width="29.7109375" customWidth="1"/>
    <col min="1537" max="1537" width="1.28515625" bestFit="1" customWidth="1"/>
    <col min="1538" max="1538" width="9.7109375" bestFit="1" customWidth="1"/>
    <col min="1539" max="1539" width="9.28515625" bestFit="1" customWidth="1"/>
    <col min="1540" max="1540" width="14.42578125" customWidth="1"/>
    <col min="1541" max="1541" width="11.140625" bestFit="1" customWidth="1"/>
    <col min="1542" max="1542" width="19.85546875" bestFit="1" customWidth="1"/>
    <col min="1543" max="1546" width="7.5703125" bestFit="1" customWidth="1"/>
    <col min="1547" max="1547" width="44.7109375" bestFit="1" customWidth="1"/>
    <col min="1548" max="1548" width="9.7109375" bestFit="1" customWidth="1"/>
    <col min="1549" max="1549" width="29.7109375" customWidth="1"/>
    <col min="1793" max="1793" width="1.28515625" bestFit="1" customWidth="1"/>
    <col min="1794" max="1794" width="9.7109375" bestFit="1" customWidth="1"/>
    <col min="1795" max="1795" width="9.28515625" bestFit="1" customWidth="1"/>
    <col min="1796" max="1796" width="14.42578125" customWidth="1"/>
    <col min="1797" max="1797" width="11.140625" bestFit="1" customWidth="1"/>
    <col min="1798" max="1798" width="19.85546875" bestFit="1" customWidth="1"/>
    <col min="1799" max="1802" width="7.5703125" bestFit="1" customWidth="1"/>
    <col min="1803" max="1803" width="44.7109375" bestFit="1" customWidth="1"/>
    <col min="1804" max="1804" width="9.7109375" bestFit="1" customWidth="1"/>
    <col min="1805" max="1805" width="29.7109375" customWidth="1"/>
    <col min="2049" max="2049" width="1.28515625" bestFit="1" customWidth="1"/>
    <col min="2050" max="2050" width="9.7109375" bestFit="1" customWidth="1"/>
    <col min="2051" max="2051" width="9.28515625" bestFit="1" customWidth="1"/>
    <col min="2052" max="2052" width="14.42578125" customWidth="1"/>
    <col min="2053" max="2053" width="11.140625" bestFit="1" customWidth="1"/>
    <col min="2054" max="2054" width="19.85546875" bestFit="1" customWidth="1"/>
    <col min="2055" max="2058" width="7.5703125" bestFit="1" customWidth="1"/>
    <col min="2059" max="2059" width="44.7109375" bestFit="1" customWidth="1"/>
    <col min="2060" max="2060" width="9.7109375" bestFit="1" customWidth="1"/>
    <col min="2061" max="2061" width="29.7109375" customWidth="1"/>
    <col min="2305" max="2305" width="1.28515625" bestFit="1" customWidth="1"/>
    <col min="2306" max="2306" width="9.7109375" bestFit="1" customWidth="1"/>
    <col min="2307" max="2307" width="9.28515625" bestFit="1" customWidth="1"/>
    <col min="2308" max="2308" width="14.42578125" customWidth="1"/>
    <col min="2309" max="2309" width="11.140625" bestFit="1" customWidth="1"/>
    <col min="2310" max="2310" width="19.85546875" bestFit="1" customWidth="1"/>
    <col min="2311" max="2314" width="7.5703125" bestFit="1" customWidth="1"/>
    <col min="2315" max="2315" width="44.7109375" bestFit="1" customWidth="1"/>
    <col min="2316" max="2316" width="9.7109375" bestFit="1" customWidth="1"/>
    <col min="2317" max="2317" width="29.7109375" customWidth="1"/>
    <col min="2561" max="2561" width="1.28515625" bestFit="1" customWidth="1"/>
    <col min="2562" max="2562" width="9.7109375" bestFit="1" customWidth="1"/>
    <col min="2563" max="2563" width="9.28515625" bestFit="1" customWidth="1"/>
    <col min="2564" max="2564" width="14.42578125" customWidth="1"/>
    <col min="2565" max="2565" width="11.140625" bestFit="1" customWidth="1"/>
    <col min="2566" max="2566" width="19.85546875" bestFit="1" customWidth="1"/>
    <col min="2567" max="2570" width="7.5703125" bestFit="1" customWidth="1"/>
    <col min="2571" max="2571" width="44.7109375" bestFit="1" customWidth="1"/>
    <col min="2572" max="2572" width="9.7109375" bestFit="1" customWidth="1"/>
    <col min="2573" max="2573" width="29.7109375" customWidth="1"/>
    <col min="2817" max="2817" width="1.28515625" bestFit="1" customWidth="1"/>
    <col min="2818" max="2818" width="9.7109375" bestFit="1" customWidth="1"/>
    <col min="2819" max="2819" width="9.28515625" bestFit="1" customWidth="1"/>
    <col min="2820" max="2820" width="14.42578125" customWidth="1"/>
    <col min="2821" max="2821" width="11.140625" bestFit="1" customWidth="1"/>
    <col min="2822" max="2822" width="19.85546875" bestFit="1" customWidth="1"/>
    <col min="2823" max="2826" width="7.5703125" bestFit="1" customWidth="1"/>
    <col min="2827" max="2827" width="44.7109375" bestFit="1" customWidth="1"/>
    <col min="2828" max="2828" width="9.7109375" bestFit="1" customWidth="1"/>
    <col min="2829" max="2829" width="29.7109375" customWidth="1"/>
    <col min="3073" max="3073" width="1.28515625" bestFit="1" customWidth="1"/>
    <col min="3074" max="3074" width="9.7109375" bestFit="1" customWidth="1"/>
    <col min="3075" max="3075" width="9.28515625" bestFit="1" customWidth="1"/>
    <col min="3076" max="3076" width="14.42578125" customWidth="1"/>
    <col min="3077" max="3077" width="11.140625" bestFit="1" customWidth="1"/>
    <col min="3078" max="3078" width="19.85546875" bestFit="1" customWidth="1"/>
    <col min="3079" max="3082" width="7.5703125" bestFit="1" customWidth="1"/>
    <col min="3083" max="3083" width="44.7109375" bestFit="1" customWidth="1"/>
    <col min="3084" max="3084" width="9.7109375" bestFit="1" customWidth="1"/>
    <col min="3085" max="3085" width="29.7109375" customWidth="1"/>
    <col min="3329" max="3329" width="1.28515625" bestFit="1" customWidth="1"/>
    <col min="3330" max="3330" width="9.7109375" bestFit="1" customWidth="1"/>
    <col min="3331" max="3331" width="9.28515625" bestFit="1" customWidth="1"/>
    <col min="3332" max="3332" width="14.42578125" customWidth="1"/>
    <col min="3333" max="3333" width="11.140625" bestFit="1" customWidth="1"/>
    <col min="3334" max="3334" width="19.85546875" bestFit="1" customWidth="1"/>
    <col min="3335" max="3338" width="7.5703125" bestFit="1" customWidth="1"/>
    <col min="3339" max="3339" width="44.7109375" bestFit="1" customWidth="1"/>
    <col min="3340" max="3340" width="9.7109375" bestFit="1" customWidth="1"/>
    <col min="3341" max="3341" width="29.7109375" customWidth="1"/>
    <col min="3585" max="3585" width="1.28515625" bestFit="1" customWidth="1"/>
    <col min="3586" max="3586" width="9.7109375" bestFit="1" customWidth="1"/>
    <col min="3587" max="3587" width="9.28515625" bestFit="1" customWidth="1"/>
    <col min="3588" max="3588" width="14.42578125" customWidth="1"/>
    <col min="3589" max="3589" width="11.140625" bestFit="1" customWidth="1"/>
    <col min="3590" max="3590" width="19.85546875" bestFit="1" customWidth="1"/>
    <col min="3591" max="3594" width="7.5703125" bestFit="1" customWidth="1"/>
    <col min="3595" max="3595" width="44.7109375" bestFit="1" customWidth="1"/>
    <col min="3596" max="3596" width="9.7109375" bestFit="1" customWidth="1"/>
    <col min="3597" max="3597" width="29.7109375" customWidth="1"/>
    <col min="3841" max="3841" width="1.28515625" bestFit="1" customWidth="1"/>
    <col min="3842" max="3842" width="9.7109375" bestFit="1" customWidth="1"/>
    <col min="3843" max="3843" width="9.28515625" bestFit="1" customWidth="1"/>
    <col min="3844" max="3844" width="14.42578125" customWidth="1"/>
    <col min="3845" max="3845" width="11.140625" bestFit="1" customWidth="1"/>
    <col min="3846" max="3846" width="19.85546875" bestFit="1" customWidth="1"/>
    <col min="3847" max="3850" width="7.5703125" bestFit="1" customWidth="1"/>
    <col min="3851" max="3851" width="44.7109375" bestFit="1" customWidth="1"/>
    <col min="3852" max="3852" width="9.7109375" bestFit="1" customWidth="1"/>
    <col min="3853" max="3853" width="29.7109375" customWidth="1"/>
    <col min="4097" max="4097" width="1.28515625" bestFit="1" customWidth="1"/>
    <col min="4098" max="4098" width="9.7109375" bestFit="1" customWidth="1"/>
    <col min="4099" max="4099" width="9.28515625" bestFit="1" customWidth="1"/>
    <col min="4100" max="4100" width="14.42578125" customWidth="1"/>
    <col min="4101" max="4101" width="11.140625" bestFit="1" customWidth="1"/>
    <col min="4102" max="4102" width="19.85546875" bestFit="1" customWidth="1"/>
    <col min="4103" max="4106" width="7.5703125" bestFit="1" customWidth="1"/>
    <col min="4107" max="4107" width="44.7109375" bestFit="1" customWidth="1"/>
    <col min="4108" max="4108" width="9.7109375" bestFit="1" customWidth="1"/>
    <col min="4109" max="4109" width="29.7109375" customWidth="1"/>
    <col min="4353" max="4353" width="1.28515625" bestFit="1" customWidth="1"/>
    <col min="4354" max="4354" width="9.7109375" bestFit="1" customWidth="1"/>
    <col min="4355" max="4355" width="9.28515625" bestFit="1" customWidth="1"/>
    <col min="4356" max="4356" width="14.42578125" customWidth="1"/>
    <col min="4357" max="4357" width="11.140625" bestFit="1" customWidth="1"/>
    <col min="4358" max="4358" width="19.85546875" bestFit="1" customWidth="1"/>
    <col min="4359" max="4362" width="7.5703125" bestFit="1" customWidth="1"/>
    <col min="4363" max="4363" width="44.7109375" bestFit="1" customWidth="1"/>
    <col min="4364" max="4364" width="9.7109375" bestFit="1" customWidth="1"/>
    <col min="4365" max="4365" width="29.7109375" customWidth="1"/>
    <col min="4609" max="4609" width="1.28515625" bestFit="1" customWidth="1"/>
    <col min="4610" max="4610" width="9.7109375" bestFit="1" customWidth="1"/>
    <col min="4611" max="4611" width="9.28515625" bestFit="1" customWidth="1"/>
    <col min="4612" max="4612" width="14.42578125" customWidth="1"/>
    <col min="4613" max="4613" width="11.140625" bestFit="1" customWidth="1"/>
    <col min="4614" max="4614" width="19.85546875" bestFit="1" customWidth="1"/>
    <col min="4615" max="4618" width="7.5703125" bestFit="1" customWidth="1"/>
    <col min="4619" max="4619" width="44.7109375" bestFit="1" customWidth="1"/>
    <col min="4620" max="4620" width="9.7109375" bestFit="1" customWidth="1"/>
    <col min="4621" max="4621" width="29.7109375" customWidth="1"/>
    <col min="4865" max="4865" width="1.28515625" bestFit="1" customWidth="1"/>
    <col min="4866" max="4866" width="9.7109375" bestFit="1" customWidth="1"/>
    <col min="4867" max="4867" width="9.28515625" bestFit="1" customWidth="1"/>
    <col min="4868" max="4868" width="14.42578125" customWidth="1"/>
    <col min="4869" max="4869" width="11.140625" bestFit="1" customWidth="1"/>
    <col min="4870" max="4870" width="19.85546875" bestFit="1" customWidth="1"/>
    <col min="4871" max="4874" width="7.5703125" bestFit="1" customWidth="1"/>
    <col min="4875" max="4875" width="44.7109375" bestFit="1" customWidth="1"/>
    <col min="4876" max="4876" width="9.7109375" bestFit="1" customWidth="1"/>
    <col min="4877" max="4877" width="29.7109375" customWidth="1"/>
    <col min="5121" max="5121" width="1.28515625" bestFit="1" customWidth="1"/>
    <col min="5122" max="5122" width="9.7109375" bestFit="1" customWidth="1"/>
    <col min="5123" max="5123" width="9.28515625" bestFit="1" customWidth="1"/>
    <col min="5124" max="5124" width="14.42578125" customWidth="1"/>
    <col min="5125" max="5125" width="11.140625" bestFit="1" customWidth="1"/>
    <col min="5126" max="5126" width="19.85546875" bestFit="1" customWidth="1"/>
    <col min="5127" max="5130" width="7.5703125" bestFit="1" customWidth="1"/>
    <col min="5131" max="5131" width="44.7109375" bestFit="1" customWidth="1"/>
    <col min="5132" max="5132" width="9.7109375" bestFit="1" customWidth="1"/>
    <col min="5133" max="5133" width="29.7109375" customWidth="1"/>
    <col min="5377" max="5377" width="1.28515625" bestFit="1" customWidth="1"/>
    <col min="5378" max="5378" width="9.7109375" bestFit="1" customWidth="1"/>
    <col min="5379" max="5379" width="9.28515625" bestFit="1" customWidth="1"/>
    <col min="5380" max="5380" width="14.42578125" customWidth="1"/>
    <col min="5381" max="5381" width="11.140625" bestFit="1" customWidth="1"/>
    <col min="5382" max="5382" width="19.85546875" bestFit="1" customWidth="1"/>
    <col min="5383" max="5386" width="7.5703125" bestFit="1" customWidth="1"/>
    <col min="5387" max="5387" width="44.7109375" bestFit="1" customWidth="1"/>
    <col min="5388" max="5388" width="9.7109375" bestFit="1" customWidth="1"/>
    <col min="5389" max="5389" width="29.7109375" customWidth="1"/>
    <col min="5633" max="5633" width="1.28515625" bestFit="1" customWidth="1"/>
    <col min="5634" max="5634" width="9.7109375" bestFit="1" customWidth="1"/>
    <col min="5635" max="5635" width="9.28515625" bestFit="1" customWidth="1"/>
    <col min="5636" max="5636" width="14.42578125" customWidth="1"/>
    <col min="5637" max="5637" width="11.140625" bestFit="1" customWidth="1"/>
    <col min="5638" max="5638" width="19.85546875" bestFit="1" customWidth="1"/>
    <col min="5639" max="5642" width="7.5703125" bestFit="1" customWidth="1"/>
    <col min="5643" max="5643" width="44.7109375" bestFit="1" customWidth="1"/>
    <col min="5644" max="5644" width="9.7109375" bestFit="1" customWidth="1"/>
    <col min="5645" max="5645" width="29.7109375" customWidth="1"/>
    <col min="5889" max="5889" width="1.28515625" bestFit="1" customWidth="1"/>
    <col min="5890" max="5890" width="9.7109375" bestFit="1" customWidth="1"/>
    <col min="5891" max="5891" width="9.28515625" bestFit="1" customWidth="1"/>
    <col min="5892" max="5892" width="14.42578125" customWidth="1"/>
    <col min="5893" max="5893" width="11.140625" bestFit="1" customWidth="1"/>
    <col min="5894" max="5894" width="19.85546875" bestFit="1" customWidth="1"/>
    <col min="5895" max="5898" width="7.5703125" bestFit="1" customWidth="1"/>
    <col min="5899" max="5899" width="44.7109375" bestFit="1" customWidth="1"/>
    <col min="5900" max="5900" width="9.7109375" bestFit="1" customWidth="1"/>
    <col min="5901" max="5901" width="29.7109375" customWidth="1"/>
    <col min="6145" max="6145" width="1.28515625" bestFit="1" customWidth="1"/>
    <col min="6146" max="6146" width="9.7109375" bestFit="1" customWidth="1"/>
    <col min="6147" max="6147" width="9.28515625" bestFit="1" customWidth="1"/>
    <col min="6148" max="6148" width="14.42578125" customWidth="1"/>
    <col min="6149" max="6149" width="11.140625" bestFit="1" customWidth="1"/>
    <col min="6150" max="6150" width="19.85546875" bestFit="1" customWidth="1"/>
    <col min="6151" max="6154" width="7.5703125" bestFit="1" customWidth="1"/>
    <col min="6155" max="6155" width="44.7109375" bestFit="1" customWidth="1"/>
    <col min="6156" max="6156" width="9.7109375" bestFit="1" customWidth="1"/>
    <col min="6157" max="6157" width="29.7109375" customWidth="1"/>
    <col min="6401" max="6401" width="1.28515625" bestFit="1" customWidth="1"/>
    <col min="6402" max="6402" width="9.7109375" bestFit="1" customWidth="1"/>
    <col min="6403" max="6403" width="9.28515625" bestFit="1" customWidth="1"/>
    <col min="6404" max="6404" width="14.42578125" customWidth="1"/>
    <col min="6405" max="6405" width="11.140625" bestFit="1" customWidth="1"/>
    <col min="6406" max="6406" width="19.85546875" bestFit="1" customWidth="1"/>
    <col min="6407" max="6410" width="7.5703125" bestFit="1" customWidth="1"/>
    <col min="6411" max="6411" width="44.7109375" bestFit="1" customWidth="1"/>
    <col min="6412" max="6412" width="9.7109375" bestFit="1" customWidth="1"/>
    <col min="6413" max="6413" width="29.7109375" customWidth="1"/>
    <col min="6657" max="6657" width="1.28515625" bestFit="1" customWidth="1"/>
    <col min="6658" max="6658" width="9.7109375" bestFit="1" customWidth="1"/>
    <col min="6659" max="6659" width="9.28515625" bestFit="1" customWidth="1"/>
    <col min="6660" max="6660" width="14.42578125" customWidth="1"/>
    <col min="6661" max="6661" width="11.140625" bestFit="1" customWidth="1"/>
    <col min="6662" max="6662" width="19.85546875" bestFit="1" customWidth="1"/>
    <col min="6663" max="6666" width="7.5703125" bestFit="1" customWidth="1"/>
    <col min="6667" max="6667" width="44.7109375" bestFit="1" customWidth="1"/>
    <col min="6668" max="6668" width="9.7109375" bestFit="1" customWidth="1"/>
    <col min="6669" max="6669" width="29.7109375" customWidth="1"/>
    <col min="6913" max="6913" width="1.28515625" bestFit="1" customWidth="1"/>
    <col min="6914" max="6914" width="9.7109375" bestFit="1" customWidth="1"/>
    <col min="6915" max="6915" width="9.28515625" bestFit="1" customWidth="1"/>
    <col min="6916" max="6916" width="14.42578125" customWidth="1"/>
    <col min="6917" max="6917" width="11.140625" bestFit="1" customWidth="1"/>
    <col min="6918" max="6918" width="19.85546875" bestFit="1" customWidth="1"/>
    <col min="6919" max="6922" width="7.5703125" bestFit="1" customWidth="1"/>
    <col min="6923" max="6923" width="44.7109375" bestFit="1" customWidth="1"/>
    <col min="6924" max="6924" width="9.7109375" bestFit="1" customWidth="1"/>
    <col min="6925" max="6925" width="29.7109375" customWidth="1"/>
    <col min="7169" max="7169" width="1.28515625" bestFit="1" customWidth="1"/>
    <col min="7170" max="7170" width="9.7109375" bestFit="1" customWidth="1"/>
    <col min="7171" max="7171" width="9.28515625" bestFit="1" customWidth="1"/>
    <col min="7172" max="7172" width="14.42578125" customWidth="1"/>
    <col min="7173" max="7173" width="11.140625" bestFit="1" customWidth="1"/>
    <col min="7174" max="7174" width="19.85546875" bestFit="1" customWidth="1"/>
    <col min="7175" max="7178" width="7.5703125" bestFit="1" customWidth="1"/>
    <col min="7179" max="7179" width="44.7109375" bestFit="1" customWidth="1"/>
    <col min="7180" max="7180" width="9.7109375" bestFit="1" customWidth="1"/>
    <col min="7181" max="7181" width="29.7109375" customWidth="1"/>
    <col min="7425" max="7425" width="1.28515625" bestFit="1" customWidth="1"/>
    <col min="7426" max="7426" width="9.7109375" bestFit="1" customWidth="1"/>
    <col min="7427" max="7427" width="9.28515625" bestFit="1" customWidth="1"/>
    <col min="7428" max="7428" width="14.42578125" customWidth="1"/>
    <col min="7429" max="7429" width="11.140625" bestFit="1" customWidth="1"/>
    <col min="7430" max="7430" width="19.85546875" bestFit="1" customWidth="1"/>
    <col min="7431" max="7434" width="7.5703125" bestFit="1" customWidth="1"/>
    <col min="7435" max="7435" width="44.7109375" bestFit="1" customWidth="1"/>
    <col min="7436" max="7436" width="9.7109375" bestFit="1" customWidth="1"/>
    <col min="7437" max="7437" width="29.7109375" customWidth="1"/>
    <col min="7681" max="7681" width="1.28515625" bestFit="1" customWidth="1"/>
    <col min="7682" max="7682" width="9.7109375" bestFit="1" customWidth="1"/>
    <col min="7683" max="7683" width="9.28515625" bestFit="1" customWidth="1"/>
    <col min="7684" max="7684" width="14.42578125" customWidth="1"/>
    <col min="7685" max="7685" width="11.140625" bestFit="1" customWidth="1"/>
    <col min="7686" max="7686" width="19.85546875" bestFit="1" customWidth="1"/>
    <col min="7687" max="7690" width="7.5703125" bestFit="1" customWidth="1"/>
    <col min="7691" max="7691" width="44.7109375" bestFit="1" customWidth="1"/>
    <col min="7692" max="7692" width="9.7109375" bestFit="1" customWidth="1"/>
    <col min="7693" max="7693" width="29.7109375" customWidth="1"/>
    <col min="7937" max="7937" width="1.28515625" bestFit="1" customWidth="1"/>
    <col min="7938" max="7938" width="9.7109375" bestFit="1" customWidth="1"/>
    <col min="7939" max="7939" width="9.28515625" bestFit="1" customWidth="1"/>
    <col min="7940" max="7940" width="14.42578125" customWidth="1"/>
    <col min="7941" max="7941" width="11.140625" bestFit="1" customWidth="1"/>
    <col min="7942" max="7942" width="19.85546875" bestFit="1" customWidth="1"/>
    <col min="7943" max="7946" width="7.5703125" bestFit="1" customWidth="1"/>
    <col min="7947" max="7947" width="44.7109375" bestFit="1" customWidth="1"/>
    <col min="7948" max="7948" width="9.7109375" bestFit="1" customWidth="1"/>
    <col min="7949" max="7949" width="29.7109375" customWidth="1"/>
    <col min="8193" max="8193" width="1.28515625" bestFit="1" customWidth="1"/>
    <col min="8194" max="8194" width="9.7109375" bestFit="1" customWidth="1"/>
    <col min="8195" max="8195" width="9.28515625" bestFit="1" customWidth="1"/>
    <col min="8196" max="8196" width="14.42578125" customWidth="1"/>
    <col min="8197" max="8197" width="11.140625" bestFit="1" customWidth="1"/>
    <col min="8198" max="8198" width="19.85546875" bestFit="1" customWidth="1"/>
    <col min="8199" max="8202" width="7.5703125" bestFit="1" customWidth="1"/>
    <col min="8203" max="8203" width="44.7109375" bestFit="1" customWidth="1"/>
    <col min="8204" max="8204" width="9.7109375" bestFit="1" customWidth="1"/>
    <col min="8205" max="8205" width="29.7109375" customWidth="1"/>
    <col min="8449" max="8449" width="1.28515625" bestFit="1" customWidth="1"/>
    <col min="8450" max="8450" width="9.7109375" bestFit="1" customWidth="1"/>
    <col min="8451" max="8451" width="9.28515625" bestFit="1" customWidth="1"/>
    <col min="8452" max="8452" width="14.42578125" customWidth="1"/>
    <col min="8453" max="8453" width="11.140625" bestFit="1" customWidth="1"/>
    <col min="8454" max="8454" width="19.85546875" bestFit="1" customWidth="1"/>
    <col min="8455" max="8458" width="7.5703125" bestFit="1" customWidth="1"/>
    <col min="8459" max="8459" width="44.7109375" bestFit="1" customWidth="1"/>
    <col min="8460" max="8460" width="9.7109375" bestFit="1" customWidth="1"/>
    <col min="8461" max="8461" width="29.7109375" customWidth="1"/>
    <col min="8705" max="8705" width="1.28515625" bestFit="1" customWidth="1"/>
    <col min="8706" max="8706" width="9.7109375" bestFit="1" customWidth="1"/>
    <col min="8707" max="8707" width="9.28515625" bestFit="1" customWidth="1"/>
    <col min="8708" max="8708" width="14.42578125" customWidth="1"/>
    <col min="8709" max="8709" width="11.140625" bestFit="1" customWidth="1"/>
    <col min="8710" max="8710" width="19.85546875" bestFit="1" customWidth="1"/>
    <col min="8711" max="8714" width="7.5703125" bestFit="1" customWidth="1"/>
    <col min="8715" max="8715" width="44.7109375" bestFit="1" customWidth="1"/>
    <col min="8716" max="8716" width="9.7109375" bestFit="1" customWidth="1"/>
    <col min="8717" max="8717" width="29.7109375" customWidth="1"/>
    <col min="8961" max="8961" width="1.28515625" bestFit="1" customWidth="1"/>
    <col min="8962" max="8962" width="9.7109375" bestFit="1" customWidth="1"/>
    <col min="8963" max="8963" width="9.28515625" bestFit="1" customWidth="1"/>
    <col min="8964" max="8964" width="14.42578125" customWidth="1"/>
    <col min="8965" max="8965" width="11.140625" bestFit="1" customWidth="1"/>
    <col min="8966" max="8966" width="19.85546875" bestFit="1" customWidth="1"/>
    <col min="8967" max="8970" width="7.5703125" bestFit="1" customWidth="1"/>
    <col min="8971" max="8971" width="44.7109375" bestFit="1" customWidth="1"/>
    <col min="8972" max="8972" width="9.7109375" bestFit="1" customWidth="1"/>
    <col min="8973" max="8973" width="29.7109375" customWidth="1"/>
    <col min="9217" max="9217" width="1.28515625" bestFit="1" customWidth="1"/>
    <col min="9218" max="9218" width="9.7109375" bestFit="1" customWidth="1"/>
    <col min="9219" max="9219" width="9.28515625" bestFit="1" customWidth="1"/>
    <col min="9220" max="9220" width="14.42578125" customWidth="1"/>
    <col min="9221" max="9221" width="11.140625" bestFit="1" customWidth="1"/>
    <col min="9222" max="9222" width="19.85546875" bestFit="1" customWidth="1"/>
    <col min="9223" max="9226" width="7.5703125" bestFit="1" customWidth="1"/>
    <col min="9227" max="9227" width="44.7109375" bestFit="1" customWidth="1"/>
    <col min="9228" max="9228" width="9.7109375" bestFit="1" customWidth="1"/>
    <col min="9229" max="9229" width="29.7109375" customWidth="1"/>
    <col min="9473" max="9473" width="1.28515625" bestFit="1" customWidth="1"/>
    <col min="9474" max="9474" width="9.7109375" bestFit="1" customWidth="1"/>
    <col min="9475" max="9475" width="9.28515625" bestFit="1" customWidth="1"/>
    <col min="9476" max="9476" width="14.42578125" customWidth="1"/>
    <col min="9477" max="9477" width="11.140625" bestFit="1" customWidth="1"/>
    <col min="9478" max="9478" width="19.85546875" bestFit="1" customWidth="1"/>
    <col min="9479" max="9482" width="7.5703125" bestFit="1" customWidth="1"/>
    <col min="9483" max="9483" width="44.7109375" bestFit="1" customWidth="1"/>
    <col min="9484" max="9484" width="9.7109375" bestFit="1" customWidth="1"/>
    <col min="9485" max="9485" width="29.7109375" customWidth="1"/>
    <col min="9729" max="9729" width="1.28515625" bestFit="1" customWidth="1"/>
    <col min="9730" max="9730" width="9.7109375" bestFit="1" customWidth="1"/>
    <col min="9731" max="9731" width="9.28515625" bestFit="1" customWidth="1"/>
    <col min="9732" max="9732" width="14.42578125" customWidth="1"/>
    <col min="9733" max="9733" width="11.140625" bestFit="1" customWidth="1"/>
    <col min="9734" max="9734" width="19.85546875" bestFit="1" customWidth="1"/>
    <col min="9735" max="9738" width="7.5703125" bestFit="1" customWidth="1"/>
    <col min="9739" max="9739" width="44.7109375" bestFit="1" customWidth="1"/>
    <col min="9740" max="9740" width="9.7109375" bestFit="1" customWidth="1"/>
    <col min="9741" max="9741" width="29.7109375" customWidth="1"/>
    <col min="9985" max="9985" width="1.28515625" bestFit="1" customWidth="1"/>
    <col min="9986" max="9986" width="9.7109375" bestFit="1" customWidth="1"/>
    <col min="9987" max="9987" width="9.28515625" bestFit="1" customWidth="1"/>
    <col min="9988" max="9988" width="14.42578125" customWidth="1"/>
    <col min="9989" max="9989" width="11.140625" bestFit="1" customWidth="1"/>
    <col min="9990" max="9990" width="19.85546875" bestFit="1" customWidth="1"/>
    <col min="9991" max="9994" width="7.5703125" bestFit="1" customWidth="1"/>
    <col min="9995" max="9995" width="44.7109375" bestFit="1" customWidth="1"/>
    <col min="9996" max="9996" width="9.7109375" bestFit="1" customWidth="1"/>
    <col min="9997" max="9997" width="29.7109375" customWidth="1"/>
    <col min="10241" max="10241" width="1.28515625" bestFit="1" customWidth="1"/>
    <col min="10242" max="10242" width="9.7109375" bestFit="1" customWidth="1"/>
    <col min="10243" max="10243" width="9.28515625" bestFit="1" customWidth="1"/>
    <col min="10244" max="10244" width="14.42578125" customWidth="1"/>
    <col min="10245" max="10245" width="11.140625" bestFit="1" customWidth="1"/>
    <col min="10246" max="10246" width="19.85546875" bestFit="1" customWidth="1"/>
    <col min="10247" max="10250" width="7.5703125" bestFit="1" customWidth="1"/>
    <col min="10251" max="10251" width="44.7109375" bestFit="1" customWidth="1"/>
    <col min="10252" max="10252" width="9.7109375" bestFit="1" customWidth="1"/>
    <col min="10253" max="10253" width="29.7109375" customWidth="1"/>
    <col min="10497" max="10497" width="1.28515625" bestFit="1" customWidth="1"/>
    <col min="10498" max="10498" width="9.7109375" bestFit="1" customWidth="1"/>
    <col min="10499" max="10499" width="9.28515625" bestFit="1" customWidth="1"/>
    <col min="10500" max="10500" width="14.42578125" customWidth="1"/>
    <col min="10501" max="10501" width="11.140625" bestFit="1" customWidth="1"/>
    <col min="10502" max="10502" width="19.85546875" bestFit="1" customWidth="1"/>
    <col min="10503" max="10506" width="7.5703125" bestFit="1" customWidth="1"/>
    <col min="10507" max="10507" width="44.7109375" bestFit="1" customWidth="1"/>
    <col min="10508" max="10508" width="9.7109375" bestFit="1" customWidth="1"/>
    <col min="10509" max="10509" width="29.7109375" customWidth="1"/>
    <col min="10753" max="10753" width="1.28515625" bestFit="1" customWidth="1"/>
    <col min="10754" max="10754" width="9.7109375" bestFit="1" customWidth="1"/>
    <col min="10755" max="10755" width="9.28515625" bestFit="1" customWidth="1"/>
    <col min="10756" max="10756" width="14.42578125" customWidth="1"/>
    <col min="10757" max="10757" width="11.140625" bestFit="1" customWidth="1"/>
    <col min="10758" max="10758" width="19.85546875" bestFit="1" customWidth="1"/>
    <col min="10759" max="10762" width="7.5703125" bestFit="1" customWidth="1"/>
    <col min="10763" max="10763" width="44.7109375" bestFit="1" customWidth="1"/>
    <col min="10764" max="10764" width="9.7109375" bestFit="1" customWidth="1"/>
    <col min="10765" max="10765" width="29.7109375" customWidth="1"/>
    <col min="11009" max="11009" width="1.28515625" bestFit="1" customWidth="1"/>
    <col min="11010" max="11010" width="9.7109375" bestFit="1" customWidth="1"/>
    <col min="11011" max="11011" width="9.28515625" bestFit="1" customWidth="1"/>
    <col min="11012" max="11012" width="14.42578125" customWidth="1"/>
    <col min="11013" max="11013" width="11.140625" bestFit="1" customWidth="1"/>
    <col min="11014" max="11014" width="19.85546875" bestFit="1" customWidth="1"/>
    <col min="11015" max="11018" width="7.5703125" bestFit="1" customWidth="1"/>
    <col min="11019" max="11019" width="44.7109375" bestFit="1" customWidth="1"/>
    <col min="11020" max="11020" width="9.7109375" bestFit="1" customWidth="1"/>
    <col min="11021" max="11021" width="29.7109375" customWidth="1"/>
    <col min="11265" max="11265" width="1.28515625" bestFit="1" customWidth="1"/>
    <col min="11266" max="11266" width="9.7109375" bestFit="1" customWidth="1"/>
    <col min="11267" max="11267" width="9.28515625" bestFit="1" customWidth="1"/>
    <col min="11268" max="11268" width="14.42578125" customWidth="1"/>
    <col min="11269" max="11269" width="11.140625" bestFit="1" customWidth="1"/>
    <col min="11270" max="11270" width="19.85546875" bestFit="1" customWidth="1"/>
    <col min="11271" max="11274" width="7.5703125" bestFit="1" customWidth="1"/>
    <col min="11275" max="11275" width="44.7109375" bestFit="1" customWidth="1"/>
    <col min="11276" max="11276" width="9.7109375" bestFit="1" customWidth="1"/>
    <col min="11277" max="11277" width="29.7109375" customWidth="1"/>
    <col min="11521" max="11521" width="1.28515625" bestFit="1" customWidth="1"/>
    <col min="11522" max="11522" width="9.7109375" bestFit="1" customWidth="1"/>
    <col min="11523" max="11523" width="9.28515625" bestFit="1" customWidth="1"/>
    <col min="11524" max="11524" width="14.42578125" customWidth="1"/>
    <col min="11525" max="11525" width="11.140625" bestFit="1" customWidth="1"/>
    <col min="11526" max="11526" width="19.85546875" bestFit="1" customWidth="1"/>
    <col min="11527" max="11530" width="7.5703125" bestFit="1" customWidth="1"/>
    <col min="11531" max="11531" width="44.7109375" bestFit="1" customWidth="1"/>
    <col min="11532" max="11532" width="9.7109375" bestFit="1" customWidth="1"/>
    <col min="11533" max="11533" width="29.7109375" customWidth="1"/>
    <col min="11777" max="11777" width="1.28515625" bestFit="1" customWidth="1"/>
    <col min="11778" max="11778" width="9.7109375" bestFit="1" customWidth="1"/>
    <col min="11779" max="11779" width="9.28515625" bestFit="1" customWidth="1"/>
    <col min="11780" max="11780" width="14.42578125" customWidth="1"/>
    <col min="11781" max="11781" width="11.140625" bestFit="1" customWidth="1"/>
    <col min="11782" max="11782" width="19.85546875" bestFit="1" customWidth="1"/>
    <col min="11783" max="11786" width="7.5703125" bestFit="1" customWidth="1"/>
    <col min="11787" max="11787" width="44.7109375" bestFit="1" customWidth="1"/>
    <col min="11788" max="11788" width="9.7109375" bestFit="1" customWidth="1"/>
    <col min="11789" max="11789" width="29.7109375" customWidth="1"/>
    <col min="12033" max="12033" width="1.28515625" bestFit="1" customWidth="1"/>
    <col min="12034" max="12034" width="9.7109375" bestFit="1" customWidth="1"/>
    <col min="12035" max="12035" width="9.28515625" bestFit="1" customWidth="1"/>
    <col min="12036" max="12036" width="14.42578125" customWidth="1"/>
    <col min="12037" max="12037" width="11.140625" bestFit="1" customWidth="1"/>
    <col min="12038" max="12038" width="19.85546875" bestFit="1" customWidth="1"/>
    <col min="12039" max="12042" width="7.5703125" bestFit="1" customWidth="1"/>
    <col min="12043" max="12043" width="44.7109375" bestFit="1" customWidth="1"/>
    <col min="12044" max="12044" width="9.7109375" bestFit="1" customWidth="1"/>
    <col min="12045" max="12045" width="29.7109375" customWidth="1"/>
    <col min="12289" max="12289" width="1.28515625" bestFit="1" customWidth="1"/>
    <col min="12290" max="12290" width="9.7109375" bestFit="1" customWidth="1"/>
    <col min="12291" max="12291" width="9.28515625" bestFit="1" customWidth="1"/>
    <col min="12292" max="12292" width="14.42578125" customWidth="1"/>
    <col min="12293" max="12293" width="11.140625" bestFit="1" customWidth="1"/>
    <col min="12294" max="12294" width="19.85546875" bestFit="1" customWidth="1"/>
    <col min="12295" max="12298" width="7.5703125" bestFit="1" customWidth="1"/>
    <col min="12299" max="12299" width="44.7109375" bestFit="1" customWidth="1"/>
    <col min="12300" max="12300" width="9.7109375" bestFit="1" customWidth="1"/>
    <col min="12301" max="12301" width="29.7109375" customWidth="1"/>
    <col min="12545" max="12545" width="1.28515625" bestFit="1" customWidth="1"/>
    <col min="12546" max="12546" width="9.7109375" bestFit="1" customWidth="1"/>
    <col min="12547" max="12547" width="9.28515625" bestFit="1" customWidth="1"/>
    <col min="12548" max="12548" width="14.42578125" customWidth="1"/>
    <col min="12549" max="12549" width="11.140625" bestFit="1" customWidth="1"/>
    <col min="12550" max="12550" width="19.85546875" bestFit="1" customWidth="1"/>
    <col min="12551" max="12554" width="7.5703125" bestFit="1" customWidth="1"/>
    <col min="12555" max="12555" width="44.7109375" bestFit="1" customWidth="1"/>
    <col min="12556" max="12556" width="9.7109375" bestFit="1" customWidth="1"/>
    <col min="12557" max="12557" width="29.7109375" customWidth="1"/>
    <col min="12801" max="12801" width="1.28515625" bestFit="1" customWidth="1"/>
    <col min="12802" max="12802" width="9.7109375" bestFit="1" customWidth="1"/>
    <col min="12803" max="12803" width="9.28515625" bestFit="1" customWidth="1"/>
    <col min="12804" max="12804" width="14.42578125" customWidth="1"/>
    <col min="12805" max="12805" width="11.140625" bestFit="1" customWidth="1"/>
    <col min="12806" max="12806" width="19.85546875" bestFit="1" customWidth="1"/>
    <col min="12807" max="12810" width="7.5703125" bestFit="1" customWidth="1"/>
    <col min="12811" max="12811" width="44.7109375" bestFit="1" customWidth="1"/>
    <col min="12812" max="12812" width="9.7109375" bestFit="1" customWidth="1"/>
    <col min="12813" max="12813" width="29.7109375" customWidth="1"/>
    <col min="13057" max="13057" width="1.28515625" bestFit="1" customWidth="1"/>
    <col min="13058" max="13058" width="9.7109375" bestFit="1" customWidth="1"/>
    <col min="13059" max="13059" width="9.28515625" bestFit="1" customWidth="1"/>
    <col min="13060" max="13060" width="14.42578125" customWidth="1"/>
    <col min="13061" max="13061" width="11.140625" bestFit="1" customWidth="1"/>
    <col min="13062" max="13062" width="19.85546875" bestFit="1" customWidth="1"/>
    <col min="13063" max="13066" width="7.5703125" bestFit="1" customWidth="1"/>
    <col min="13067" max="13067" width="44.7109375" bestFit="1" customWidth="1"/>
    <col min="13068" max="13068" width="9.7109375" bestFit="1" customWidth="1"/>
    <col min="13069" max="13069" width="29.7109375" customWidth="1"/>
    <col min="13313" max="13313" width="1.28515625" bestFit="1" customWidth="1"/>
    <col min="13314" max="13314" width="9.7109375" bestFit="1" customWidth="1"/>
    <col min="13315" max="13315" width="9.28515625" bestFit="1" customWidth="1"/>
    <col min="13316" max="13316" width="14.42578125" customWidth="1"/>
    <col min="13317" max="13317" width="11.140625" bestFit="1" customWidth="1"/>
    <col min="13318" max="13318" width="19.85546875" bestFit="1" customWidth="1"/>
    <col min="13319" max="13322" width="7.5703125" bestFit="1" customWidth="1"/>
    <col min="13323" max="13323" width="44.7109375" bestFit="1" customWidth="1"/>
    <col min="13324" max="13324" width="9.7109375" bestFit="1" customWidth="1"/>
    <col min="13325" max="13325" width="29.7109375" customWidth="1"/>
    <col min="13569" max="13569" width="1.28515625" bestFit="1" customWidth="1"/>
    <col min="13570" max="13570" width="9.7109375" bestFit="1" customWidth="1"/>
    <col min="13571" max="13571" width="9.28515625" bestFit="1" customWidth="1"/>
    <col min="13572" max="13572" width="14.42578125" customWidth="1"/>
    <col min="13573" max="13573" width="11.140625" bestFit="1" customWidth="1"/>
    <col min="13574" max="13574" width="19.85546875" bestFit="1" customWidth="1"/>
    <col min="13575" max="13578" width="7.5703125" bestFit="1" customWidth="1"/>
    <col min="13579" max="13579" width="44.7109375" bestFit="1" customWidth="1"/>
    <col min="13580" max="13580" width="9.7109375" bestFit="1" customWidth="1"/>
    <col min="13581" max="13581" width="29.7109375" customWidth="1"/>
    <col min="13825" max="13825" width="1.28515625" bestFit="1" customWidth="1"/>
    <col min="13826" max="13826" width="9.7109375" bestFit="1" customWidth="1"/>
    <col min="13827" max="13827" width="9.28515625" bestFit="1" customWidth="1"/>
    <col min="13828" max="13828" width="14.42578125" customWidth="1"/>
    <col min="13829" max="13829" width="11.140625" bestFit="1" customWidth="1"/>
    <col min="13830" max="13830" width="19.85546875" bestFit="1" customWidth="1"/>
    <col min="13831" max="13834" width="7.5703125" bestFit="1" customWidth="1"/>
    <col min="13835" max="13835" width="44.7109375" bestFit="1" customWidth="1"/>
    <col min="13836" max="13836" width="9.7109375" bestFit="1" customWidth="1"/>
    <col min="13837" max="13837" width="29.7109375" customWidth="1"/>
    <col min="14081" max="14081" width="1.28515625" bestFit="1" customWidth="1"/>
    <col min="14082" max="14082" width="9.7109375" bestFit="1" customWidth="1"/>
    <col min="14083" max="14083" width="9.28515625" bestFit="1" customWidth="1"/>
    <col min="14084" max="14084" width="14.42578125" customWidth="1"/>
    <col min="14085" max="14085" width="11.140625" bestFit="1" customWidth="1"/>
    <col min="14086" max="14086" width="19.85546875" bestFit="1" customWidth="1"/>
    <col min="14087" max="14090" width="7.5703125" bestFit="1" customWidth="1"/>
    <col min="14091" max="14091" width="44.7109375" bestFit="1" customWidth="1"/>
    <col min="14092" max="14092" width="9.7109375" bestFit="1" customWidth="1"/>
    <col min="14093" max="14093" width="29.7109375" customWidth="1"/>
    <col min="14337" max="14337" width="1.28515625" bestFit="1" customWidth="1"/>
    <col min="14338" max="14338" width="9.7109375" bestFit="1" customWidth="1"/>
    <col min="14339" max="14339" width="9.28515625" bestFit="1" customWidth="1"/>
    <col min="14340" max="14340" width="14.42578125" customWidth="1"/>
    <col min="14341" max="14341" width="11.140625" bestFit="1" customWidth="1"/>
    <col min="14342" max="14342" width="19.85546875" bestFit="1" customWidth="1"/>
    <col min="14343" max="14346" width="7.5703125" bestFit="1" customWidth="1"/>
    <col min="14347" max="14347" width="44.7109375" bestFit="1" customWidth="1"/>
    <col min="14348" max="14348" width="9.7109375" bestFit="1" customWidth="1"/>
    <col min="14349" max="14349" width="29.7109375" customWidth="1"/>
    <col min="14593" max="14593" width="1.28515625" bestFit="1" customWidth="1"/>
    <col min="14594" max="14594" width="9.7109375" bestFit="1" customWidth="1"/>
    <col min="14595" max="14595" width="9.28515625" bestFit="1" customWidth="1"/>
    <col min="14596" max="14596" width="14.42578125" customWidth="1"/>
    <col min="14597" max="14597" width="11.140625" bestFit="1" customWidth="1"/>
    <col min="14598" max="14598" width="19.85546875" bestFit="1" customWidth="1"/>
    <col min="14599" max="14602" width="7.5703125" bestFit="1" customWidth="1"/>
    <col min="14603" max="14603" width="44.7109375" bestFit="1" customWidth="1"/>
    <col min="14604" max="14604" width="9.7109375" bestFit="1" customWidth="1"/>
    <col min="14605" max="14605" width="29.7109375" customWidth="1"/>
    <col min="14849" max="14849" width="1.28515625" bestFit="1" customWidth="1"/>
    <col min="14850" max="14850" width="9.7109375" bestFit="1" customWidth="1"/>
    <col min="14851" max="14851" width="9.28515625" bestFit="1" customWidth="1"/>
    <col min="14852" max="14852" width="14.42578125" customWidth="1"/>
    <col min="14853" max="14853" width="11.140625" bestFit="1" customWidth="1"/>
    <col min="14854" max="14854" width="19.85546875" bestFit="1" customWidth="1"/>
    <col min="14855" max="14858" width="7.5703125" bestFit="1" customWidth="1"/>
    <col min="14859" max="14859" width="44.7109375" bestFit="1" customWidth="1"/>
    <col min="14860" max="14860" width="9.7109375" bestFit="1" customWidth="1"/>
    <col min="14861" max="14861" width="29.7109375" customWidth="1"/>
    <col min="15105" max="15105" width="1.28515625" bestFit="1" customWidth="1"/>
    <col min="15106" max="15106" width="9.7109375" bestFit="1" customWidth="1"/>
    <col min="15107" max="15107" width="9.28515625" bestFit="1" customWidth="1"/>
    <col min="15108" max="15108" width="14.42578125" customWidth="1"/>
    <col min="15109" max="15109" width="11.140625" bestFit="1" customWidth="1"/>
    <col min="15110" max="15110" width="19.85546875" bestFit="1" customWidth="1"/>
    <col min="15111" max="15114" width="7.5703125" bestFit="1" customWidth="1"/>
    <col min="15115" max="15115" width="44.7109375" bestFit="1" customWidth="1"/>
    <col min="15116" max="15116" width="9.7109375" bestFit="1" customWidth="1"/>
    <col min="15117" max="15117" width="29.7109375" customWidth="1"/>
    <col min="15361" max="15361" width="1.28515625" bestFit="1" customWidth="1"/>
    <col min="15362" max="15362" width="9.7109375" bestFit="1" customWidth="1"/>
    <col min="15363" max="15363" width="9.28515625" bestFit="1" customWidth="1"/>
    <col min="15364" max="15364" width="14.42578125" customWidth="1"/>
    <col min="15365" max="15365" width="11.140625" bestFit="1" customWidth="1"/>
    <col min="15366" max="15366" width="19.85546875" bestFit="1" customWidth="1"/>
    <col min="15367" max="15370" width="7.5703125" bestFit="1" customWidth="1"/>
    <col min="15371" max="15371" width="44.7109375" bestFit="1" customWidth="1"/>
    <col min="15372" max="15372" width="9.7109375" bestFit="1" customWidth="1"/>
    <col min="15373" max="15373" width="29.7109375" customWidth="1"/>
    <col min="15617" max="15617" width="1.28515625" bestFit="1" customWidth="1"/>
    <col min="15618" max="15618" width="9.7109375" bestFit="1" customWidth="1"/>
    <col min="15619" max="15619" width="9.28515625" bestFit="1" customWidth="1"/>
    <col min="15620" max="15620" width="14.42578125" customWidth="1"/>
    <col min="15621" max="15621" width="11.140625" bestFit="1" customWidth="1"/>
    <col min="15622" max="15622" width="19.85546875" bestFit="1" customWidth="1"/>
    <col min="15623" max="15626" width="7.5703125" bestFit="1" customWidth="1"/>
    <col min="15627" max="15627" width="44.7109375" bestFit="1" customWidth="1"/>
    <col min="15628" max="15628" width="9.7109375" bestFit="1" customWidth="1"/>
    <col min="15629" max="15629" width="29.7109375" customWidth="1"/>
    <col min="15873" max="15873" width="1.28515625" bestFit="1" customWidth="1"/>
    <col min="15874" max="15874" width="9.7109375" bestFit="1" customWidth="1"/>
    <col min="15875" max="15875" width="9.28515625" bestFit="1" customWidth="1"/>
    <col min="15876" max="15876" width="14.42578125" customWidth="1"/>
    <col min="15877" max="15877" width="11.140625" bestFit="1" customWidth="1"/>
    <col min="15878" max="15878" width="19.85546875" bestFit="1" customWidth="1"/>
    <col min="15879" max="15882" width="7.5703125" bestFit="1" customWidth="1"/>
    <col min="15883" max="15883" width="44.7109375" bestFit="1" customWidth="1"/>
    <col min="15884" max="15884" width="9.7109375" bestFit="1" customWidth="1"/>
    <col min="15885" max="15885" width="29.7109375" customWidth="1"/>
    <col min="16129" max="16129" width="1.28515625" bestFit="1" customWidth="1"/>
    <col min="16130" max="16130" width="9.7109375" bestFit="1" customWidth="1"/>
    <col min="16131" max="16131" width="9.28515625" bestFit="1" customWidth="1"/>
    <col min="16132" max="16132" width="14.42578125" customWidth="1"/>
    <col min="16133" max="16133" width="11.140625" bestFit="1" customWidth="1"/>
    <col min="16134" max="16134" width="19.85546875" bestFit="1" customWidth="1"/>
    <col min="16135" max="16138" width="7.5703125" bestFit="1" customWidth="1"/>
    <col min="16139" max="16139" width="44.7109375" bestFit="1" customWidth="1"/>
    <col min="16140" max="16140" width="9.7109375" bestFit="1" customWidth="1"/>
    <col min="16141" max="16141" width="29.7109375" customWidth="1"/>
  </cols>
  <sheetData>
    <row r="1" spans="1:13" ht="12.75" customHeight="1" x14ac:dyDescent="0.25">
      <c r="A1" s="326" t="s">
        <v>1650</v>
      </c>
      <c r="B1" s="326" t="s">
        <v>1651</v>
      </c>
      <c r="C1" s="326" t="s">
        <v>1652</v>
      </c>
      <c r="D1" s="326" t="s">
        <v>1653</v>
      </c>
      <c r="E1" s="326" t="s">
        <v>1654</v>
      </c>
      <c r="F1" s="326" t="s">
        <v>1655</v>
      </c>
      <c r="G1" s="326" t="s">
        <v>1656</v>
      </c>
      <c r="H1" s="326" t="s">
        <v>1657</v>
      </c>
      <c r="I1" s="326" t="s">
        <v>1658</v>
      </c>
      <c r="J1" s="326" t="s">
        <v>1659</v>
      </c>
      <c r="K1" s="326" t="s">
        <v>1660</v>
      </c>
      <c r="L1" s="326" t="s">
        <v>1661</v>
      </c>
      <c r="M1" s="326" t="s">
        <v>1662</v>
      </c>
    </row>
    <row r="2" spans="1:13" ht="15.75" customHeight="1" x14ac:dyDescent="0.25">
      <c r="A2" s="327"/>
      <c r="B2" s="328" t="s">
        <v>1714</v>
      </c>
      <c r="C2" s="329" t="s">
        <v>1715</v>
      </c>
      <c r="D2" s="330">
        <v>45313</v>
      </c>
      <c r="E2" s="330">
        <v>45313</v>
      </c>
      <c r="F2" s="328" t="s">
        <v>1703</v>
      </c>
      <c r="G2" s="331">
        <v>1328190</v>
      </c>
      <c r="H2" s="331">
        <v>1686801</v>
      </c>
      <c r="I2" s="331">
        <v>1328190</v>
      </c>
      <c r="J2" s="331">
        <v>1686801</v>
      </c>
      <c r="K2" s="328" t="s">
        <v>1716</v>
      </c>
      <c r="L2" s="328" t="s">
        <v>1676</v>
      </c>
      <c r="M2" s="328" t="s">
        <v>1717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outlinePr summaryBelow="0"/>
  </sheetPr>
  <dimension ref="A1:M17"/>
  <sheetViews>
    <sheetView showGridLines="0" workbookViewId="0">
      <selection activeCell="M16" sqref="M16"/>
    </sheetView>
  </sheetViews>
  <sheetFormatPr defaultRowHeight="15" x14ac:dyDescent="0.25"/>
  <cols>
    <col min="1" max="1" width="2.7109375" customWidth="1"/>
    <col min="2" max="2" width="14.42578125" customWidth="1"/>
    <col min="3" max="4" width="11.42578125" customWidth="1"/>
    <col min="5" max="5" width="19" customWidth="1"/>
    <col min="6" max="6" width="28.5703125" customWidth="1"/>
    <col min="7" max="9" width="11.42578125" customWidth="1"/>
    <col min="10" max="10" width="10.7109375" customWidth="1"/>
    <col min="11" max="11" width="37" customWidth="1"/>
    <col min="12" max="12" width="27.28515625" customWidth="1"/>
    <col min="13" max="13" width="17.85546875" customWidth="1"/>
    <col min="257" max="257" width="2.7109375" customWidth="1"/>
    <col min="258" max="258" width="14.42578125" customWidth="1"/>
    <col min="259" max="260" width="11.42578125" customWidth="1"/>
    <col min="261" max="261" width="19" customWidth="1"/>
    <col min="262" max="262" width="28.5703125" customWidth="1"/>
    <col min="263" max="265" width="11.42578125" customWidth="1"/>
    <col min="266" max="266" width="10.7109375" customWidth="1"/>
    <col min="267" max="267" width="37" customWidth="1"/>
    <col min="268" max="268" width="27.28515625" customWidth="1"/>
    <col min="269" max="269" width="17.85546875" customWidth="1"/>
    <col min="513" max="513" width="2.7109375" customWidth="1"/>
    <col min="514" max="514" width="14.42578125" customWidth="1"/>
    <col min="515" max="516" width="11.42578125" customWidth="1"/>
    <col min="517" max="517" width="19" customWidth="1"/>
    <col min="518" max="518" width="28.5703125" customWidth="1"/>
    <col min="519" max="521" width="11.42578125" customWidth="1"/>
    <col min="522" max="522" width="10.7109375" customWidth="1"/>
    <col min="523" max="523" width="37" customWidth="1"/>
    <col min="524" max="524" width="27.28515625" customWidth="1"/>
    <col min="525" max="525" width="17.85546875" customWidth="1"/>
    <col min="769" max="769" width="2.7109375" customWidth="1"/>
    <col min="770" max="770" width="14.42578125" customWidth="1"/>
    <col min="771" max="772" width="11.42578125" customWidth="1"/>
    <col min="773" max="773" width="19" customWidth="1"/>
    <col min="774" max="774" width="28.5703125" customWidth="1"/>
    <col min="775" max="777" width="11.42578125" customWidth="1"/>
    <col min="778" max="778" width="10.7109375" customWidth="1"/>
    <col min="779" max="779" width="37" customWidth="1"/>
    <col min="780" max="780" width="27.28515625" customWidth="1"/>
    <col min="781" max="781" width="17.85546875" customWidth="1"/>
    <col min="1025" max="1025" width="2.7109375" customWidth="1"/>
    <col min="1026" max="1026" width="14.42578125" customWidth="1"/>
    <col min="1027" max="1028" width="11.42578125" customWidth="1"/>
    <col min="1029" max="1029" width="19" customWidth="1"/>
    <col min="1030" max="1030" width="28.5703125" customWidth="1"/>
    <col min="1031" max="1033" width="11.42578125" customWidth="1"/>
    <col min="1034" max="1034" width="10.7109375" customWidth="1"/>
    <col min="1035" max="1035" width="37" customWidth="1"/>
    <col min="1036" max="1036" width="27.28515625" customWidth="1"/>
    <col min="1037" max="1037" width="17.85546875" customWidth="1"/>
    <col min="1281" max="1281" width="2.7109375" customWidth="1"/>
    <col min="1282" max="1282" width="14.42578125" customWidth="1"/>
    <col min="1283" max="1284" width="11.42578125" customWidth="1"/>
    <col min="1285" max="1285" width="19" customWidth="1"/>
    <col min="1286" max="1286" width="28.5703125" customWidth="1"/>
    <col min="1287" max="1289" width="11.42578125" customWidth="1"/>
    <col min="1290" max="1290" width="10.7109375" customWidth="1"/>
    <col min="1291" max="1291" width="37" customWidth="1"/>
    <col min="1292" max="1292" width="27.28515625" customWidth="1"/>
    <col min="1293" max="1293" width="17.85546875" customWidth="1"/>
    <col min="1537" max="1537" width="2.7109375" customWidth="1"/>
    <col min="1538" max="1538" width="14.42578125" customWidth="1"/>
    <col min="1539" max="1540" width="11.42578125" customWidth="1"/>
    <col min="1541" max="1541" width="19" customWidth="1"/>
    <col min="1542" max="1542" width="28.5703125" customWidth="1"/>
    <col min="1543" max="1545" width="11.42578125" customWidth="1"/>
    <col min="1546" max="1546" width="10.7109375" customWidth="1"/>
    <col min="1547" max="1547" width="37" customWidth="1"/>
    <col min="1548" max="1548" width="27.28515625" customWidth="1"/>
    <col min="1549" max="1549" width="17.85546875" customWidth="1"/>
    <col min="1793" max="1793" width="2.7109375" customWidth="1"/>
    <col min="1794" max="1794" width="14.42578125" customWidth="1"/>
    <col min="1795" max="1796" width="11.42578125" customWidth="1"/>
    <col min="1797" max="1797" width="19" customWidth="1"/>
    <col min="1798" max="1798" width="28.5703125" customWidth="1"/>
    <col min="1799" max="1801" width="11.42578125" customWidth="1"/>
    <col min="1802" max="1802" width="10.7109375" customWidth="1"/>
    <col min="1803" max="1803" width="37" customWidth="1"/>
    <col min="1804" max="1804" width="27.28515625" customWidth="1"/>
    <col min="1805" max="1805" width="17.85546875" customWidth="1"/>
    <col min="2049" max="2049" width="2.7109375" customWidth="1"/>
    <col min="2050" max="2050" width="14.42578125" customWidth="1"/>
    <col min="2051" max="2052" width="11.42578125" customWidth="1"/>
    <col min="2053" max="2053" width="19" customWidth="1"/>
    <col min="2054" max="2054" width="28.5703125" customWidth="1"/>
    <col min="2055" max="2057" width="11.42578125" customWidth="1"/>
    <col min="2058" max="2058" width="10.7109375" customWidth="1"/>
    <col min="2059" max="2059" width="37" customWidth="1"/>
    <col min="2060" max="2060" width="27.28515625" customWidth="1"/>
    <col min="2061" max="2061" width="17.85546875" customWidth="1"/>
    <col min="2305" max="2305" width="2.7109375" customWidth="1"/>
    <col min="2306" max="2306" width="14.42578125" customWidth="1"/>
    <col min="2307" max="2308" width="11.42578125" customWidth="1"/>
    <col min="2309" max="2309" width="19" customWidth="1"/>
    <col min="2310" max="2310" width="28.5703125" customWidth="1"/>
    <col min="2311" max="2313" width="11.42578125" customWidth="1"/>
    <col min="2314" max="2314" width="10.7109375" customWidth="1"/>
    <col min="2315" max="2315" width="37" customWidth="1"/>
    <col min="2316" max="2316" width="27.28515625" customWidth="1"/>
    <col min="2317" max="2317" width="17.85546875" customWidth="1"/>
    <col min="2561" max="2561" width="2.7109375" customWidth="1"/>
    <col min="2562" max="2562" width="14.42578125" customWidth="1"/>
    <col min="2563" max="2564" width="11.42578125" customWidth="1"/>
    <col min="2565" max="2565" width="19" customWidth="1"/>
    <col min="2566" max="2566" width="28.5703125" customWidth="1"/>
    <col min="2567" max="2569" width="11.42578125" customWidth="1"/>
    <col min="2570" max="2570" width="10.7109375" customWidth="1"/>
    <col min="2571" max="2571" width="37" customWidth="1"/>
    <col min="2572" max="2572" width="27.28515625" customWidth="1"/>
    <col min="2573" max="2573" width="17.85546875" customWidth="1"/>
    <col min="2817" max="2817" width="2.7109375" customWidth="1"/>
    <col min="2818" max="2818" width="14.42578125" customWidth="1"/>
    <col min="2819" max="2820" width="11.42578125" customWidth="1"/>
    <col min="2821" max="2821" width="19" customWidth="1"/>
    <col min="2822" max="2822" width="28.5703125" customWidth="1"/>
    <col min="2823" max="2825" width="11.42578125" customWidth="1"/>
    <col min="2826" max="2826" width="10.7109375" customWidth="1"/>
    <col min="2827" max="2827" width="37" customWidth="1"/>
    <col min="2828" max="2828" width="27.28515625" customWidth="1"/>
    <col min="2829" max="2829" width="17.85546875" customWidth="1"/>
    <col min="3073" max="3073" width="2.7109375" customWidth="1"/>
    <col min="3074" max="3074" width="14.42578125" customWidth="1"/>
    <col min="3075" max="3076" width="11.42578125" customWidth="1"/>
    <col min="3077" max="3077" width="19" customWidth="1"/>
    <col min="3078" max="3078" width="28.5703125" customWidth="1"/>
    <col min="3079" max="3081" width="11.42578125" customWidth="1"/>
    <col min="3082" max="3082" width="10.7109375" customWidth="1"/>
    <col min="3083" max="3083" width="37" customWidth="1"/>
    <col min="3084" max="3084" width="27.28515625" customWidth="1"/>
    <col min="3085" max="3085" width="17.85546875" customWidth="1"/>
    <col min="3329" max="3329" width="2.7109375" customWidth="1"/>
    <col min="3330" max="3330" width="14.42578125" customWidth="1"/>
    <col min="3331" max="3332" width="11.42578125" customWidth="1"/>
    <col min="3333" max="3333" width="19" customWidth="1"/>
    <col min="3334" max="3334" width="28.5703125" customWidth="1"/>
    <col min="3335" max="3337" width="11.42578125" customWidth="1"/>
    <col min="3338" max="3338" width="10.7109375" customWidth="1"/>
    <col min="3339" max="3339" width="37" customWidth="1"/>
    <col min="3340" max="3340" width="27.28515625" customWidth="1"/>
    <col min="3341" max="3341" width="17.85546875" customWidth="1"/>
    <col min="3585" max="3585" width="2.7109375" customWidth="1"/>
    <col min="3586" max="3586" width="14.42578125" customWidth="1"/>
    <col min="3587" max="3588" width="11.42578125" customWidth="1"/>
    <col min="3589" max="3589" width="19" customWidth="1"/>
    <col min="3590" max="3590" width="28.5703125" customWidth="1"/>
    <col min="3591" max="3593" width="11.42578125" customWidth="1"/>
    <col min="3594" max="3594" width="10.7109375" customWidth="1"/>
    <col min="3595" max="3595" width="37" customWidth="1"/>
    <col min="3596" max="3596" width="27.28515625" customWidth="1"/>
    <col min="3597" max="3597" width="17.85546875" customWidth="1"/>
    <col min="3841" max="3841" width="2.7109375" customWidth="1"/>
    <col min="3842" max="3842" width="14.42578125" customWidth="1"/>
    <col min="3843" max="3844" width="11.42578125" customWidth="1"/>
    <col min="3845" max="3845" width="19" customWidth="1"/>
    <col min="3846" max="3846" width="28.5703125" customWidth="1"/>
    <col min="3847" max="3849" width="11.42578125" customWidth="1"/>
    <col min="3850" max="3850" width="10.7109375" customWidth="1"/>
    <col min="3851" max="3851" width="37" customWidth="1"/>
    <col min="3852" max="3852" width="27.28515625" customWidth="1"/>
    <col min="3853" max="3853" width="17.85546875" customWidth="1"/>
    <col min="4097" max="4097" width="2.7109375" customWidth="1"/>
    <col min="4098" max="4098" width="14.42578125" customWidth="1"/>
    <col min="4099" max="4100" width="11.42578125" customWidth="1"/>
    <col min="4101" max="4101" width="19" customWidth="1"/>
    <col min="4102" max="4102" width="28.5703125" customWidth="1"/>
    <col min="4103" max="4105" width="11.42578125" customWidth="1"/>
    <col min="4106" max="4106" width="10.7109375" customWidth="1"/>
    <col min="4107" max="4107" width="37" customWidth="1"/>
    <col min="4108" max="4108" width="27.28515625" customWidth="1"/>
    <col min="4109" max="4109" width="17.85546875" customWidth="1"/>
    <col min="4353" max="4353" width="2.7109375" customWidth="1"/>
    <col min="4354" max="4354" width="14.42578125" customWidth="1"/>
    <col min="4355" max="4356" width="11.42578125" customWidth="1"/>
    <col min="4357" max="4357" width="19" customWidth="1"/>
    <col min="4358" max="4358" width="28.5703125" customWidth="1"/>
    <col min="4359" max="4361" width="11.42578125" customWidth="1"/>
    <col min="4362" max="4362" width="10.7109375" customWidth="1"/>
    <col min="4363" max="4363" width="37" customWidth="1"/>
    <col min="4364" max="4364" width="27.28515625" customWidth="1"/>
    <col min="4365" max="4365" width="17.85546875" customWidth="1"/>
    <col min="4609" max="4609" width="2.7109375" customWidth="1"/>
    <col min="4610" max="4610" width="14.42578125" customWidth="1"/>
    <col min="4611" max="4612" width="11.42578125" customWidth="1"/>
    <col min="4613" max="4613" width="19" customWidth="1"/>
    <col min="4614" max="4614" width="28.5703125" customWidth="1"/>
    <col min="4615" max="4617" width="11.42578125" customWidth="1"/>
    <col min="4618" max="4618" width="10.7109375" customWidth="1"/>
    <col min="4619" max="4619" width="37" customWidth="1"/>
    <col min="4620" max="4620" width="27.28515625" customWidth="1"/>
    <col min="4621" max="4621" width="17.85546875" customWidth="1"/>
    <col min="4865" max="4865" width="2.7109375" customWidth="1"/>
    <col min="4866" max="4866" width="14.42578125" customWidth="1"/>
    <col min="4867" max="4868" width="11.42578125" customWidth="1"/>
    <col min="4869" max="4869" width="19" customWidth="1"/>
    <col min="4870" max="4870" width="28.5703125" customWidth="1"/>
    <col min="4871" max="4873" width="11.42578125" customWidth="1"/>
    <col min="4874" max="4874" width="10.7109375" customWidth="1"/>
    <col min="4875" max="4875" width="37" customWidth="1"/>
    <col min="4876" max="4876" width="27.28515625" customWidth="1"/>
    <col min="4877" max="4877" width="17.85546875" customWidth="1"/>
    <col min="5121" max="5121" width="2.7109375" customWidth="1"/>
    <col min="5122" max="5122" width="14.42578125" customWidth="1"/>
    <col min="5123" max="5124" width="11.42578125" customWidth="1"/>
    <col min="5125" max="5125" width="19" customWidth="1"/>
    <col min="5126" max="5126" width="28.5703125" customWidth="1"/>
    <col min="5127" max="5129" width="11.42578125" customWidth="1"/>
    <col min="5130" max="5130" width="10.7109375" customWidth="1"/>
    <col min="5131" max="5131" width="37" customWidth="1"/>
    <col min="5132" max="5132" width="27.28515625" customWidth="1"/>
    <col min="5133" max="5133" width="17.85546875" customWidth="1"/>
    <col min="5377" max="5377" width="2.7109375" customWidth="1"/>
    <col min="5378" max="5378" width="14.42578125" customWidth="1"/>
    <col min="5379" max="5380" width="11.42578125" customWidth="1"/>
    <col min="5381" max="5381" width="19" customWidth="1"/>
    <col min="5382" max="5382" width="28.5703125" customWidth="1"/>
    <col min="5383" max="5385" width="11.42578125" customWidth="1"/>
    <col min="5386" max="5386" width="10.7109375" customWidth="1"/>
    <col min="5387" max="5387" width="37" customWidth="1"/>
    <col min="5388" max="5388" width="27.28515625" customWidth="1"/>
    <col min="5389" max="5389" width="17.85546875" customWidth="1"/>
    <col min="5633" max="5633" width="2.7109375" customWidth="1"/>
    <col min="5634" max="5634" width="14.42578125" customWidth="1"/>
    <col min="5635" max="5636" width="11.42578125" customWidth="1"/>
    <col min="5637" max="5637" width="19" customWidth="1"/>
    <col min="5638" max="5638" width="28.5703125" customWidth="1"/>
    <col min="5639" max="5641" width="11.42578125" customWidth="1"/>
    <col min="5642" max="5642" width="10.7109375" customWidth="1"/>
    <col min="5643" max="5643" width="37" customWidth="1"/>
    <col min="5644" max="5644" width="27.28515625" customWidth="1"/>
    <col min="5645" max="5645" width="17.85546875" customWidth="1"/>
    <col min="5889" max="5889" width="2.7109375" customWidth="1"/>
    <col min="5890" max="5890" width="14.42578125" customWidth="1"/>
    <col min="5891" max="5892" width="11.42578125" customWidth="1"/>
    <col min="5893" max="5893" width="19" customWidth="1"/>
    <col min="5894" max="5894" width="28.5703125" customWidth="1"/>
    <col min="5895" max="5897" width="11.42578125" customWidth="1"/>
    <col min="5898" max="5898" width="10.7109375" customWidth="1"/>
    <col min="5899" max="5899" width="37" customWidth="1"/>
    <col min="5900" max="5900" width="27.28515625" customWidth="1"/>
    <col min="5901" max="5901" width="17.85546875" customWidth="1"/>
    <col min="6145" max="6145" width="2.7109375" customWidth="1"/>
    <col min="6146" max="6146" width="14.42578125" customWidth="1"/>
    <col min="6147" max="6148" width="11.42578125" customWidth="1"/>
    <col min="6149" max="6149" width="19" customWidth="1"/>
    <col min="6150" max="6150" width="28.5703125" customWidth="1"/>
    <col min="6151" max="6153" width="11.42578125" customWidth="1"/>
    <col min="6154" max="6154" width="10.7109375" customWidth="1"/>
    <col min="6155" max="6155" width="37" customWidth="1"/>
    <col min="6156" max="6156" width="27.28515625" customWidth="1"/>
    <col min="6157" max="6157" width="17.85546875" customWidth="1"/>
    <col min="6401" max="6401" width="2.7109375" customWidth="1"/>
    <col min="6402" max="6402" width="14.42578125" customWidth="1"/>
    <col min="6403" max="6404" width="11.42578125" customWidth="1"/>
    <col min="6405" max="6405" width="19" customWidth="1"/>
    <col min="6406" max="6406" width="28.5703125" customWidth="1"/>
    <col min="6407" max="6409" width="11.42578125" customWidth="1"/>
    <col min="6410" max="6410" width="10.7109375" customWidth="1"/>
    <col min="6411" max="6411" width="37" customWidth="1"/>
    <col min="6412" max="6412" width="27.28515625" customWidth="1"/>
    <col min="6413" max="6413" width="17.85546875" customWidth="1"/>
    <col min="6657" max="6657" width="2.7109375" customWidth="1"/>
    <col min="6658" max="6658" width="14.42578125" customWidth="1"/>
    <col min="6659" max="6660" width="11.42578125" customWidth="1"/>
    <col min="6661" max="6661" width="19" customWidth="1"/>
    <col min="6662" max="6662" width="28.5703125" customWidth="1"/>
    <col min="6663" max="6665" width="11.42578125" customWidth="1"/>
    <col min="6666" max="6666" width="10.7109375" customWidth="1"/>
    <col min="6667" max="6667" width="37" customWidth="1"/>
    <col min="6668" max="6668" width="27.28515625" customWidth="1"/>
    <col min="6669" max="6669" width="17.85546875" customWidth="1"/>
    <col min="6913" max="6913" width="2.7109375" customWidth="1"/>
    <col min="6914" max="6914" width="14.42578125" customWidth="1"/>
    <col min="6915" max="6916" width="11.42578125" customWidth="1"/>
    <col min="6917" max="6917" width="19" customWidth="1"/>
    <col min="6918" max="6918" width="28.5703125" customWidth="1"/>
    <col min="6919" max="6921" width="11.42578125" customWidth="1"/>
    <col min="6922" max="6922" width="10.7109375" customWidth="1"/>
    <col min="6923" max="6923" width="37" customWidth="1"/>
    <col min="6924" max="6924" width="27.28515625" customWidth="1"/>
    <col min="6925" max="6925" width="17.85546875" customWidth="1"/>
    <col min="7169" max="7169" width="2.7109375" customWidth="1"/>
    <col min="7170" max="7170" width="14.42578125" customWidth="1"/>
    <col min="7171" max="7172" width="11.42578125" customWidth="1"/>
    <col min="7173" max="7173" width="19" customWidth="1"/>
    <col min="7174" max="7174" width="28.5703125" customWidth="1"/>
    <col min="7175" max="7177" width="11.42578125" customWidth="1"/>
    <col min="7178" max="7178" width="10.7109375" customWidth="1"/>
    <col min="7179" max="7179" width="37" customWidth="1"/>
    <col min="7180" max="7180" width="27.28515625" customWidth="1"/>
    <col min="7181" max="7181" width="17.85546875" customWidth="1"/>
    <col min="7425" max="7425" width="2.7109375" customWidth="1"/>
    <col min="7426" max="7426" width="14.42578125" customWidth="1"/>
    <col min="7427" max="7428" width="11.42578125" customWidth="1"/>
    <col min="7429" max="7429" width="19" customWidth="1"/>
    <col min="7430" max="7430" width="28.5703125" customWidth="1"/>
    <col min="7431" max="7433" width="11.42578125" customWidth="1"/>
    <col min="7434" max="7434" width="10.7109375" customWidth="1"/>
    <col min="7435" max="7435" width="37" customWidth="1"/>
    <col min="7436" max="7436" width="27.28515625" customWidth="1"/>
    <col min="7437" max="7437" width="17.85546875" customWidth="1"/>
    <col min="7681" max="7681" width="2.7109375" customWidth="1"/>
    <col min="7682" max="7682" width="14.42578125" customWidth="1"/>
    <col min="7683" max="7684" width="11.42578125" customWidth="1"/>
    <col min="7685" max="7685" width="19" customWidth="1"/>
    <col min="7686" max="7686" width="28.5703125" customWidth="1"/>
    <col min="7687" max="7689" width="11.42578125" customWidth="1"/>
    <col min="7690" max="7690" width="10.7109375" customWidth="1"/>
    <col min="7691" max="7691" width="37" customWidth="1"/>
    <col min="7692" max="7692" width="27.28515625" customWidth="1"/>
    <col min="7693" max="7693" width="17.85546875" customWidth="1"/>
    <col min="7937" max="7937" width="2.7109375" customWidth="1"/>
    <col min="7938" max="7938" width="14.42578125" customWidth="1"/>
    <col min="7939" max="7940" width="11.42578125" customWidth="1"/>
    <col min="7941" max="7941" width="19" customWidth="1"/>
    <col min="7942" max="7942" width="28.5703125" customWidth="1"/>
    <col min="7943" max="7945" width="11.42578125" customWidth="1"/>
    <col min="7946" max="7946" width="10.7109375" customWidth="1"/>
    <col min="7947" max="7947" width="37" customWidth="1"/>
    <col min="7948" max="7948" width="27.28515625" customWidth="1"/>
    <col min="7949" max="7949" width="17.85546875" customWidth="1"/>
    <col min="8193" max="8193" width="2.7109375" customWidth="1"/>
    <col min="8194" max="8194" width="14.42578125" customWidth="1"/>
    <col min="8195" max="8196" width="11.42578125" customWidth="1"/>
    <col min="8197" max="8197" width="19" customWidth="1"/>
    <col min="8198" max="8198" width="28.5703125" customWidth="1"/>
    <col min="8199" max="8201" width="11.42578125" customWidth="1"/>
    <col min="8202" max="8202" width="10.7109375" customWidth="1"/>
    <col min="8203" max="8203" width="37" customWidth="1"/>
    <col min="8204" max="8204" width="27.28515625" customWidth="1"/>
    <col min="8205" max="8205" width="17.85546875" customWidth="1"/>
    <col min="8449" max="8449" width="2.7109375" customWidth="1"/>
    <col min="8450" max="8450" width="14.42578125" customWidth="1"/>
    <col min="8451" max="8452" width="11.42578125" customWidth="1"/>
    <col min="8453" max="8453" width="19" customWidth="1"/>
    <col min="8454" max="8454" width="28.5703125" customWidth="1"/>
    <col min="8455" max="8457" width="11.42578125" customWidth="1"/>
    <col min="8458" max="8458" width="10.7109375" customWidth="1"/>
    <col min="8459" max="8459" width="37" customWidth="1"/>
    <col min="8460" max="8460" width="27.28515625" customWidth="1"/>
    <col min="8461" max="8461" width="17.85546875" customWidth="1"/>
    <col min="8705" max="8705" width="2.7109375" customWidth="1"/>
    <col min="8706" max="8706" width="14.42578125" customWidth="1"/>
    <col min="8707" max="8708" width="11.42578125" customWidth="1"/>
    <col min="8709" max="8709" width="19" customWidth="1"/>
    <col min="8710" max="8710" width="28.5703125" customWidth="1"/>
    <col min="8711" max="8713" width="11.42578125" customWidth="1"/>
    <col min="8714" max="8714" width="10.7109375" customWidth="1"/>
    <col min="8715" max="8715" width="37" customWidth="1"/>
    <col min="8716" max="8716" width="27.28515625" customWidth="1"/>
    <col min="8717" max="8717" width="17.85546875" customWidth="1"/>
    <col min="8961" max="8961" width="2.7109375" customWidth="1"/>
    <col min="8962" max="8962" width="14.42578125" customWidth="1"/>
    <col min="8963" max="8964" width="11.42578125" customWidth="1"/>
    <col min="8965" max="8965" width="19" customWidth="1"/>
    <col min="8966" max="8966" width="28.5703125" customWidth="1"/>
    <col min="8967" max="8969" width="11.42578125" customWidth="1"/>
    <col min="8970" max="8970" width="10.7109375" customWidth="1"/>
    <col min="8971" max="8971" width="37" customWidth="1"/>
    <col min="8972" max="8972" width="27.28515625" customWidth="1"/>
    <col min="8973" max="8973" width="17.85546875" customWidth="1"/>
    <col min="9217" max="9217" width="2.7109375" customWidth="1"/>
    <col min="9218" max="9218" width="14.42578125" customWidth="1"/>
    <col min="9219" max="9220" width="11.42578125" customWidth="1"/>
    <col min="9221" max="9221" width="19" customWidth="1"/>
    <col min="9222" max="9222" width="28.5703125" customWidth="1"/>
    <col min="9223" max="9225" width="11.42578125" customWidth="1"/>
    <col min="9226" max="9226" width="10.7109375" customWidth="1"/>
    <col min="9227" max="9227" width="37" customWidth="1"/>
    <col min="9228" max="9228" width="27.28515625" customWidth="1"/>
    <col min="9229" max="9229" width="17.85546875" customWidth="1"/>
    <col min="9473" max="9473" width="2.7109375" customWidth="1"/>
    <col min="9474" max="9474" width="14.42578125" customWidth="1"/>
    <col min="9475" max="9476" width="11.42578125" customWidth="1"/>
    <col min="9477" max="9477" width="19" customWidth="1"/>
    <col min="9478" max="9478" width="28.5703125" customWidth="1"/>
    <col min="9479" max="9481" width="11.42578125" customWidth="1"/>
    <col min="9482" max="9482" width="10.7109375" customWidth="1"/>
    <col min="9483" max="9483" width="37" customWidth="1"/>
    <col min="9484" max="9484" width="27.28515625" customWidth="1"/>
    <col min="9485" max="9485" width="17.85546875" customWidth="1"/>
    <col min="9729" max="9729" width="2.7109375" customWidth="1"/>
    <col min="9730" max="9730" width="14.42578125" customWidth="1"/>
    <col min="9731" max="9732" width="11.42578125" customWidth="1"/>
    <col min="9733" max="9733" width="19" customWidth="1"/>
    <col min="9734" max="9734" width="28.5703125" customWidth="1"/>
    <col min="9735" max="9737" width="11.42578125" customWidth="1"/>
    <col min="9738" max="9738" width="10.7109375" customWidth="1"/>
    <col min="9739" max="9739" width="37" customWidth="1"/>
    <col min="9740" max="9740" width="27.28515625" customWidth="1"/>
    <col min="9741" max="9741" width="17.85546875" customWidth="1"/>
    <col min="9985" max="9985" width="2.7109375" customWidth="1"/>
    <col min="9986" max="9986" width="14.42578125" customWidth="1"/>
    <col min="9987" max="9988" width="11.42578125" customWidth="1"/>
    <col min="9989" max="9989" width="19" customWidth="1"/>
    <col min="9990" max="9990" width="28.5703125" customWidth="1"/>
    <col min="9991" max="9993" width="11.42578125" customWidth="1"/>
    <col min="9994" max="9994" width="10.7109375" customWidth="1"/>
    <col min="9995" max="9995" width="37" customWidth="1"/>
    <col min="9996" max="9996" width="27.28515625" customWidth="1"/>
    <col min="9997" max="9997" width="17.85546875" customWidth="1"/>
    <col min="10241" max="10241" width="2.7109375" customWidth="1"/>
    <col min="10242" max="10242" width="14.42578125" customWidth="1"/>
    <col min="10243" max="10244" width="11.42578125" customWidth="1"/>
    <col min="10245" max="10245" width="19" customWidth="1"/>
    <col min="10246" max="10246" width="28.5703125" customWidth="1"/>
    <col min="10247" max="10249" width="11.42578125" customWidth="1"/>
    <col min="10250" max="10250" width="10.7109375" customWidth="1"/>
    <col min="10251" max="10251" width="37" customWidth="1"/>
    <col min="10252" max="10252" width="27.28515625" customWidth="1"/>
    <col min="10253" max="10253" width="17.85546875" customWidth="1"/>
    <col min="10497" max="10497" width="2.7109375" customWidth="1"/>
    <col min="10498" max="10498" width="14.42578125" customWidth="1"/>
    <col min="10499" max="10500" width="11.42578125" customWidth="1"/>
    <col min="10501" max="10501" width="19" customWidth="1"/>
    <col min="10502" max="10502" width="28.5703125" customWidth="1"/>
    <col min="10503" max="10505" width="11.42578125" customWidth="1"/>
    <col min="10506" max="10506" width="10.7109375" customWidth="1"/>
    <col min="10507" max="10507" width="37" customWidth="1"/>
    <col min="10508" max="10508" width="27.28515625" customWidth="1"/>
    <col min="10509" max="10509" width="17.85546875" customWidth="1"/>
    <col min="10753" max="10753" width="2.7109375" customWidth="1"/>
    <col min="10754" max="10754" width="14.42578125" customWidth="1"/>
    <col min="10755" max="10756" width="11.42578125" customWidth="1"/>
    <col min="10757" max="10757" width="19" customWidth="1"/>
    <col min="10758" max="10758" width="28.5703125" customWidth="1"/>
    <col min="10759" max="10761" width="11.42578125" customWidth="1"/>
    <col min="10762" max="10762" width="10.7109375" customWidth="1"/>
    <col min="10763" max="10763" width="37" customWidth="1"/>
    <col min="10764" max="10764" width="27.28515625" customWidth="1"/>
    <col min="10765" max="10765" width="17.85546875" customWidth="1"/>
    <col min="11009" max="11009" width="2.7109375" customWidth="1"/>
    <col min="11010" max="11010" width="14.42578125" customWidth="1"/>
    <col min="11011" max="11012" width="11.42578125" customWidth="1"/>
    <col min="11013" max="11013" width="19" customWidth="1"/>
    <col min="11014" max="11014" width="28.5703125" customWidth="1"/>
    <col min="11015" max="11017" width="11.42578125" customWidth="1"/>
    <col min="11018" max="11018" width="10.7109375" customWidth="1"/>
    <col min="11019" max="11019" width="37" customWidth="1"/>
    <col min="11020" max="11020" width="27.28515625" customWidth="1"/>
    <col min="11021" max="11021" width="17.85546875" customWidth="1"/>
    <col min="11265" max="11265" width="2.7109375" customWidth="1"/>
    <col min="11266" max="11266" width="14.42578125" customWidth="1"/>
    <col min="11267" max="11268" width="11.42578125" customWidth="1"/>
    <col min="11269" max="11269" width="19" customWidth="1"/>
    <col min="11270" max="11270" width="28.5703125" customWidth="1"/>
    <col min="11271" max="11273" width="11.42578125" customWidth="1"/>
    <col min="11274" max="11274" width="10.7109375" customWidth="1"/>
    <col min="11275" max="11275" width="37" customWidth="1"/>
    <col min="11276" max="11276" width="27.28515625" customWidth="1"/>
    <col min="11277" max="11277" width="17.85546875" customWidth="1"/>
    <col min="11521" max="11521" width="2.7109375" customWidth="1"/>
    <col min="11522" max="11522" width="14.42578125" customWidth="1"/>
    <col min="11523" max="11524" width="11.42578125" customWidth="1"/>
    <col min="11525" max="11525" width="19" customWidth="1"/>
    <col min="11526" max="11526" width="28.5703125" customWidth="1"/>
    <col min="11527" max="11529" width="11.42578125" customWidth="1"/>
    <col min="11530" max="11530" width="10.7109375" customWidth="1"/>
    <col min="11531" max="11531" width="37" customWidth="1"/>
    <col min="11532" max="11532" width="27.28515625" customWidth="1"/>
    <col min="11533" max="11533" width="17.85546875" customWidth="1"/>
    <col min="11777" max="11777" width="2.7109375" customWidth="1"/>
    <col min="11778" max="11778" width="14.42578125" customWidth="1"/>
    <col min="11779" max="11780" width="11.42578125" customWidth="1"/>
    <col min="11781" max="11781" width="19" customWidth="1"/>
    <col min="11782" max="11782" width="28.5703125" customWidth="1"/>
    <col min="11783" max="11785" width="11.42578125" customWidth="1"/>
    <col min="11786" max="11786" width="10.7109375" customWidth="1"/>
    <col min="11787" max="11787" width="37" customWidth="1"/>
    <col min="11788" max="11788" width="27.28515625" customWidth="1"/>
    <col min="11789" max="11789" width="17.85546875" customWidth="1"/>
    <col min="12033" max="12033" width="2.7109375" customWidth="1"/>
    <col min="12034" max="12034" width="14.42578125" customWidth="1"/>
    <col min="12035" max="12036" width="11.42578125" customWidth="1"/>
    <col min="12037" max="12037" width="19" customWidth="1"/>
    <col min="12038" max="12038" width="28.5703125" customWidth="1"/>
    <col min="12039" max="12041" width="11.42578125" customWidth="1"/>
    <col min="12042" max="12042" width="10.7109375" customWidth="1"/>
    <col min="12043" max="12043" width="37" customWidth="1"/>
    <col min="12044" max="12044" width="27.28515625" customWidth="1"/>
    <col min="12045" max="12045" width="17.85546875" customWidth="1"/>
    <col min="12289" max="12289" width="2.7109375" customWidth="1"/>
    <col min="12290" max="12290" width="14.42578125" customWidth="1"/>
    <col min="12291" max="12292" width="11.42578125" customWidth="1"/>
    <col min="12293" max="12293" width="19" customWidth="1"/>
    <col min="12294" max="12294" width="28.5703125" customWidth="1"/>
    <col min="12295" max="12297" width="11.42578125" customWidth="1"/>
    <col min="12298" max="12298" width="10.7109375" customWidth="1"/>
    <col min="12299" max="12299" width="37" customWidth="1"/>
    <col min="12300" max="12300" width="27.28515625" customWidth="1"/>
    <col min="12301" max="12301" width="17.85546875" customWidth="1"/>
    <col min="12545" max="12545" width="2.7109375" customWidth="1"/>
    <col min="12546" max="12546" width="14.42578125" customWidth="1"/>
    <col min="12547" max="12548" width="11.42578125" customWidth="1"/>
    <col min="12549" max="12549" width="19" customWidth="1"/>
    <col min="12550" max="12550" width="28.5703125" customWidth="1"/>
    <col min="12551" max="12553" width="11.42578125" customWidth="1"/>
    <col min="12554" max="12554" width="10.7109375" customWidth="1"/>
    <col min="12555" max="12555" width="37" customWidth="1"/>
    <col min="12556" max="12556" width="27.28515625" customWidth="1"/>
    <col min="12557" max="12557" width="17.85546875" customWidth="1"/>
    <col min="12801" max="12801" width="2.7109375" customWidth="1"/>
    <col min="12802" max="12802" width="14.42578125" customWidth="1"/>
    <col min="12803" max="12804" width="11.42578125" customWidth="1"/>
    <col min="12805" max="12805" width="19" customWidth="1"/>
    <col min="12806" max="12806" width="28.5703125" customWidth="1"/>
    <col min="12807" max="12809" width="11.42578125" customWidth="1"/>
    <col min="12810" max="12810" width="10.7109375" customWidth="1"/>
    <col min="12811" max="12811" width="37" customWidth="1"/>
    <col min="12812" max="12812" width="27.28515625" customWidth="1"/>
    <col min="12813" max="12813" width="17.85546875" customWidth="1"/>
    <col min="13057" max="13057" width="2.7109375" customWidth="1"/>
    <col min="13058" max="13058" width="14.42578125" customWidth="1"/>
    <col min="13059" max="13060" width="11.42578125" customWidth="1"/>
    <col min="13061" max="13061" width="19" customWidth="1"/>
    <col min="13062" max="13062" width="28.5703125" customWidth="1"/>
    <col min="13063" max="13065" width="11.42578125" customWidth="1"/>
    <col min="13066" max="13066" width="10.7109375" customWidth="1"/>
    <col min="13067" max="13067" width="37" customWidth="1"/>
    <col min="13068" max="13068" width="27.28515625" customWidth="1"/>
    <col min="13069" max="13069" width="17.85546875" customWidth="1"/>
    <col min="13313" max="13313" width="2.7109375" customWidth="1"/>
    <col min="13314" max="13314" width="14.42578125" customWidth="1"/>
    <col min="13315" max="13316" width="11.42578125" customWidth="1"/>
    <col min="13317" max="13317" width="19" customWidth="1"/>
    <col min="13318" max="13318" width="28.5703125" customWidth="1"/>
    <col min="13319" max="13321" width="11.42578125" customWidth="1"/>
    <col min="13322" max="13322" width="10.7109375" customWidth="1"/>
    <col min="13323" max="13323" width="37" customWidth="1"/>
    <col min="13324" max="13324" width="27.28515625" customWidth="1"/>
    <col min="13325" max="13325" width="17.85546875" customWidth="1"/>
    <col min="13569" max="13569" width="2.7109375" customWidth="1"/>
    <col min="13570" max="13570" width="14.42578125" customWidth="1"/>
    <col min="13571" max="13572" width="11.42578125" customWidth="1"/>
    <col min="13573" max="13573" width="19" customWidth="1"/>
    <col min="13574" max="13574" width="28.5703125" customWidth="1"/>
    <col min="13575" max="13577" width="11.42578125" customWidth="1"/>
    <col min="13578" max="13578" width="10.7109375" customWidth="1"/>
    <col min="13579" max="13579" width="37" customWidth="1"/>
    <col min="13580" max="13580" width="27.28515625" customWidth="1"/>
    <col min="13581" max="13581" width="17.85546875" customWidth="1"/>
    <col min="13825" max="13825" width="2.7109375" customWidth="1"/>
    <col min="13826" max="13826" width="14.42578125" customWidth="1"/>
    <col min="13827" max="13828" width="11.42578125" customWidth="1"/>
    <col min="13829" max="13829" width="19" customWidth="1"/>
    <col min="13830" max="13830" width="28.5703125" customWidth="1"/>
    <col min="13831" max="13833" width="11.42578125" customWidth="1"/>
    <col min="13834" max="13834" width="10.7109375" customWidth="1"/>
    <col min="13835" max="13835" width="37" customWidth="1"/>
    <col min="13836" max="13836" width="27.28515625" customWidth="1"/>
    <col min="13837" max="13837" width="17.85546875" customWidth="1"/>
    <col min="14081" max="14081" width="2.7109375" customWidth="1"/>
    <col min="14082" max="14082" width="14.42578125" customWidth="1"/>
    <col min="14083" max="14084" width="11.42578125" customWidth="1"/>
    <col min="14085" max="14085" width="19" customWidth="1"/>
    <col min="14086" max="14086" width="28.5703125" customWidth="1"/>
    <col min="14087" max="14089" width="11.42578125" customWidth="1"/>
    <col min="14090" max="14090" width="10.7109375" customWidth="1"/>
    <col min="14091" max="14091" width="37" customWidth="1"/>
    <col min="14092" max="14092" width="27.28515625" customWidth="1"/>
    <col min="14093" max="14093" width="17.85546875" customWidth="1"/>
    <col min="14337" max="14337" width="2.7109375" customWidth="1"/>
    <col min="14338" max="14338" width="14.42578125" customWidth="1"/>
    <col min="14339" max="14340" width="11.42578125" customWidth="1"/>
    <col min="14341" max="14341" width="19" customWidth="1"/>
    <col min="14342" max="14342" width="28.5703125" customWidth="1"/>
    <col min="14343" max="14345" width="11.42578125" customWidth="1"/>
    <col min="14346" max="14346" width="10.7109375" customWidth="1"/>
    <col min="14347" max="14347" width="37" customWidth="1"/>
    <col min="14348" max="14348" width="27.28515625" customWidth="1"/>
    <col min="14349" max="14349" width="17.85546875" customWidth="1"/>
    <col min="14593" max="14593" width="2.7109375" customWidth="1"/>
    <col min="14594" max="14594" width="14.42578125" customWidth="1"/>
    <col min="14595" max="14596" width="11.42578125" customWidth="1"/>
    <col min="14597" max="14597" width="19" customWidth="1"/>
    <col min="14598" max="14598" width="28.5703125" customWidth="1"/>
    <col min="14599" max="14601" width="11.42578125" customWidth="1"/>
    <col min="14602" max="14602" width="10.7109375" customWidth="1"/>
    <col min="14603" max="14603" width="37" customWidth="1"/>
    <col min="14604" max="14604" width="27.28515625" customWidth="1"/>
    <col min="14605" max="14605" width="17.85546875" customWidth="1"/>
    <col min="14849" max="14849" width="2.7109375" customWidth="1"/>
    <col min="14850" max="14850" width="14.42578125" customWidth="1"/>
    <col min="14851" max="14852" width="11.42578125" customWidth="1"/>
    <col min="14853" max="14853" width="19" customWidth="1"/>
    <col min="14854" max="14854" width="28.5703125" customWidth="1"/>
    <col min="14855" max="14857" width="11.42578125" customWidth="1"/>
    <col min="14858" max="14858" width="10.7109375" customWidth="1"/>
    <col min="14859" max="14859" width="37" customWidth="1"/>
    <col min="14860" max="14860" width="27.28515625" customWidth="1"/>
    <col min="14861" max="14861" width="17.85546875" customWidth="1"/>
    <col min="15105" max="15105" width="2.7109375" customWidth="1"/>
    <col min="15106" max="15106" width="14.42578125" customWidth="1"/>
    <col min="15107" max="15108" width="11.42578125" customWidth="1"/>
    <col min="15109" max="15109" width="19" customWidth="1"/>
    <col min="15110" max="15110" width="28.5703125" customWidth="1"/>
    <col min="15111" max="15113" width="11.42578125" customWidth="1"/>
    <col min="15114" max="15114" width="10.7109375" customWidth="1"/>
    <col min="15115" max="15115" width="37" customWidth="1"/>
    <col min="15116" max="15116" width="27.28515625" customWidth="1"/>
    <col min="15117" max="15117" width="17.85546875" customWidth="1"/>
    <col min="15361" max="15361" width="2.7109375" customWidth="1"/>
    <col min="15362" max="15362" width="14.42578125" customWidth="1"/>
    <col min="15363" max="15364" width="11.42578125" customWidth="1"/>
    <col min="15365" max="15365" width="19" customWidth="1"/>
    <col min="15366" max="15366" width="28.5703125" customWidth="1"/>
    <col min="15367" max="15369" width="11.42578125" customWidth="1"/>
    <col min="15370" max="15370" width="10.7109375" customWidth="1"/>
    <col min="15371" max="15371" width="37" customWidth="1"/>
    <col min="15372" max="15372" width="27.28515625" customWidth="1"/>
    <col min="15373" max="15373" width="17.85546875" customWidth="1"/>
    <col min="15617" max="15617" width="2.7109375" customWidth="1"/>
    <col min="15618" max="15618" width="14.42578125" customWidth="1"/>
    <col min="15619" max="15620" width="11.42578125" customWidth="1"/>
    <col min="15621" max="15621" width="19" customWidth="1"/>
    <col min="15622" max="15622" width="28.5703125" customWidth="1"/>
    <col min="15623" max="15625" width="11.42578125" customWidth="1"/>
    <col min="15626" max="15626" width="10.7109375" customWidth="1"/>
    <col min="15627" max="15627" width="37" customWidth="1"/>
    <col min="15628" max="15628" width="27.28515625" customWidth="1"/>
    <col min="15629" max="15629" width="17.85546875" customWidth="1"/>
    <col min="15873" max="15873" width="2.7109375" customWidth="1"/>
    <col min="15874" max="15874" width="14.42578125" customWidth="1"/>
    <col min="15875" max="15876" width="11.42578125" customWidth="1"/>
    <col min="15877" max="15877" width="19" customWidth="1"/>
    <col min="15878" max="15878" width="28.5703125" customWidth="1"/>
    <col min="15879" max="15881" width="11.42578125" customWidth="1"/>
    <col min="15882" max="15882" width="10.7109375" customWidth="1"/>
    <col min="15883" max="15883" width="37" customWidth="1"/>
    <col min="15884" max="15884" width="27.28515625" customWidth="1"/>
    <col min="15885" max="15885" width="17.85546875" customWidth="1"/>
    <col min="16129" max="16129" width="2.7109375" customWidth="1"/>
    <col min="16130" max="16130" width="14.42578125" customWidth="1"/>
    <col min="16131" max="16132" width="11.42578125" customWidth="1"/>
    <col min="16133" max="16133" width="19" customWidth="1"/>
    <col min="16134" max="16134" width="28.5703125" customWidth="1"/>
    <col min="16135" max="16137" width="11.42578125" customWidth="1"/>
    <col min="16138" max="16138" width="10.7109375" customWidth="1"/>
    <col min="16139" max="16139" width="37" customWidth="1"/>
    <col min="16140" max="16140" width="27.28515625" customWidth="1"/>
    <col min="16141" max="16141" width="17.85546875" customWidth="1"/>
  </cols>
  <sheetData>
    <row r="1" spans="1:13" ht="12.75" customHeight="1" x14ac:dyDescent="0.25">
      <c r="A1" s="326" t="s">
        <v>1650</v>
      </c>
      <c r="B1" s="326" t="s">
        <v>1651</v>
      </c>
      <c r="C1" s="326" t="s">
        <v>1652</v>
      </c>
      <c r="D1" s="326" t="s">
        <v>1653</v>
      </c>
      <c r="E1" s="326" t="s">
        <v>1654</v>
      </c>
      <c r="F1" s="326" t="s">
        <v>1655</v>
      </c>
      <c r="G1" s="326" t="s">
        <v>1656</v>
      </c>
      <c r="H1" s="326" t="s">
        <v>1657</v>
      </c>
      <c r="I1" s="326" t="s">
        <v>1658</v>
      </c>
      <c r="J1" s="326" t="s">
        <v>1659</v>
      </c>
      <c r="K1" s="326" t="s">
        <v>1660</v>
      </c>
      <c r="L1" s="326" t="s">
        <v>1661</v>
      </c>
      <c r="M1" s="326" t="s">
        <v>1662</v>
      </c>
    </row>
    <row r="2" spans="1:13" ht="15.75" customHeight="1" x14ac:dyDescent="0.25">
      <c r="A2" s="327"/>
      <c r="B2" s="328" t="s">
        <v>1663</v>
      </c>
      <c r="C2" s="329" t="s">
        <v>1664</v>
      </c>
      <c r="D2" s="330">
        <v>44933</v>
      </c>
      <c r="E2" s="330">
        <v>44933</v>
      </c>
      <c r="F2" s="328" t="s">
        <v>1665</v>
      </c>
      <c r="G2" s="331">
        <v>690200</v>
      </c>
      <c r="H2" s="331">
        <v>876554</v>
      </c>
      <c r="I2" s="331">
        <v>690200</v>
      </c>
      <c r="J2" s="331">
        <v>876554</v>
      </c>
      <c r="K2" s="328" t="s">
        <v>1666</v>
      </c>
      <c r="L2" s="332" t="s">
        <v>1667</v>
      </c>
      <c r="M2" s="328" t="s">
        <v>1668</v>
      </c>
    </row>
    <row r="3" spans="1:13" ht="15.75" customHeight="1" x14ac:dyDescent="0.25">
      <c r="A3" s="327"/>
      <c r="B3" s="328" t="s">
        <v>1669</v>
      </c>
      <c r="C3" s="329" t="s">
        <v>1670</v>
      </c>
      <c r="D3" s="330">
        <v>44963</v>
      </c>
      <c r="E3" s="330">
        <v>44963</v>
      </c>
      <c r="F3" s="328" t="s">
        <v>1665</v>
      </c>
      <c r="G3" s="331">
        <v>766752</v>
      </c>
      <c r="H3" s="331">
        <v>973775</v>
      </c>
      <c r="I3" s="331">
        <v>766752</v>
      </c>
      <c r="J3" s="331">
        <v>973775</v>
      </c>
      <c r="K3" s="328" t="s">
        <v>1671</v>
      </c>
      <c r="L3" s="328" t="s">
        <v>1672</v>
      </c>
      <c r="M3" s="328" t="s">
        <v>1673</v>
      </c>
    </row>
    <row r="4" spans="1:13" ht="15.75" customHeight="1" x14ac:dyDescent="0.25">
      <c r="A4" s="327"/>
      <c r="B4" s="328" t="s">
        <v>1648</v>
      </c>
      <c r="C4" s="329" t="s">
        <v>1674</v>
      </c>
      <c r="D4" s="330">
        <v>44965</v>
      </c>
      <c r="E4" s="330">
        <v>44965</v>
      </c>
      <c r="F4" s="328" t="s">
        <v>1665</v>
      </c>
      <c r="G4" s="331">
        <v>524670</v>
      </c>
      <c r="H4" s="331">
        <v>666331</v>
      </c>
      <c r="I4" s="331">
        <v>524670</v>
      </c>
      <c r="J4" s="331">
        <v>666331</v>
      </c>
      <c r="K4" s="328" t="s">
        <v>1675</v>
      </c>
      <c r="L4" s="333" t="s">
        <v>1676</v>
      </c>
      <c r="M4" s="328" t="s">
        <v>1677</v>
      </c>
    </row>
    <row r="5" spans="1:13" ht="15.75" customHeight="1" x14ac:dyDescent="0.25">
      <c r="A5" s="327"/>
      <c r="B5" s="328" t="s">
        <v>1678</v>
      </c>
      <c r="C5" s="329" t="s">
        <v>1679</v>
      </c>
      <c r="D5" s="330">
        <v>44977</v>
      </c>
      <c r="E5" s="330">
        <v>44977</v>
      </c>
      <c r="F5" s="328" t="s">
        <v>1665</v>
      </c>
      <c r="G5" s="331">
        <v>408670</v>
      </c>
      <c r="H5" s="331">
        <v>519011</v>
      </c>
      <c r="I5" s="331">
        <v>408670</v>
      </c>
      <c r="J5" s="331">
        <v>519011</v>
      </c>
      <c r="K5" s="328" t="s">
        <v>1680</v>
      </c>
      <c r="L5" s="333" t="s">
        <v>1676</v>
      </c>
      <c r="M5" s="328" t="s">
        <v>1681</v>
      </c>
    </row>
    <row r="6" spans="1:13" ht="15.75" customHeight="1" x14ac:dyDescent="0.25">
      <c r="A6" s="327"/>
      <c r="B6" s="328" t="s">
        <v>1483</v>
      </c>
      <c r="C6" s="329">
        <v>44986</v>
      </c>
      <c r="D6" s="330">
        <v>45005</v>
      </c>
      <c r="E6" s="330">
        <v>45005</v>
      </c>
      <c r="F6" s="328" t="s">
        <v>1665</v>
      </c>
      <c r="G6" s="331">
        <v>2645710</v>
      </c>
      <c r="H6" s="331">
        <v>3360052</v>
      </c>
      <c r="I6" s="331">
        <v>2645710</v>
      </c>
      <c r="J6" s="331">
        <v>3360052</v>
      </c>
      <c r="K6" s="328" t="s">
        <v>1682</v>
      </c>
      <c r="L6" s="333" t="s">
        <v>1676</v>
      </c>
      <c r="M6" s="328" t="s">
        <v>1683</v>
      </c>
    </row>
    <row r="7" spans="1:13" ht="15.75" customHeight="1" x14ac:dyDescent="0.25">
      <c r="A7" s="327"/>
      <c r="B7" s="328" t="s">
        <v>1629</v>
      </c>
      <c r="C7" s="329" t="s">
        <v>1684</v>
      </c>
      <c r="D7" s="330">
        <v>45026</v>
      </c>
      <c r="E7" s="330">
        <v>45026</v>
      </c>
      <c r="F7" s="328" t="s">
        <v>1665</v>
      </c>
      <c r="G7" s="331">
        <v>1413040</v>
      </c>
      <c r="H7" s="331">
        <v>1794561</v>
      </c>
      <c r="I7" s="331">
        <v>1413040</v>
      </c>
      <c r="J7" s="331">
        <v>1794561</v>
      </c>
      <c r="K7" s="328" t="s">
        <v>1685</v>
      </c>
      <c r="L7" s="333" t="s">
        <v>1676</v>
      </c>
      <c r="M7" s="328" t="s">
        <v>1686</v>
      </c>
    </row>
    <row r="8" spans="1:13" ht="15.75" customHeight="1" x14ac:dyDescent="0.25">
      <c r="A8" s="327"/>
      <c r="B8" s="328" t="s">
        <v>1610</v>
      </c>
      <c r="C8" s="329" t="s">
        <v>1687</v>
      </c>
      <c r="D8" s="330">
        <v>45056</v>
      </c>
      <c r="E8" s="330">
        <v>45056</v>
      </c>
      <c r="F8" s="328" t="s">
        <v>1665</v>
      </c>
      <c r="G8" s="331">
        <v>2921095</v>
      </c>
      <c r="H8" s="331">
        <v>3709791</v>
      </c>
      <c r="I8" s="331">
        <v>2921095</v>
      </c>
      <c r="J8" s="331">
        <v>3709791</v>
      </c>
      <c r="K8" s="328" t="s">
        <v>1688</v>
      </c>
      <c r="L8" s="333" t="s">
        <v>1676</v>
      </c>
      <c r="M8" s="328" t="s">
        <v>1689</v>
      </c>
    </row>
    <row r="9" spans="1:13" ht="15.75" customHeight="1" x14ac:dyDescent="0.25">
      <c r="A9" s="327"/>
      <c r="B9" s="328" t="s">
        <v>1605</v>
      </c>
      <c r="C9" s="329" t="s">
        <v>1690</v>
      </c>
      <c r="D9" s="330">
        <v>45077</v>
      </c>
      <c r="E9" s="330">
        <v>45077</v>
      </c>
      <c r="F9" s="328" t="s">
        <v>1665</v>
      </c>
      <c r="G9" s="331">
        <v>1392530</v>
      </c>
      <c r="H9" s="331">
        <v>1768513</v>
      </c>
      <c r="I9" s="331">
        <v>1392530</v>
      </c>
      <c r="J9" s="331">
        <v>1768513</v>
      </c>
      <c r="K9" s="328" t="s">
        <v>1691</v>
      </c>
      <c r="L9" s="333" t="s">
        <v>1676</v>
      </c>
      <c r="M9" s="328" t="s">
        <v>1692</v>
      </c>
    </row>
    <row r="10" spans="1:13" ht="15.75" customHeight="1" x14ac:dyDescent="0.25">
      <c r="A10" s="327"/>
      <c r="B10" s="328" t="s">
        <v>1594</v>
      </c>
      <c r="C10" s="329" t="s">
        <v>1693</v>
      </c>
      <c r="D10" s="330">
        <v>45107</v>
      </c>
      <c r="E10" s="330">
        <v>45107</v>
      </c>
      <c r="F10" s="328" t="s">
        <v>1665</v>
      </c>
      <c r="G10" s="331">
        <v>1893725</v>
      </c>
      <c r="H10" s="331">
        <v>2405031</v>
      </c>
      <c r="I10" s="331">
        <v>1893725</v>
      </c>
      <c r="J10" s="331">
        <v>2405031</v>
      </c>
      <c r="K10" s="328" t="s">
        <v>1694</v>
      </c>
      <c r="L10" s="333" t="s">
        <v>1676</v>
      </c>
      <c r="M10" s="328" t="s">
        <v>1695</v>
      </c>
    </row>
    <row r="11" spans="1:13" ht="15.75" customHeight="1" x14ac:dyDescent="0.25">
      <c r="A11" s="327"/>
      <c r="B11" s="328" t="s">
        <v>1592</v>
      </c>
      <c r="C11" s="329" t="s">
        <v>1696</v>
      </c>
      <c r="D11" s="330">
        <v>45107</v>
      </c>
      <c r="E11" s="330">
        <v>45107</v>
      </c>
      <c r="F11" s="328" t="s">
        <v>1665</v>
      </c>
      <c r="G11" s="331">
        <v>937510</v>
      </c>
      <c r="H11" s="331">
        <v>1190638</v>
      </c>
      <c r="I11" s="331">
        <v>937510</v>
      </c>
      <c r="J11" s="331">
        <v>1190638</v>
      </c>
      <c r="K11" s="328" t="s">
        <v>1697</v>
      </c>
      <c r="L11" s="333" t="s">
        <v>1676</v>
      </c>
      <c r="M11" s="328" t="s">
        <v>1698</v>
      </c>
    </row>
    <row r="12" spans="1:13" ht="15.75" customHeight="1" x14ac:dyDescent="0.25">
      <c r="A12" s="327"/>
      <c r="B12" s="328" t="s">
        <v>1581</v>
      </c>
      <c r="C12" s="329" t="s">
        <v>1699</v>
      </c>
      <c r="D12" s="330">
        <v>45127</v>
      </c>
      <c r="E12" s="330">
        <v>45127</v>
      </c>
      <c r="F12" s="328" t="s">
        <v>1665</v>
      </c>
      <c r="G12" s="331">
        <v>2977450</v>
      </c>
      <c r="H12" s="331">
        <v>3781362</v>
      </c>
      <c r="I12" s="331">
        <v>2977450</v>
      </c>
      <c r="J12" s="331">
        <v>3781362</v>
      </c>
      <c r="K12" s="328" t="s">
        <v>1700</v>
      </c>
      <c r="L12" s="333" t="s">
        <v>1676</v>
      </c>
      <c r="M12" s="328" t="s">
        <v>1701</v>
      </c>
    </row>
    <row r="13" spans="1:13" ht="15.75" customHeight="1" x14ac:dyDescent="0.25">
      <c r="A13" s="327"/>
      <c r="B13" s="328" t="s">
        <v>1559</v>
      </c>
      <c r="C13" s="329" t="s">
        <v>1702</v>
      </c>
      <c r="D13" s="330">
        <v>45215</v>
      </c>
      <c r="E13" s="330">
        <v>45215</v>
      </c>
      <c r="F13" s="328" t="s">
        <v>1703</v>
      </c>
      <c r="G13" s="331">
        <v>3805289</v>
      </c>
      <c r="H13" s="331">
        <v>4832717</v>
      </c>
      <c r="I13" s="331">
        <v>3805289</v>
      </c>
      <c r="J13" s="331">
        <v>4832717</v>
      </c>
      <c r="K13" s="328" t="s">
        <v>1704</v>
      </c>
      <c r="L13" s="333" t="s">
        <v>1676</v>
      </c>
      <c r="M13" s="328" t="s">
        <v>1705</v>
      </c>
    </row>
    <row r="14" spans="1:13" ht="15.75" customHeight="1" x14ac:dyDescent="0.25">
      <c r="A14" s="327"/>
      <c r="B14" s="328" t="s">
        <v>1504</v>
      </c>
      <c r="C14" s="329" t="s">
        <v>1706</v>
      </c>
      <c r="D14" s="330">
        <v>45254</v>
      </c>
      <c r="E14" s="330">
        <v>45254</v>
      </c>
      <c r="F14" s="328" t="s">
        <v>1703</v>
      </c>
      <c r="G14" s="331">
        <v>4451321</v>
      </c>
      <c r="H14" s="331">
        <v>5653178</v>
      </c>
      <c r="I14" s="331">
        <v>4451321</v>
      </c>
      <c r="J14" s="331">
        <v>5653178</v>
      </c>
      <c r="K14" s="328" t="s">
        <v>1707</v>
      </c>
      <c r="L14" s="333" t="s">
        <v>1676</v>
      </c>
      <c r="M14" s="328" t="s">
        <v>1708</v>
      </c>
    </row>
    <row r="15" spans="1:13" ht="15.75" customHeight="1" x14ac:dyDescent="0.25">
      <c r="A15" s="327"/>
      <c r="B15" s="328" t="s">
        <v>1551</v>
      </c>
      <c r="C15" s="329" t="s">
        <v>1709</v>
      </c>
      <c r="D15" s="330">
        <v>45288</v>
      </c>
      <c r="E15" s="330">
        <v>45288</v>
      </c>
      <c r="F15" s="328" t="s">
        <v>1703</v>
      </c>
      <c r="G15" s="331">
        <v>1276946</v>
      </c>
      <c r="H15" s="331">
        <v>1621721</v>
      </c>
      <c r="I15" s="331">
        <v>1276946</v>
      </c>
      <c r="J15" s="331">
        <v>1621721</v>
      </c>
      <c r="K15" s="328" t="s">
        <v>1710</v>
      </c>
      <c r="L15" s="333" t="s">
        <v>1667</v>
      </c>
      <c r="M15" s="328" t="s">
        <v>1711</v>
      </c>
    </row>
    <row r="16" spans="1:13" ht="15.75" customHeight="1" x14ac:dyDescent="0.25">
      <c r="A16" s="327"/>
      <c r="B16" s="328" t="s">
        <v>1475</v>
      </c>
      <c r="C16" s="329" t="s">
        <v>1709</v>
      </c>
      <c r="D16" s="330">
        <v>45288</v>
      </c>
      <c r="E16" s="330">
        <v>45288</v>
      </c>
      <c r="F16" s="328" t="s">
        <v>1703</v>
      </c>
      <c r="G16" s="331">
        <v>4674638</v>
      </c>
      <c r="H16" s="331">
        <v>5936790</v>
      </c>
      <c r="I16" s="331">
        <v>4674638</v>
      </c>
      <c r="J16" s="331">
        <v>5936790</v>
      </c>
      <c r="K16" s="328" t="s">
        <v>1712</v>
      </c>
      <c r="L16" s="333" t="s">
        <v>1676</v>
      </c>
      <c r="M16" s="328" t="s">
        <v>1713</v>
      </c>
    </row>
    <row r="17" spans="1:13" ht="12.75" customHeight="1" x14ac:dyDescent="0.25">
      <c r="A17" s="334"/>
      <c r="B17" s="335">
        <v>15</v>
      </c>
      <c r="C17" s="576"/>
      <c r="D17" s="576"/>
      <c r="E17" s="576"/>
      <c r="F17" s="576"/>
      <c r="G17" s="336">
        <v>30779546</v>
      </c>
      <c r="H17" s="336">
        <v>39090025</v>
      </c>
      <c r="I17" s="336">
        <v>30779546</v>
      </c>
      <c r="J17" s="577"/>
      <c r="K17" s="577"/>
      <c r="L17" s="577"/>
      <c r="M17" s="577"/>
    </row>
  </sheetData>
  <mergeCells count="2">
    <mergeCell ref="C17:F17"/>
    <mergeCell ref="J17:M17"/>
  </mergeCells>
  <pageMargins left="1" right="1" top="1" bottom="1" header="0.3" footer="0.3"/>
  <pageSetup orientation="portrait" errors="blank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O216"/>
  <sheetViews>
    <sheetView zoomScaleNormal="100" workbookViewId="0">
      <selection activeCell="B7" sqref="B7"/>
    </sheetView>
  </sheetViews>
  <sheetFormatPr defaultRowHeight="15" x14ac:dyDescent="0.25"/>
  <cols>
    <col min="2" max="2" width="24.7109375" customWidth="1"/>
    <col min="3" max="3" width="41.140625" customWidth="1"/>
    <col min="4" max="4" width="16.5703125" style="1" customWidth="1"/>
    <col min="5" max="5" width="62.42578125" customWidth="1"/>
    <col min="6" max="6" width="14" customWidth="1"/>
    <col min="10" max="10" width="21.140625" customWidth="1"/>
    <col min="14" max="14" width="25.5703125" style="193" customWidth="1"/>
    <col min="15" max="15" width="55.5703125" style="1" customWidth="1"/>
    <col min="258" max="258" width="24.7109375" customWidth="1"/>
    <col min="259" max="259" width="41.140625" customWidth="1"/>
    <col min="260" max="260" width="16.5703125" customWidth="1"/>
    <col min="261" max="261" width="62.42578125" customWidth="1"/>
    <col min="262" max="262" width="14" customWidth="1"/>
    <col min="270" max="270" width="25.5703125" customWidth="1"/>
    <col min="271" max="271" width="55.5703125" customWidth="1"/>
    <col min="514" max="514" width="24.7109375" customWidth="1"/>
    <col min="515" max="515" width="41.140625" customWidth="1"/>
    <col min="516" max="516" width="16.5703125" customWidth="1"/>
    <col min="517" max="517" width="62.42578125" customWidth="1"/>
    <col min="518" max="518" width="14" customWidth="1"/>
    <col min="526" max="526" width="25.5703125" customWidth="1"/>
    <col min="527" max="527" width="55.5703125" customWidth="1"/>
    <col min="770" max="770" width="24.7109375" customWidth="1"/>
    <col min="771" max="771" width="41.140625" customWidth="1"/>
    <col min="772" max="772" width="16.5703125" customWidth="1"/>
    <col min="773" max="773" width="62.42578125" customWidth="1"/>
    <col min="774" max="774" width="14" customWidth="1"/>
    <col min="782" max="782" width="25.5703125" customWidth="1"/>
    <col min="783" max="783" width="55.5703125" customWidth="1"/>
    <col min="1026" max="1026" width="24.7109375" customWidth="1"/>
    <col min="1027" max="1027" width="41.140625" customWidth="1"/>
    <col min="1028" max="1028" width="16.5703125" customWidth="1"/>
    <col min="1029" max="1029" width="62.42578125" customWidth="1"/>
    <col min="1030" max="1030" width="14" customWidth="1"/>
    <col min="1038" max="1038" width="25.5703125" customWidth="1"/>
    <col min="1039" max="1039" width="55.5703125" customWidth="1"/>
    <col min="1282" max="1282" width="24.7109375" customWidth="1"/>
    <col min="1283" max="1283" width="41.140625" customWidth="1"/>
    <col min="1284" max="1284" width="16.5703125" customWidth="1"/>
    <col min="1285" max="1285" width="62.42578125" customWidth="1"/>
    <col min="1286" max="1286" width="14" customWidth="1"/>
    <col min="1294" max="1294" width="25.5703125" customWidth="1"/>
    <col min="1295" max="1295" width="55.5703125" customWidth="1"/>
    <col min="1538" max="1538" width="24.7109375" customWidth="1"/>
    <col min="1539" max="1539" width="41.140625" customWidth="1"/>
    <col min="1540" max="1540" width="16.5703125" customWidth="1"/>
    <col min="1541" max="1541" width="62.42578125" customWidth="1"/>
    <col min="1542" max="1542" width="14" customWidth="1"/>
    <col min="1550" max="1550" width="25.5703125" customWidth="1"/>
    <col min="1551" max="1551" width="55.5703125" customWidth="1"/>
    <col min="1794" max="1794" width="24.7109375" customWidth="1"/>
    <col min="1795" max="1795" width="41.140625" customWidth="1"/>
    <col min="1796" max="1796" width="16.5703125" customWidth="1"/>
    <col min="1797" max="1797" width="62.42578125" customWidth="1"/>
    <col min="1798" max="1798" width="14" customWidth="1"/>
    <col min="1806" max="1806" width="25.5703125" customWidth="1"/>
    <col min="1807" max="1807" width="55.5703125" customWidth="1"/>
    <col min="2050" max="2050" width="24.7109375" customWidth="1"/>
    <col min="2051" max="2051" width="41.140625" customWidth="1"/>
    <col min="2052" max="2052" width="16.5703125" customWidth="1"/>
    <col min="2053" max="2053" width="62.42578125" customWidth="1"/>
    <col min="2054" max="2054" width="14" customWidth="1"/>
    <col min="2062" max="2062" width="25.5703125" customWidth="1"/>
    <col min="2063" max="2063" width="55.5703125" customWidth="1"/>
    <col min="2306" max="2306" width="24.7109375" customWidth="1"/>
    <col min="2307" max="2307" width="41.140625" customWidth="1"/>
    <col min="2308" max="2308" width="16.5703125" customWidth="1"/>
    <col min="2309" max="2309" width="62.42578125" customWidth="1"/>
    <col min="2310" max="2310" width="14" customWidth="1"/>
    <col min="2318" max="2318" width="25.5703125" customWidth="1"/>
    <col min="2319" max="2319" width="55.5703125" customWidth="1"/>
    <col min="2562" max="2562" width="24.7109375" customWidth="1"/>
    <col min="2563" max="2563" width="41.140625" customWidth="1"/>
    <col min="2564" max="2564" width="16.5703125" customWidth="1"/>
    <col min="2565" max="2565" width="62.42578125" customWidth="1"/>
    <col min="2566" max="2566" width="14" customWidth="1"/>
    <col min="2574" max="2574" width="25.5703125" customWidth="1"/>
    <col min="2575" max="2575" width="55.5703125" customWidth="1"/>
    <col min="2818" max="2818" width="24.7109375" customWidth="1"/>
    <col min="2819" max="2819" width="41.140625" customWidth="1"/>
    <col min="2820" max="2820" width="16.5703125" customWidth="1"/>
    <col min="2821" max="2821" width="62.42578125" customWidth="1"/>
    <col min="2822" max="2822" width="14" customWidth="1"/>
    <col min="2830" max="2830" width="25.5703125" customWidth="1"/>
    <col min="2831" max="2831" width="55.5703125" customWidth="1"/>
    <col min="3074" max="3074" width="24.7109375" customWidth="1"/>
    <col min="3075" max="3075" width="41.140625" customWidth="1"/>
    <col min="3076" max="3076" width="16.5703125" customWidth="1"/>
    <col min="3077" max="3077" width="62.42578125" customWidth="1"/>
    <col min="3078" max="3078" width="14" customWidth="1"/>
    <col min="3086" max="3086" width="25.5703125" customWidth="1"/>
    <col min="3087" max="3087" width="55.5703125" customWidth="1"/>
    <col min="3330" max="3330" width="24.7109375" customWidth="1"/>
    <col min="3331" max="3331" width="41.140625" customWidth="1"/>
    <col min="3332" max="3332" width="16.5703125" customWidth="1"/>
    <col min="3333" max="3333" width="62.42578125" customWidth="1"/>
    <col min="3334" max="3334" width="14" customWidth="1"/>
    <col min="3342" max="3342" width="25.5703125" customWidth="1"/>
    <col min="3343" max="3343" width="55.5703125" customWidth="1"/>
    <col min="3586" max="3586" width="24.7109375" customWidth="1"/>
    <col min="3587" max="3587" width="41.140625" customWidth="1"/>
    <col min="3588" max="3588" width="16.5703125" customWidth="1"/>
    <col min="3589" max="3589" width="62.42578125" customWidth="1"/>
    <col min="3590" max="3590" width="14" customWidth="1"/>
    <col min="3598" max="3598" width="25.5703125" customWidth="1"/>
    <col min="3599" max="3599" width="55.5703125" customWidth="1"/>
    <col min="3842" max="3842" width="24.7109375" customWidth="1"/>
    <col min="3843" max="3843" width="41.140625" customWidth="1"/>
    <col min="3844" max="3844" width="16.5703125" customWidth="1"/>
    <col min="3845" max="3845" width="62.42578125" customWidth="1"/>
    <col min="3846" max="3846" width="14" customWidth="1"/>
    <col min="3854" max="3854" width="25.5703125" customWidth="1"/>
    <col min="3855" max="3855" width="55.5703125" customWidth="1"/>
    <col min="4098" max="4098" width="24.7109375" customWidth="1"/>
    <col min="4099" max="4099" width="41.140625" customWidth="1"/>
    <col min="4100" max="4100" width="16.5703125" customWidth="1"/>
    <col min="4101" max="4101" width="62.42578125" customWidth="1"/>
    <col min="4102" max="4102" width="14" customWidth="1"/>
    <col min="4110" max="4110" width="25.5703125" customWidth="1"/>
    <col min="4111" max="4111" width="55.5703125" customWidth="1"/>
    <col min="4354" max="4354" width="24.7109375" customWidth="1"/>
    <col min="4355" max="4355" width="41.140625" customWidth="1"/>
    <col min="4356" max="4356" width="16.5703125" customWidth="1"/>
    <col min="4357" max="4357" width="62.42578125" customWidth="1"/>
    <col min="4358" max="4358" width="14" customWidth="1"/>
    <col min="4366" max="4366" width="25.5703125" customWidth="1"/>
    <col min="4367" max="4367" width="55.5703125" customWidth="1"/>
    <col min="4610" max="4610" width="24.7109375" customWidth="1"/>
    <col min="4611" max="4611" width="41.140625" customWidth="1"/>
    <col min="4612" max="4612" width="16.5703125" customWidth="1"/>
    <col min="4613" max="4613" width="62.42578125" customWidth="1"/>
    <col min="4614" max="4614" width="14" customWidth="1"/>
    <col min="4622" max="4622" width="25.5703125" customWidth="1"/>
    <col min="4623" max="4623" width="55.5703125" customWidth="1"/>
    <col min="4866" max="4866" width="24.7109375" customWidth="1"/>
    <col min="4867" max="4867" width="41.140625" customWidth="1"/>
    <col min="4868" max="4868" width="16.5703125" customWidth="1"/>
    <col min="4869" max="4869" width="62.42578125" customWidth="1"/>
    <col min="4870" max="4870" width="14" customWidth="1"/>
    <col min="4878" max="4878" width="25.5703125" customWidth="1"/>
    <col min="4879" max="4879" width="55.5703125" customWidth="1"/>
    <col min="5122" max="5122" width="24.7109375" customWidth="1"/>
    <col min="5123" max="5123" width="41.140625" customWidth="1"/>
    <col min="5124" max="5124" width="16.5703125" customWidth="1"/>
    <col min="5125" max="5125" width="62.42578125" customWidth="1"/>
    <col min="5126" max="5126" width="14" customWidth="1"/>
    <col min="5134" max="5134" width="25.5703125" customWidth="1"/>
    <col min="5135" max="5135" width="55.5703125" customWidth="1"/>
    <col min="5378" max="5378" width="24.7109375" customWidth="1"/>
    <col min="5379" max="5379" width="41.140625" customWidth="1"/>
    <col min="5380" max="5380" width="16.5703125" customWidth="1"/>
    <col min="5381" max="5381" width="62.42578125" customWidth="1"/>
    <col min="5382" max="5382" width="14" customWidth="1"/>
    <col min="5390" max="5390" width="25.5703125" customWidth="1"/>
    <col min="5391" max="5391" width="55.5703125" customWidth="1"/>
    <col min="5634" max="5634" width="24.7109375" customWidth="1"/>
    <col min="5635" max="5635" width="41.140625" customWidth="1"/>
    <col min="5636" max="5636" width="16.5703125" customWidth="1"/>
    <col min="5637" max="5637" width="62.42578125" customWidth="1"/>
    <col min="5638" max="5638" width="14" customWidth="1"/>
    <col min="5646" max="5646" width="25.5703125" customWidth="1"/>
    <col min="5647" max="5647" width="55.5703125" customWidth="1"/>
    <col min="5890" max="5890" width="24.7109375" customWidth="1"/>
    <col min="5891" max="5891" width="41.140625" customWidth="1"/>
    <col min="5892" max="5892" width="16.5703125" customWidth="1"/>
    <col min="5893" max="5893" width="62.42578125" customWidth="1"/>
    <col min="5894" max="5894" width="14" customWidth="1"/>
    <col min="5902" max="5902" width="25.5703125" customWidth="1"/>
    <col min="5903" max="5903" width="55.5703125" customWidth="1"/>
    <col min="6146" max="6146" width="24.7109375" customWidth="1"/>
    <col min="6147" max="6147" width="41.140625" customWidth="1"/>
    <col min="6148" max="6148" width="16.5703125" customWidth="1"/>
    <col min="6149" max="6149" width="62.42578125" customWidth="1"/>
    <col min="6150" max="6150" width="14" customWidth="1"/>
    <col min="6158" max="6158" width="25.5703125" customWidth="1"/>
    <col min="6159" max="6159" width="55.5703125" customWidth="1"/>
    <col min="6402" max="6402" width="24.7109375" customWidth="1"/>
    <col min="6403" max="6403" width="41.140625" customWidth="1"/>
    <col min="6404" max="6404" width="16.5703125" customWidth="1"/>
    <col min="6405" max="6405" width="62.42578125" customWidth="1"/>
    <col min="6406" max="6406" width="14" customWidth="1"/>
    <col min="6414" max="6414" width="25.5703125" customWidth="1"/>
    <col min="6415" max="6415" width="55.5703125" customWidth="1"/>
    <col min="6658" max="6658" width="24.7109375" customWidth="1"/>
    <col min="6659" max="6659" width="41.140625" customWidth="1"/>
    <col min="6660" max="6660" width="16.5703125" customWidth="1"/>
    <col min="6661" max="6661" width="62.42578125" customWidth="1"/>
    <col min="6662" max="6662" width="14" customWidth="1"/>
    <col min="6670" max="6670" width="25.5703125" customWidth="1"/>
    <col min="6671" max="6671" width="55.5703125" customWidth="1"/>
    <col min="6914" max="6914" width="24.7109375" customWidth="1"/>
    <col min="6915" max="6915" width="41.140625" customWidth="1"/>
    <col min="6916" max="6916" width="16.5703125" customWidth="1"/>
    <col min="6917" max="6917" width="62.42578125" customWidth="1"/>
    <col min="6918" max="6918" width="14" customWidth="1"/>
    <col min="6926" max="6926" width="25.5703125" customWidth="1"/>
    <col min="6927" max="6927" width="55.5703125" customWidth="1"/>
    <col min="7170" max="7170" width="24.7109375" customWidth="1"/>
    <col min="7171" max="7171" width="41.140625" customWidth="1"/>
    <col min="7172" max="7172" width="16.5703125" customWidth="1"/>
    <col min="7173" max="7173" width="62.42578125" customWidth="1"/>
    <col min="7174" max="7174" width="14" customWidth="1"/>
    <col min="7182" max="7182" width="25.5703125" customWidth="1"/>
    <col min="7183" max="7183" width="55.5703125" customWidth="1"/>
    <col min="7426" max="7426" width="24.7109375" customWidth="1"/>
    <col min="7427" max="7427" width="41.140625" customWidth="1"/>
    <col min="7428" max="7428" width="16.5703125" customWidth="1"/>
    <col min="7429" max="7429" width="62.42578125" customWidth="1"/>
    <col min="7430" max="7430" width="14" customWidth="1"/>
    <col min="7438" max="7438" width="25.5703125" customWidth="1"/>
    <col min="7439" max="7439" width="55.5703125" customWidth="1"/>
    <col min="7682" max="7682" width="24.7109375" customWidth="1"/>
    <col min="7683" max="7683" width="41.140625" customWidth="1"/>
    <col min="7684" max="7684" width="16.5703125" customWidth="1"/>
    <col min="7685" max="7685" width="62.42578125" customWidth="1"/>
    <col min="7686" max="7686" width="14" customWidth="1"/>
    <col min="7694" max="7694" width="25.5703125" customWidth="1"/>
    <col min="7695" max="7695" width="55.5703125" customWidth="1"/>
    <col min="7938" max="7938" width="24.7109375" customWidth="1"/>
    <col min="7939" max="7939" width="41.140625" customWidth="1"/>
    <col min="7940" max="7940" width="16.5703125" customWidth="1"/>
    <col min="7941" max="7941" width="62.42578125" customWidth="1"/>
    <col min="7942" max="7942" width="14" customWidth="1"/>
    <col min="7950" max="7950" width="25.5703125" customWidth="1"/>
    <col min="7951" max="7951" width="55.5703125" customWidth="1"/>
    <col min="8194" max="8194" width="24.7109375" customWidth="1"/>
    <col min="8195" max="8195" width="41.140625" customWidth="1"/>
    <col min="8196" max="8196" width="16.5703125" customWidth="1"/>
    <col min="8197" max="8197" width="62.42578125" customWidth="1"/>
    <col min="8198" max="8198" width="14" customWidth="1"/>
    <col min="8206" max="8206" width="25.5703125" customWidth="1"/>
    <col min="8207" max="8207" width="55.5703125" customWidth="1"/>
    <col min="8450" max="8450" width="24.7109375" customWidth="1"/>
    <col min="8451" max="8451" width="41.140625" customWidth="1"/>
    <col min="8452" max="8452" width="16.5703125" customWidth="1"/>
    <col min="8453" max="8453" width="62.42578125" customWidth="1"/>
    <col min="8454" max="8454" width="14" customWidth="1"/>
    <col min="8462" max="8462" width="25.5703125" customWidth="1"/>
    <col min="8463" max="8463" width="55.5703125" customWidth="1"/>
    <col min="8706" max="8706" width="24.7109375" customWidth="1"/>
    <col min="8707" max="8707" width="41.140625" customWidth="1"/>
    <col min="8708" max="8708" width="16.5703125" customWidth="1"/>
    <col min="8709" max="8709" width="62.42578125" customWidth="1"/>
    <col min="8710" max="8710" width="14" customWidth="1"/>
    <col min="8718" max="8718" width="25.5703125" customWidth="1"/>
    <col min="8719" max="8719" width="55.5703125" customWidth="1"/>
    <col min="8962" max="8962" width="24.7109375" customWidth="1"/>
    <col min="8963" max="8963" width="41.140625" customWidth="1"/>
    <col min="8964" max="8964" width="16.5703125" customWidth="1"/>
    <col min="8965" max="8965" width="62.42578125" customWidth="1"/>
    <col min="8966" max="8966" width="14" customWidth="1"/>
    <col min="8974" max="8974" width="25.5703125" customWidth="1"/>
    <col min="8975" max="8975" width="55.5703125" customWidth="1"/>
    <col min="9218" max="9218" width="24.7109375" customWidth="1"/>
    <col min="9219" max="9219" width="41.140625" customWidth="1"/>
    <col min="9220" max="9220" width="16.5703125" customWidth="1"/>
    <col min="9221" max="9221" width="62.42578125" customWidth="1"/>
    <col min="9222" max="9222" width="14" customWidth="1"/>
    <col min="9230" max="9230" width="25.5703125" customWidth="1"/>
    <col min="9231" max="9231" width="55.5703125" customWidth="1"/>
    <col min="9474" max="9474" width="24.7109375" customWidth="1"/>
    <col min="9475" max="9475" width="41.140625" customWidth="1"/>
    <col min="9476" max="9476" width="16.5703125" customWidth="1"/>
    <col min="9477" max="9477" width="62.42578125" customWidth="1"/>
    <col min="9478" max="9478" width="14" customWidth="1"/>
    <col min="9486" max="9486" width="25.5703125" customWidth="1"/>
    <col min="9487" max="9487" width="55.5703125" customWidth="1"/>
    <col min="9730" max="9730" width="24.7109375" customWidth="1"/>
    <col min="9731" max="9731" width="41.140625" customWidth="1"/>
    <col min="9732" max="9732" width="16.5703125" customWidth="1"/>
    <col min="9733" max="9733" width="62.42578125" customWidth="1"/>
    <col min="9734" max="9734" width="14" customWidth="1"/>
    <col min="9742" max="9742" width="25.5703125" customWidth="1"/>
    <col min="9743" max="9743" width="55.5703125" customWidth="1"/>
    <col min="9986" max="9986" width="24.7109375" customWidth="1"/>
    <col min="9987" max="9987" width="41.140625" customWidth="1"/>
    <col min="9988" max="9988" width="16.5703125" customWidth="1"/>
    <col min="9989" max="9989" width="62.42578125" customWidth="1"/>
    <col min="9990" max="9990" width="14" customWidth="1"/>
    <col min="9998" max="9998" width="25.5703125" customWidth="1"/>
    <col min="9999" max="9999" width="55.5703125" customWidth="1"/>
    <col min="10242" max="10242" width="24.7109375" customWidth="1"/>
    <col min="10243" max="10243" width="41.140625" customWidth="1"/>
    <col min="10244" max="10244" width="16.5703125" customWidth="1"/>
    <col min="10245" max="10245" width="62.42578125" customWidth="1"/>
    <col min="10246" max="10246" width="14" customWidth="1"/>
    <col min="10254" max="10254" width="25.5703125" customWidth="1"/>
    <col min="10255" max="10255" width="55.5703125" customWidth="1"/>
    <col min="10498" max="10498" width="24.7109375" customWidth="1"/>
    <col min="10499" max="10499" width="41.140625" customWidth="1"/>
    <col min="10500" max="10500" width="16.5703125" customWidth="1"/>
    <col min="10501" max="10501" width="62.42578125" customWidth="1"/>
    <col min="10502" max="10502" width="14" customWidth="1"/>
    <col min="10510" max="10510" width="25.5703125" customWidth="1"/>
    <col min="10511" max="10511" width="55.5703125" customWidth="1"/>
    <col min="10754" max="10754" width="24.7109375" customWidth="1"/>
    <col min="10755" max="10755" width="41.140625" customWidth="1"/>
    <col min="10756" max="10756" width="16.5703125" customWidth="1"/>
    <col min="10757" max="10757" width="62.42578125" customWidth="1"/>
    <col min="10758" max="10758" width="14" customWidth="1"/>
    <col min="10766" max="10766" width="25.5703125" customWidth="1"/>
    <col min="10767" max="10767" width="55.5703125" customWidth="1"/>
    <col min="11010" max="11010" width="24.7109375" customWidth="1"/>
    <col min="11011" max="11011" width="41.140625" customWidth="1"/>
    <col min="11012" max="11012" width="16.5703125" customWidth="1"/>
    <col min="11013" max="11013" width="62.42578125" customWidth="1"/>
    <col min="11014" max="11014" width="14" customWidth="1"/>
    <col min="11022" max="11022" width="25.5703125" customWidth="1"/>
    <col min="11023" max="11023" width="55.5703125" customWidth="1"/>
    <col min="11266" max="11266" width="24.7109375" customWidth="1"/>
    <col min="11267" max="11267" width="41.140625" customWidth="1"/>
    <col min="11268" max="11268" width="16.5703125" customWidth="1"/>
    <col min="11269" max="11269" width="62.42578125" customWidth="1"/>
    <col min="11270" max="11270" width="14" customWidth="1"/>
    <col min="11278" max="11278" width="25.5703125" customWidth="1"/>
    <col min="11279" max="11279" width="55.5703125" customWidth="1"/>
    <col min="11522" max="11522" width="24.7109375" customWidth="1"/>
    <col min="11523" max="11523" width="41.140625" customWidth="1"/>
    <col min="11524" max="11524" width="16.5703125" customWidth="1"/>
    <col min="11525" max="11525" width="62.42578125" customWidth="1"/>
    <col min="11526" max="11526" width="14" customWidth="1"/>
    <col min="11534" max="11534" width="25.5703125" customWidth="1"/>
    <col min="11535" max="11535" width="55.5703125" customWidth="1"/>
    <col min="11778" max="11778" width="24.7109375" customWidth="1"/>
    <col min="11779" max="11779" width="41.140625" customWidth="1"/>
    <col min="11780" max="11780" width="16.5703125" customWidth="1"/>
    <col min="11781" max="11781" width="62.42578125" customWidth="1"/>
    <col min="11782" max="11782" width="14" customWidth="1"/>
    <col min="11790" max="11790" width="25.5703125" customWidth="1"/>
    <col min="11791" max="11791" width="55.5703125" customWidth="1"/>
    <col min="12034" max="12034" width="24.7109375" customWidth="1"/>
    <col min="12035" max="12035" width="41.140625" customWidth="1"/>
    <col min="12036" max="12036" width="16.5703125" customWidth="1"/>
    <col min="12037" max="12037" width="62.42578125" customWidth="1"/>
    <col min="12038" max="12038" width="14" customWidth="1"/>
    <col min="12046" max="12046" width="25.5703125" customWidth="1"/>
    <col min="12047" max="12047" width="55.5703125" customWidth="1"/>
    <col min="12290" max="12290" width="24.7109375" customWidth="1"/>
    <col min="12291" max="12291" width="41.140625" customWidth="1"/>
    <col min="12292" max="12292" width="16.5703125" customWidth="1"/>
    <col min="12293" max="12293" width="62.42578125" customWidth="1"/>
    <col min="12294" max="12294" width="14" customWidth="1"/>
    <col min="12302" max="12302" width="25.5703125" customWidth="1"/>
    <col min="12303" max="12303" width="55.5703125" customWidth="1"/>
    <col min="12546" max="12546" width="24.7109375" customWidth="1"/>
    <col min="12547" max="12547" width="41.140625" customWidth="1"/>
    <col min="12548" max="12548" width="16.5703125" customWidth="1"/>
    <col min="12549" max="12549" width="62.42578125" customWidth="1"/>
    <col min="12550" max="12550" width="14" customWidth="1"/>
    <col min="12558" max="12558" width="25.5703125" customWidth="1"/>
    <col min="12559" max="12559" width="55.5703125" customWidth="1"/>
    <col min="12802" max="12802" width="24.7109375" customWidth="1"/>
    <col min="12803" max="12803" width="41.140625" customWidth="1"/>
    <col min="12804" max="12804" width="16.5703125" customWidth="1"/>
    <col min="12805" max="12805" width="62.42578125" customWidth="1"/>
    <col min="12806" max="12806" width="14" customWidth="1"/>
    <col min="12814" max="12814" width="25.5703125" customWidth="1"/>
    <col min="12815" max="12815" width="55.5703125" customWidth="1"/>
    <col min="13058" max="13058" width="24.7109375" customWidth="1"/>
    <col min="13059" max="13059" width="41.140625" customWidth="1"/>
    <col min="13060" max="13060" width="16.5703125" customWidth="1"/>
    <col min="13061" max="13061" width="62.42578125" customWidth="1"/>
    <col min="13062" max="13062" width="14" customWidth="1"/>
    <col min="13070" max="13070" width="25.5703125" customWidth="1"/>
    <col min="13071" max="13071" width="55.5703125" customWidth="1"/>
    <col min="13314" max="13314" width="24.7109375" customWidth="1"/>
    <col min="13315" max="13315" width="41.140625" customWidth="1"/>
    <col min="13316" max="13316" width="16.5703125" customWidth="1"/>
    <col min="13317" max="13317" width="62.42578125" customWidth="1"/>
    <col min="13318" max="13318" width="14" customWidth="1"/>
    <col min="13326" max="13326" width="25.5703125" customWidth="1"/>
    <col min="13327" max="13327" width="55.5703125" customWidth="1"/>
    <col min="13570" max="13570" width="24.7109375" customWidth="1"/>
    <col min="13571" max="13571" width="41.140625" customWidth="1"/>
    <col min="13572" max="13572" width="16.5703125" customWidth="1"/>
    <col min="13573" max="13573" width="62.42578125" customWidth="1"/>
    <col min="13574" max="13574" width="14" customWidth="1"/>
    <col min="13582" max="13582" width="25.5703125" customWidth="1"/>
    <col min="13583" max="13583" width="55.5703125" customWidth="1"/>
    <col min="13826" max="13826" width="24.7109375" customWidth="1"/>
    <col min="13827" max="13827" width="41.140625" customWidth="1"/>
    <col min="13828" max="13828" width="16.5703125" customWidth="1"/>
    <col min="13829" max="13829" width="62.42578125" customWidth="1"/>
    <col min="13830" max="13830" width="14" customWidth="1"/>
    <col min="13838" max="13838" width="25.5703125" customWidth="1"/>
    <col min="13839" max="13839" width="55.5703125" customWidth="1"/>
    <col min="14082" max="14082" width="24.7109375" customWidth="1"/>
    <col min="14083" max="14083" width="41.140625" customWidth="1"/>
    <col min="14084" max="14084" width="16.5703125" customWidth="1"/>
    <col min="14085" max="14085" width="62.42578125" customWidth="1"/>
    <col min="14086" max="14086" width="14" customWidth="1"/>
    <col min="14094" max="14094" width="25.5703125" customWidth="1"/>
    <col min="14095" max="14095" width="55.5703125" customWidth="1"/>
    <col min="14338" max="14338" width="24.7109375" customWidth="1"/>
    <col min="14339" max="14339" width="41.140625" customWidth="1"/>
    <col min="14340" max="14340" width="16.5703125" customWidth="1"/>
    <col min="14341" max="14341" width="62.42578125" customWidth="1"/>
    <col min="14342" max="14342" width="14" customWidth="1"/>
    <col min="14350" max="14350" width="25.5703125" customWidth="1"/>
    <col min="14351" max="14351" width="55.5703125" customWidth="1"/>
    <col min="14594" max="14594" width="24.7109375" customWidth="1"/>
    <col min="14595" max="14595" width="41.140625" customWidth="1"/>
    <col min="14596" max="14596" width="16.5703125" customWidth="1"/>
    <col min="14597" max="14597" width="62.42578125" customWidth="1"/>
    <col min="14598" max="14598" width="14" customWidth="1"/>
    <col min="14606" max="14606" width="25.5703125" customWidth="1"/>
    <col min="14607" max="14607" width="55.5703125" customWidth="1"/>
    <col min="14850" max="14850" width="24.7109375" customWidth="1"/>
    <col min="14851" max="14851" width="41.140625" customWidth="1"/>
    <col min="14852" max="14852" width="16.5703125" customWidth="1"/>
    <col min="14853" max="14853" width="62.42578125" customWidth="1"/>
    <col min="14854" max="14854" width="14" customWidth="1"/>
    <col min="14862" max="14862" width="25.5703125" customWidth="1"/>
    <col min="14863" max="14863" width="55.5703125" customWidth="1"/>
    <col min="15106" max="15106" width="24.7109375" customWidth="1"/>
    <col min="15107" max="15107" width="41.140625" customWidth="1"/>
    <col min="15108" max="15108" width="16.5703125" customWidth="1"/>
    <col min="15109" max="15109" width="62.42578125" customWidth="1"/>
    <col min="15110" max="15110" width="14" customWidth="1"/>
    <col min="15118" max="15118" width="25.5703125" customWidth="1"/>
    <col min="15119" max="15119" width="55.5703125" customWidth="1"/>
    <col min="15362" max="15362" width="24.7109375" customWidth="1"/>
    <col min="15363" max="15363" width="41.140625" customWidth="1"/>
    <col min="15364" max="15364" width="16.5703125" customWidth="1"/>
    <col min="15365" max="15365" width="62.42578125" customWidth="1"/>
    <col min="15366" max="15366" width="14" customWidth="1"/>
    <col min="15374" max="15374" width="25.5703125" customWidth="1"/>
    <col min="15375" max="15375" width="55.5703125" customWidth="1"/>
    <col min="15618" max="15618" width="24.7109375" customWidth="1"/>
    <col min="15619" max="15619" width="41.140625" customWidth="1"/>
    <col min="15620" max="15620" width="16.5703125" customWidth="1"/>
    <col min="15621" max="15621" width="62.42578125" customWidth="1"/>
    <col min="15622" max="15622" width="14" customWidth="1"/>
    <col min="15630" max="15630" width="25.5703125" customWidth="1"/>
    <col min="15631" max="15631" width="55.5703125" customWidth="1"/>
    <col min="15874" max="15874" width="24.7109375" customWidth="1"/>
    <col min="15875" max="15875" width="41.140625" customWidth="1"/>
    <col min="15876" max="15876" width="16.5703125" customWidth="1"/>
    <col min="15877" max="15877" width="62.42578125" customWidth="1"/>
    <col min="15878" max="15878" width="14" customWidth="1"/>
    <col min="15886" max="15886" width="25.5703125" customWidth="1"/>
    <col min="15887" max="15887" width="55.5703125" customWidth="1"/>
    <col min="16130" max="16130" width="24.7109375" customWidth="1"/>
    <col min="16131" max="16131" width="41.140625" customWidth="1"/>
    <col min="16132" max="16132" width="16.5703125" customWidth="1"/>
    <col min="16133" max="16133" width="62.42578125" customWidth="1"/>
    <col min="16134" max="16134" width="14" customWidth="1"/>
    <col min="16142" max="16142" width="25.5703125" customWidth="1"/>
    <col min="16143" max="16143" width="55.5703125" customWidth="1"/>
  </cols>
  <sheetData>
    <row r="1" spans="1:15" ht="27" customHeight="1" thickBot="1" x14ac:dyDescent="0.3">
      <c r="N1" s="249" t="s">
        <v>1471</v>
      </c>
      <c r="O1" s="249" t="s">
        <v>378</v>
      </c>
    </row>
    <row r="2" spans="1:15" ht="15.75" thickBot="1" x14ac:dyDescent="0.3">
      <c r="B2" s="250" t="s">
        <v>1472</v>
      </c>
      <c r="D2" s="251" t="s">
        <v>1473</v>
      </c>
      <c r="F2" s="252" t="s">
        <v>1474</v>
      </c>
      <c r="N2" s="232" t="s">
        <v>1358</v>
      </c>
      <c r="O2" s="1">
        <v>2024</v>
      </c>
    </row>
    <row r="3" spans="1:15" ht="19.899999999999999" customHeight="1" x14ac:dyDescent="0.25">
      <c r="A3" s="590" t="s">
        <v>1475</v>
      </c>
      <c r="B3" s="253" t="s">
        <v>1121</v>
      </c>
      <c r="C3" s="254" t="s">
        <v>1476</v>
      </c>
      <c r="D3" s="255" t="s">
        <v>1124</v>
      </c>
      <c r="E3" s="256" t="s">
        <v>1477</v>
      </c>
      <c r="F3" s="257"/>
      <c r="G3" s="257"/>
      <c r="H3" s="258"/>
      <c r="N3" s="28" t="s">
        <v>1341</v>
      </c>
      <c r="O3" s="1">
        <v>2024</v>
      </c>
    </row>
    <row r="4" spans="1:15" ht="19.899999999999999" customHeight="1" x14ac:dyDescent="0.25">
      <c r="A4" s="591"/>
      <c r="B4" s="259" t="s">
        <v>1141</v>
      </c>
      <c r="C4" s="260" t="s">
        <v>1478</v>
      </c>
      <c r="D4" s="261" t="s">
        <v>1123</v>
      </c>
      <c r="E4" s="262" t="s">
        <v>1477</v>
      </c>
      <c r="H4" s="263"/>
      <c r="N4" s="28" t="s">
        <v>1335</v>
      </c>
      <c r="O4" s="1">
        <v>2024</v>
      </c>
    </row>
    <row r="5" spans="1:15" ht="19.899999999999999" customHeight="1" x14ac:dyDescent="0.25">
      <c r="A5" s="591"/>
      <c r="B5" s="259" t="s">
        <v>1155</v>
      </c>
      <c r="C5" s="260" t="s">
        <v>1479</v>
      </c>
      <c r="D5" s="261" t="s">
        <v>1188</v>
      </c>
      <c r="E5" s="262" t="s">
        <v>1470</v>
      </c>
      <c r="H5" s="263"/>
      <c r="N5" s="28" t="s">
        <v>1342</v>
      </c>
      <c r="O5" s="1">
        <v>2024</v>
      </c>
    </row>
    <row r="6" spans="1:15" ht="19.899999999999999" customHeight="1" thickBot="1" x14ac:dyDescent="0.3">
      <c r="A6" s="591"/>
      <c r="B6" s="259" t="s">
        <v>1480</v>
      </c>
      <c r="C6" s="260" t="s">
        <v>1481</v>
      </c>
      <c r="D6" s="264" t="s">
        <v>1078</v>
      </c>
      <c r="E6" s="262" t="s">
        <v>1482</v>
      </c>
      <c r="H6" s="263"/>
      <c r="N6" s="28" t="s">
        <v>1078</v>
      </c>
    </row>
    <row r="7" spans="1:15" ht="19.899999999999999" customHeight="1" x14ac:dyDescent="0.25">
      <c r="A7" s="591"/>
      <c r="B7" s="339" t="s">
        <v>1176</v>
      </c>
      <c r="C7" s="581" t="s">
        <v>1731</v>
      </c>
      <c r="D7" s="266"/>
      <c r="E7" s="267"/>
      <c r="H7" s="263"/>
      <c r="N7" s="28" t="s">
        <v>1124</v>
      </c>
    </row>
    <row r="8" spans="1:15" ht="31.9" customHeight="1" x14ac:dyDescent="0.25">
      <c r="A8" s="591"/>
      <c r="B8" s="265"/>
      <c r="C8" s="582"/>
      <c r="D8" s="266"/>
      <c r="E8" s="267"/>
      <c r="H8" s="263"/>
      <c r="N8" s="28" t="s">
        <v>1123</v>
      </c>
    </row>
    <row r="9" spans="1:15" ht="19.899999999999999" customHeight="1" x14ac:dyDescent="0.25">
      <c r="A9" s="591"/>
      <c r="B9" s="265"/>
      <c r="C9" s="265"/>
      <c r="D9" s="266"/>
      <c r="E9" s="267"/>
      <c r="H9" s="263"/>
      <c r="N9" s="28" t="s">
        <v>1188</v>
      </c>
    </row>
    <row r="10" spans="1:15" ht="19.899999999999999" customHeight="1" thickBot="1" x14ac:dyDescent="0.3">
      <c r="A10" s="592"/>
      <c r="B10" s="268"/>
      <c r="C10" s="268"/>
      <c r="D10" s="269"/>
      <c r="E10" s="270"/>
      <c r="F10" s="271"/>
      <c r="G10" s="271"/>
      <c r="H10" s="272"/>
      <c r="N10" s="28" t="s">
        <v>1200</v>
      </c>
    </row>
    <row r="11" spans="1:15" ht="19.899999999999999" customHeight="1" thickBot="1" x14ac:dyDescent="0.3">
      <c r="B11" s="250" t="s">
        <v>1472</v>
      </c>
      <c r="D11" s="273" t="s">
        <v>1473</v>
      </c>
      <c r="F11" s="274" t="s">
        <v>1474</v>
      </c>
      <c r="N11" s="28" t="s">
        <v>1293</v>
      </c>
    </row>
    <row r="12" spans="1:15" ht="19.899999999999999" customHeight="1" x14ac:dyDescent="0.25">
      <c r="A12" s="587" t="s">
        <v>1483</v>
      </c>
      <c r="B12" s="275" t="s">
        <v>204</v>
      </c>
      <c r="C12" s="276" t="s">
        <v>1484</v>
      </c>
      <c r="D12" s="277" t="s">
        <v>182</v>
      </c>
      <c r="E12" s="278" t="s">
        <v>1485</v>
      </c>
      <c r="F12" s="279" t="s">
        <v>199</v>
      </c>
      <c r="G12" s="280" t="s">
        <v>1486</v>
      </c>
      <c r="H12" s="281"/>
      <c r="N12" s="28" t="s">
        <v>886</v>
      </c>
    </row>
    <row r="13" spans="1:15" ht="19.899999999999999" customHeight="1" x14ac:dyDescent="0.25">
      <c r="A13" s="588"/>
      <c r="B13" s="275"/>
      <c r="C13" s="276"/>
      <c r="D13" s="282" t="s">
        <v>196</v>
      </c>
      <c r="E13" s="267" t="s">
        <v>1487</v>
      </c>
      <c r="F13" s="283" t="s">
        <v>1488</v>
      </c>
      <c r="G13" s="284" t="s">
        <v>1486</v>
      </c>
      <c r="H13" s="285"/>
      <c r="N13" s="28" t="s">
        <v>884</v>
      </c>
    </row>
    <row r="14" spans="1:15" ht="19.899999999999999" customHeight="1" thickBot="1" x14ac:dyDescent="0.3">
      <c r="A14" s="588"/>
      <c r="B14" s="275"/>
      <c r="C14" s="276"/>
      <c r="D14" s="282" t="s">
        <v>187</v>
      </c>
      <c r="E14" s="267" t="s">
        <v>1489</v>
      </c>
      <c r="F14" s="143" t="s">
        <v>1490</v>
      </c>
      <c r="G14" s="286" t="s">
        <v>1486</v>
      </c>
      <c r="H14" s="287"/>
      <c r="N14" s="28" t="s">
        <v>851</v>
      </c>
    </row>
    <row r="15" spans="1:15" ht="19.899999999999999" customHeight="1" x14ac:dyDescent="0.25">
      <c r="A15" s="588"/>
      <c r="B15" s="275"/>
      <c r="C15" s="276"/>
      <c r="D15" s="282" t="s">
        <v>210</v>
      </c>
      <c r="E15" s="267" t="s">
        <v>1491</v>
      </c>
      <c r="F15" s="288"/>
      <c r="H15" s="263"/>
      <c r="N15" s="28" t="s">
        <v>849</v>
      </c>
    </row>
    <row r="16" spans="1:15" ht="19.899999999999999" customHeight="1" x14ac:dyDescent="0.25">
      <c r="A16" s="588"/>
      <c r="B16" s="275"/>
      <c r="C16" s="276"/>
      <c r="D16" s="289" t="s">
        <v>215</v>
      </c>
      <c r="E16" s="267" t="s">
        <v>300</v>
      </c>
      <c r="F16" s="288"/>
      <c r="H16" s="263"/>
      <c r="N16" s="28" t="s">
        <v>847</v>
      </c>
    </row>
    <row r="17" spans="1:15" ht="19.899999999999999" customHeight="1" x14ac:dyDescent="0.25">
      <c r="A17" s="588"/>
      <c r="B17" s="275"/>
      <c r="C17" s="276"/>
      <c r="D17" s="282" t="s">
        <v>222</v>
      </c>
      <c r="E17" s="267" t="s">
        <v>1492</v>
      </c>
      <c r="F17" s="288"/>
      <c r="H17" s="263"/>
      <c r="N17" s="28" t="s">
        <v>876</v>
      </c>
    </row>
    <row r="18" spans="1:15" ht="19.899999999999999" customHeight="1" x14ac:dyDescent="0.25">
      <c r="A18" s="588"/>
      <c r="B18" s="275"/>
      <c r="C18" s="276"/>
      <c r="D18" s="282" t="s">
        <v>232</v>
      </c>
      <c r="E18" s="267" t="s">
        <v>1493</v>
      </c>
      <c r="F18" s="288"/>
      <c r="H18" s="263"/>
      <c r="N18" s="28" t="s">
        <v>693</v>
      </c>
      <c r="O18" s="1" t="s">
        <v>1494</v>
      </c>
    </row>
    <row r="19" spans="1:15" ht="19.899999999999999" customHeight="1" x14ac:dyDescent="0.25">
      <c r="A19" s="588"/>
      <c r="B19" s="275"/>
      <c r="C19" s="276"/>
      <c r="D19" s="282" t="s">
        <v>230</v>
      </c>
      <c r="E19" s="267" t="s">
        <v>1495</v>
      </c>
      <c r="F19" s="288"/>
      <c r="H19" s="263"/>
      <c r="N19" s="28" t="s">
        <v>694</v>
      </c>
      <c r="O19" s="1" t="s">
        <v>1494</v>
      </c>
    </row>
    <row r="20" spans="1:15" ht="19.899999999999999" customHeight="1" x14ac:dyDescent="0.25">
      <c r="A20" s="588"/>
      <c r="B20" s="275"/>
      <c r="C20" s="276"/>
      <c r="D20" s="282" t="s">
        <v>246</v>
      </c>
      <c r="E20" s="267" t="s">
        <v>1496</v>
      </c>
      <c r="F20" s="288"/>
      <c r="H20" s="263"/>
      <c r="N20" s="28" t="s">
        <v>700</v>
      </c>
      <c r="O20" s="1" t="s">
        <v>1494</v>
      </c>
    </row>
    <row r="21" spans="1:15" ht="19.899999999999999" customHeight="1" x14ac:dyDescent="0.25">
      <c r="A21" s="588"/>
      <c r="B21" s="275"/>
      <c r="C21" s="276"/>
      <c r="D21" s="282" t="s">
        <v>253</v>
      </c>
      <c r="E21" s="267" t="s">
        <v>1497</v>
      </c>
      <c r="F21" s="288"/>
      <c r="H21" s="263"/>
      <c r="N21" s="28" t="s">
        <v>699</v>
      </c>
      <c r="O21" s="1" t="s">
        <v>1494</v>
      </c>
    </row>
    <row r="22" spans="1:15" ht="19.899999999999999" customHeight="1" x14ac:dyDescent="0.25">
      <c r="A22" s="588"/>
      <c r="B22" s="275"/>
      <c r="C22" s="276"/>
      <c r="D22" s="282" t="s">
        <v>252</v>
      </c>
      <c r="E22" s="267" t="s">
        <v>1498</v>
      </c>
      <c r="F22" s="288"/>
      <c r="H22" s="263"/>
      <c r="N22" s="28" t="s">
        <v>723</v>
      </c>
      <c r="O22" s="1" t="s">
        <v>1494</v>
      </c>
    </row>
    <row r="23" spans="1:15" ht="19.899999999999999" customHeight="1" x14ac:dyDescent="0.25">
      <c r="A23" s="588"/>
      <c r="B23" s="275"/>
      <c r="C23" s="276"/>
      <c r="D23" s="282" t="s">
        <v>242</v>
      </c>
      <c r="E23" s="267" t="s">
        <v>1499</v>
      </c>
      <c r="F23" s="288"/>
      <c r="H23" s="263"/>
      <c r="N23" s="28" t="s">
        <v>727</v>
      </c>
      <c r="O23" s="1" t="s">
        <v>1494</v>
      </c>
    </row>
    <row r="24" spans="1:15" ht="19.899999999999999" customHeight="1" x14ac:dyDescent="0.25">
      <c r="A24" s="588"/>
      <c r="B24" s="290"/>
      <c r="C24" s="291"/>
      <c r="D24" s="282" t="s">
        <v>272</v>
      </c>
      <c r="E24" s="267" t="s">
        <v>1500</v>
      </c>
      <c r="F24" s="288"/>
      <c r="H24" s="263"/>
      <c r="N24" s="28" t="s">
        <v>735</v>
      </c>
      <c r="O24" s="1" t="s">
        <v>1494</v>
      </c>
    </row>
    <row r="25" spans="1:15" ht="19.899999999999999" customHeight="1" x14ac:dyDescent="0.25">
      <c r="A25" s="588"/>
      <c r="B25" s="290"/>
      <c r="C25" s="291"/>
      <c r="D25" s="282" t="s">
        <v>274</v>
      </c>
      <c r="E25" s="267" t="s">
        <v>1501</v>
      </c>
      <c r="F25" s="288"/>
      <c r="H25" s="263"/>
      <c r="N25" s="28" t="s">
        <v>634</v>
      </c>
    </row>
    <row r="26" spans="1:15" ht="19.899999999999999" customHeight="1" x14ac:dyDescent="0.25">
      <c r="A26" s="588"/>
      <c r="B26" s="290"/>
      <c r="C26" s="291"/>
      <c r="D26" s="292" t="s">
        <v>276</v>
      </c>
      <c r="E26" s="267" t="s">
        <v>1502</v>
      </c>
      <c r="F26" s="288"/>
      <c r="H26" s="263"/>
      <c r="N26" s="28" t="s">
        <v>646</v>
      </c>
    </row>
    <row r="27" spans="1:15" ht="19.899999999999999" customHeight="1" thickBot="1" x14ac:dyDescent="0.3">
      <c r="A27" s="589"/>
      <c r="B27" s="293"/>
      <c r="C27" s="294"/>
      <c r="D27" s="295" t="s">
        <v>266</v>
      </c>
      <c r="E27" s="262" t="s">
        <v>1503</v>
      </c>
      <c r="F27" s="296"/>
      <c r="G27" s="271"/>
      <c r="H27" s="272"/>
      <c r="N27" s="28" t="s">
        <v>674</v>
      </c>
    </row>
    <row r="28" spans="1:15" ht="19.899999999999999" customHeight="1" thickBot="1" x14ac:dyDescent="0.3">
      <c r="B28" s="297" t="s">
        <v>1472</v>
      </c>
      <c r="D28" s="298" t="s">
        <v>1473</v>
      </c>
      <c r="F28" s="274" t="s">
        <v>1474</v>
      </c>
      <c r="N28" s="28" t="s">
        <v>541</v>
      </c>
    </row>
    <row r="29" spans="1:15" ht="19.899999999999999" customHeight="1" x14ac:dyDescent="0.25">
      <c r="A29" s="587" t="s">
        <v>1504</v>
      </c>
      <c r="B29" s="299" t="s">
        <v>930</v>
      </c>
      <c r="C29" s="254" t="s">
        <v>1505</v>
      </c>
      <c r="D29" s="300"/>
      <c r="E29" s="278"/>
      <c r="F29" s="301" t="s">
        <v>1506</v>
      </c>
      <c r="G29" s="257" t="s">
        <v>1486</v>
      </c>
      <c r="H29" s="257"/>
      <c r="I29" s="257"/>
      <c r="J29" s="257"/>
      <c r="K29" s="257"/>
      <c r="L29" s="257"/>
      <c r="M29" s="258"/>
      <c r="N29" s="28" t="s">
        <v>1507</v>
      </c>
    </row>
    <row r="30" spans="1:15" ht="19.899999999999999" customHeight="1" x14ac:dyDescent="0.25">
      <c r="A30" s="588"/>
      <c r="B30" s="302" t="s">
        <v>1508</v>
      </c>
      <c r="C30" s="260" t="s">
        <v>1509</v>
      </c>
      <c r="D30" s="266"/>
      <c r="E30" s="267"/>
      <c r="F30" s="288" t="s">
        <v>1510</v>
      </c>
      <c r="G30" t="s">
        <v>1486</v>
      </c>
      <c r="M30" s="263"/>
      <c r="N30" s="28" t="s">
        <v>536</v>
      </c>
    </row>
    <row r="31" spans="1:15" ht="19.899999999999999" customHeight="1" x14ac:dyDescent="0.25">
      <c r="A31" s="588"/>
      <c r="B31" s="302" t="s">
        <v>1511</v>
      </c>
      <c r="C31" s="260" t="s">
        <v>1512</v>
      </c>
      <c r="D31" s="266"/>
      <c r="E31" s="267"/>
      <c r="F31" s="288" t="s">
        <v>1513</v>
      </c>
      <c r="G31" t="s">
        <v>1486</v>
      </c>
      <c r="M31" s="263"/>
      <c r="N31" s="28" t="s">
        <v>517</v>
      </c>
    </row>
    <row r="32" spans="1:15" ht="19.899999999999999" customHeight="1" x14ac:dyDescent="0.25">
      <c r="A32" s="588"/>
      <c r="B32" s="302"/>
      <c r="C32" s="260"/>
      <c r="D32" s="266"/>
      <c r="E32" s="267"/>
      <c r="F32" s="288" t="s">
        <v>1006</v>
      </c>
      <c r="G32" t="s">
        <v>1514</v>
      </c>
      <c r="M32" s="263"/>
      <c r="N32" s="28" t="s">
        <v>515</v>
      </c>
    </row>
    <row r="33" spans="1:14" ht="19.899999999999999" customHeight="1" x14ac:dyDescent="0.25">
      <c r="A33" s="588"/>
      <c r="B33" s="302" t="s">
        <v>948</v>
      </c>
      <c r="C33" s="260" t="s">
        <v>1515</v>
      </c>
      <c r="D33" s="266"/>
      <c r="E33" s="267"/>
      <c r="F33" s="288" t="s">
        <v>1516</v>
      </c>
      <c r="G33" t="s">
        <v>1517</v>
      </c>
      <c r="M33" s="263"/>
      <c r="N33" s="28" t="s">
        <v>527</v>
      </c>
    </row>
    <row r="34" spans="1:14" ht="19.899999999999999" customHeight="1" x14ac:dyDescent="0.25">
      <c r="A34" s="588"/>
      <c r="B34" s="302" t="s">
        <v>955</v>
      </c>
      <c r="C34" s="260" t="s">
        <v>1518</v>
      </c>
      <c r="D34" s="266"/>
      <c r="E34" s="267"/>
      <c r="F34" s="288" t="s">
        <v>1519</v>
      </c>
      <c r="G34" t="s">
        <v>1486</v>
      </c>
      <c r="M34" s="263"/>
      <c r="N34" s="28" t="s">
        <v>452</v>
      </c>
    </row>
    <row r="35" spans="1:14" ht="19.899999999999999" customHeight="1" x14ac:dyDescent="0.25">
      <c r="A35" s="588"/>
      <c r="B35" s="302" t="s">
        <v>1520</v>
      </c>
      <c r="C35" s="260" t="s">
        <v>1521</v>
      </c>
      <c r="D35" s="266"/>
      <c r="E35" s="267"/>
      <c r="F35" s="288" t="s">
        <v>1522</v>
      </c>
      <c r="G35" t="s">
        <v>1486</v>
      </c>
      <c r="M35" s="263"/>
      <c r="N35" s="28" t="s">
        <v>465</v>
      </c>
    </row>
    <row r="36" spans="1:14" ht="19.899999999999999" customHeight="1" x14ac:dyDescent="0.25">
      <c r="A36" s="588"/>
      <c r="B36" s="302" t="s">
        <v>1523</v>
      </c>
      <c r="C36" s="260" t="s">
        <v>1524</v>
      </c>
      <c r="D36" s="266"/>
      <c r="E36" s="267"/>
      <c r="F36" s="288" t="s">
        <v>1525</v>
      </c>
      <c r="G36" t="s">
        <v>1486</v>
      </c>
      <c r="M36" s="263"/>
      <c r="N36" s="28" t="s">
        <v>473</v>
      </c>
    </row>
    <row r="37" spans="1:14" ht="19.899999999999999" customHeight="1" x14ac:dyDescent="0.25">
      <c r="A37" s="588"/>
      <c r="B37" s="302" t="s">
        <v>960</v>
      </c>
      <c r="C37" s="260" t="s">
        <v>1526</v>
      </c>
      <c r="D37" s="266"/>
      <c r="E37" s="267"/>
      <c r="F37" s="288" t="s">
        <v>1527</v>
      </c>
      <c r="G37" t="s">
        <v>1486</v>
      </c>
      <c r="M37" s="263"/>
      <c r="N37" s="28" t="s">
        <v>499</v>
      </c>
    </row>
    <row r="38" spans="1:14" ht="19.899999999999999" customHeight="1" x14ac:dyDescent="0.25">
      <c r="A38" s="588"/>
      <c r="B38" s="302" t="s">
        <v>991</v>
      </c>
      <c r="C38" s="260" t="s">
        <v>1528</v>
      </c>
      <c r="D38" s="266"/>
      <c r="E38" s="267"/>
      <c r="F38" s="288" t="s">
        <v>1529</v>
      </c>
      <c r="G38" t="s">
        <v>1486</v>
      </c>
      <c r="M38" s="263"/>
      <c r="N38" s="28" t="s">
        <v>493</v>
      </c>
    </row>
    <row r="39" spans="1:14" ht="19.899999999999999" customHeight="1" x14ac:dyDescent="0.25">
      <c r="A39" s="588"/>
      <c r="B39" s="302" t="s">
        <v>998</v>
      </c>
      <c r="C39" s="260" t="s">
        <v>1530</v>
      </c>
      <c r="D39" s="266"/>
      <c r="E39" s="267"/>
      <c r="F39" s="288" t="s">
        <v>1531</v>
      </c>
      <c r="G39" t="s">
        <v>1486</v>
      </c>
      <c r="M39" s="263"/>
      <c r="N39" s="28" t="s">
        <v>496</v>
      </c>
    </row>
    <row r="40" spans="1:14" ht="19.899999999999999" customHeight="1" x14ac:dyDescent="0.25">
      <c r="A40" s="588"/>
      <c r="B40" s="302" t="s">
        <v>1000</v>
      </c>
      <c r="C40" s="260" t="s">
        <v>1532</v>
      </c>
      <c r="D40" s="266"/>
      <c r="E40" s="267"/>
      <c r="F40" s="288" t="s">
        <v>1533</v>
      </c>
      <c r="G40" t="s">
        <v>1486</v>
      </c>
      <c r="M40" s="263"/>
      <c r="N40" s="28" t="s">
        <v>439</v>
      </c>
    </row>
    <row r="41" spans="1:14" ht="19.899999999999999" customHeight="1" x14ac:dyDescent="0.25">
      <c r="A41" s="588"/>
      <c r="B41" s="302" t="s">
        <v>1003</v>
      </c>
      <c r="C41" s="260" t="s">
        <v>1534</v>
      </c>
      <c r="D41" s="266"/>
      <c r="E41" s="267"/>
      <c r="F41" s="288" t="s">
        <v>1535</v>
      </c>
      <c r="G41" t="s">
        <v>1486</v>
      </c>
      <c r="M41" s="263"/>
      <c r="N41" s="28" t="s">
        <v>429</v>
      </c>
    </row>
    <row r="42" spans="1:14" ht="19.899999999999999" customHeight="1" x14ac:dyDescent="0.25">
      <c r="A42" s="588"/>
      <c r="B42" s="302" t="s">
        <v>1536</v>
      </c>
      <c r="C42" s="260" t="s">
        <v>1537</v>
      </c>
      <c r="D42" s="266"/>
      <c r="E42" s="267"/>
      <c r="F42" s="288" t="s">
        <v>1060</v>
      </c>
      <c r="G42" t="s">
        <v>1538</v>
      </c>
      <c r="M42" s="263"/>
      <c r="N42" s="28" t="s">
        <v>460</v>
      </c>
    </row>
    <row r="43" spans="1:14" ht="19.899999999999999" customHeight="1" x14ac:dyDescent="0.25">
      <c r="A43" s="588"/>
      <c r="B43" s="302" t="s">
        <v>1010</v>
      </c>
      <c r="C43" s="260" t="s">
        <v>1539</v>
      </c>
      <c r="D43" s="266"/>
      <c r="E43" s="267"/>
      <c r="F43" s="288"/>
      <c r="M43" s="263"/>
      <c r="N43" s="28" t="s">
        <v>392</v>
      </c>
    </row>
    <row r="44" spans="1:14" ht="19.899999999999999" customHeight="1" x14ac:dyDescent="0.25">
      <c r="A44" s="588"/>
      <c r="B44" s="302" t="s">
        <v>1540</v>
      </c>
      <c r="C44" s="260" t="s">
        <v>1541</v>
      </c>
      <c r="D44" s="266"/>
      <c r="E44" s="267"/>
      <c r="F44" s="288"/>
      <c r="M44" s="263"/>
      <c r="N44" s="28" t="s">
        <v>400</v>
      </c>
    </row>
    <row r="45" spans="1:14" ht="19.899999999999999" customHeight="1" x14ac:dyDescent="0.25">
      <c r="A45" s="588"/>
      <c r="B45" s="302" t="s">
        <v>1014</v>
      </c>
      <c r="C45" s="260" t="s">
        <v>1542</v>
      </c>
      <c r="D45" s="266"/>
      <c r="E45" s="267"/>
      <c r="F45" s="288"/>
      <c r="M45" s="263"/>
      <c r="N45" s="28" t="s">
        <v>398</v>
      </c>
    </row>
    <row r="46" spans="1:14" ht="19.899999999999999" customHeight="1" x14ac:dyDescent="0.25">
      <c r="A46" s="588"/>
      <c r="B46" s="302" t="s">
        <v>1029</v>
      </c>
      <c r="C46" s="260" t="s">
        <v>1543</v>
      </c>
      <c r="D46" s="266"/>
      <c r="E46" s="267"/>
      <c r="F46" s="288"/>
      <c r="M46" s="263"/>
      <c r="N46" s="28" t="s">
        <v>380</v>
      </c>
    </row>
    <row r="47" spans="1:14" ht="19.899999999999999" customHeight="1" x14ac:dyDescent="0.25">
      <c r="A47" s="588"/>
      <c r="B47" s="302" t="s">
        <v>1039</v>
      </c>
      <c r="C47" s="260" t="s">
        <v>1544</v>
      </c>
      <c r="D47" s="266"/>
      <c r="E47" s="267"/>
      <c r="F47" s="288"/>
      <c r="M47" s="263"/>
      <c r="N47" s="28" t="s">
        <v>375</v>
      </c>
    </row>
    <row r="48" spans="1:14" ht="19.899999999999999" customHeight="1" x14ac:dyDescent="0.25">
      <c r="A48" s="588"/>
      <c r="B48" s="302" t="s">
        <v>1545</v>
      </c>
      <c r="C48" s="260" t="s">
        <v>1544</v>
      </c>
      <c r="D48" s="266"/>
      <c r="E48" s="267"/>
      <c r="F48" s="288"/>
      <c r="M48" s="263"/>
      <c r="N48" s="28" t="s">
        <v>373</v>
      </c>
    </row>
    <row r="49" spans="1:14" ht="19.899999999999999" customHeight="1" x14ac:dyDescent="0.25">
      <c r="A49" s="588"/>
      <c r="B49" s="302" t="s">
        <v>1051</v>
      </c>
      <c r="C49" s="260" t="s">
        <v>1546</v>
      </c>
      <c r="D49" s="266"/>
      <c r="E49" s="267"/>
      <c r="F49" s="288"/>
      <c r="M49" s="263"/>
      <c r="N49" s="28" t="s">
        <v>1547</v>
      </c>
    </row>
    <row r="50" spans="1:14" ht="19.899999999999999" customHeight="1" thickBot="1" x14ac:dyDescent="0.3">
      <c r="A50" s="589"/>
      <c r="B50" s="303" t="s">
        <v>1548</v>
      </c>
      <c r="C50" s="304" t="s">
        <v>1546</v>
      </c>
      <c r="D50" s="269"/>
      <c r="E50" s="270"/>
      <c r="F50" s="296"/>
      <c r="M50" s="263"/>
      <c r="N50" s="28" t="s">
        <v>1549</v>
      </c>
    </row>
    <row r="51" spans="1:14" ht="19.899999999999999" customHeight="1" thickBot="1" x14ac:dyDescent="0.3">
      <c r="B51" s="305" t="s">
        <v>1550</v>
      </c>
      <c r="D51" s="289" t="s">
        <v>1473</v>
      </c>
      <c r="F51" s="252" t="s">
        <v>1474</v>
      </c>
      <c r="M51" s="263"/>
      <c r="N51" s="28" t="s">
        <v>294</v>
      </c>
    </row>
    <row r="52" spans="1:14" ht="19.899999999999999" customHeight="1" x14ac:dyDescent="0.25">
      <c r="A52" s="587" t="s">
        <v>1551</v>
      </c>
      <c r="B52" s="306" t="s">
        <v>1310</v>
      </c>
      <c r="C52" s="307" t="s">
        <v>1552</v>
      </c>
      <c r="D52" s="13" t="s">
        <v>1200</v>
      </c>
      <c r="E52" s="308" t="s">
        <v>1470</v>
      </c>
      <c r="F52" s="309" t="s">
        <v>1303</v>
      </c>
      <c r="G52" s="310" t="s">
        <v>1486</v>
      </c>
      <c r="H52" s="281"/>
      <c r="N52" s="28" t="s">
        <v>297</v>
      </c>
    </row>
    <row r="53" spans="1:14" ht="19.899999999999999" customHeight="1" x14ac:dyDescent="0.25">
      <c r="A53" s="588"/>
      <c r="B53" s="275" t="s">
        <v>1321</v>
      </c>
      <c r="C53" s="276" t="s">
        <v>1553</v>
      </c>
      <c r="D53" s="13" t="s">
        <v>1293</v>
      </c>
      <c r="E53" s="308" t="s">
        <v>1470</v>
      </c>
      <c r="F53" s="311" t="s">
        <v>1299</v>
      </c>
      <c r="G53" s="105" t="s">
        <v>1554</v>
      </c>
      <c r="H53" s="285"/>
      <c r="N53" s="28" t="s">
        <v>283</v>
      </c>
    </row>
    <row r="54" spans="1:14" ht="19.899999999999999" customHeight="1" x14ac:dyDescent="0.25">
      <c r="A54" s="588"/>
      <c r="B54" s="275" t="s">
        <v>1297</v>
      </c>
      <c r="C54" s="276" t="s">
        <v>1555</v>
      </c>
      <c r="F54" s="288"/>
      <c r="H54" s="263"/>
      <c r="N54" s="28" t="s">
        <v>295</v>
      </c>
    </row>
    <row r="55" spans="1:14" ht="19.899999999999999" customHeight="1" x14ac:dyDescent="0.25">
      <c r="A55" s="588"/>
      <c r="B55" s="275" t="s">
        <v>1333</v>
      </c>
      <c r="C55" s="276" t="s">
        <v>1556</v>
      </c>
      <c r="F55" s="288"/>
      <c r="H55" s="263"/>
      <c r="N55" s="312" t="s">
        <v>362</v>
      </c>
    </row>
    <row r="56" spans="1:14" ht="19.899999999999999" customHeight="1" x14ac:dyDescent="0.25">
      <c r="A56" s="588"/>
      <c r="B56" s="275" t="s">
        <v>1300</v>
      </c>
      <c r="C56" s="276" t="s">
        <v>1557</v>
      </c>
      <c r="F56" s="288"/>
      <c r="H56" s="263"/>
      <c r="N56" s="2" t="s">
        <v>266</v>
      </c>
    </row>
    <row r="57" spans="1:14" ht="19.899999999999999" customHeight="1" x14ac:dyDescent="0.25">
      <c r="A57" s="588"/>
      <c r="B57" s="275" t="s">
        <v>1301</v>
      </c>
      <c r="C57" s="276" t="s">
        <v>1558</v>
      </c>
      <c r="F57" s="288"/>
      <c r="H57" s="263"/>
      <c r="N57" s="2" t="s">
        <v>272</v>
      </c>
    </row>
    <row r="58" spans="1:14" ht="19.899999999999999" customHeight="1" x14ac:dyDescent="0.25">
      <c r="A58" s="588"/>
      <c r="B58" s="275"/>
      <c r="C58" s="276"/>
      <c r="F58" s="288"/>
      <c r="H58" s="263"/>
      <c r="N58" s="2" t="s">
        <v>274</v>
      </c>
    </row>
    <row r="59" spans="1:14" ht="19.899999999999999" customHeight="1" x14ac:dyDescent="0.25">
      <c r="A59" s="588"/>
      <c r="B59" s="313"/>
      <c r="C59" s="314"/>
      <c r="F59" s="288"/>
      <c r="H59" s="263"/>
      <c r="N59" s="2" t="s">
        <v>276</v>
      </c>
    </row>
    <row r="60" spans="1:14" ht="19.899999999999999" customHeight="1" thickBot="1" x14ac:dyDescent="0.3">
      <c r="A60" s="589"/>
      <c r="B60" s="315"/>
      <c r="C60" s="316"/>
      <c r="D60" s="203"/>
      <c r="E60" s="271"/>
      <c r="F60" s="296"/>
      <c r="G60" s="271"/>
      <c r="H60" s="272"/>
      <c r="N60" s="317" t="s">
        <v>266</v>
      </c>
    </row>
    <row r="61" spans="1:14" ht="15.75" thickBot="1" x14ac:dyDescent="0.3">
      <c r="B61" s="305" t="s">
        <v>1550</v>
      </c>
      <c r="D61" s="289" t="s">
        <v>1473</v>
      </c>
      <c r="F61" s="318" t="s">
        <v>1474</v>
      </c>
      <c r="N61" s="317" t="s">
        <v>242</v>
      </c>
    </row>
    <row r="62" spans="1:14" ht="19.899999999999999" customHeight="1" x14ac:dyDescent="0.25">
      <c r="A62" s="578" t="s">
        <v>1559</v>
      </c>
      <c r="B62" s="259" t="s">
        <v>1560</v>
      </c>
      <c r="C62" s="302" t="s">
        <v>1561</v>
      </c>
      <c r="D62" s="319" t="s">
        <v>876</v>
      </c>
      <c r="E62" s="257" t="s">
        <v>1562</v>
      </c>
      <c r="F62" s="301" t="s">
        <v>1563</v>
      </c>
      <c r="G62" s="257" t="s">
        <v>1486</v>
      </c>
      <c r="H62" s="258"/>
      <c r="N62" s="317" t="s">
        <v>252</v>
      </c>
    </row>
    <row r="63" spans="1:14" ht="19.899999999999999" customHeight="1" x14ac:dyDescent="0.25">
      <c r="A63" s="579"/>
      <c r="B63" s="259" t="s">
        <v>918</v>
      </c>
      <c r="C63" s="302" t="s">
        <v>1564</v>
      </c>
      <c r="D63" s="1" t="s">
        <v>851</v>
      </c>
      <c r="E63" t="s">
        <v>1562</v>
      </c>
      <c r="F63" s="288" t="s">
        <v>1565</v>
      </c>
      <c r="G63" t="s">
        <v>1486</v>
      </c>
      <c r="H63" s="263"/>
      <c r="N63" s="317" t="s">
        <v>253</v>
      </c>
    </row>
    <row r="64" spans="1:14" ht="19.899999999999999" customHeight="1" x14ac:dyDescent="0.25">
      <c r="A64" s="579"/>
      <c r="B64" s="265"/>
      <c r="C64" s="265"/>
      <c r="D64" s="320" t="s">
        <v>849</v>
      </c>
      <c r="E64" t="s">
        <v>1562</v>
      </c>
      <c r="F64" s="288" t="s">
        <v>1566</v>
      </c>
      <c r="G64" t="s">
        <v>1486</v>
      </c>
      <c r="H64" s="263"/>
      <c r="N64" s="317" t="s">
        <v>246</v>
      </c>
    </row>
    <row r="65" spans="1:15" ht="19.899999999999999" customHeight="1" x14ac:dyDescent="0.25">
      <c r="A65" s="579"/>
      <c r="B65" s="265"/>
      <c r="C65" s="265"/>
      <c r="D65" s="320" t="s">
        <v>847</v>
      </c>
      <c r="E65" t="s">
        <v>1567</v>
      </c>
      <c r="F65" s="288" t="s">
        <v>1568</v>
      </c>
      <c r="G65" t="s">
        <v>1486</v>
      </c>
      <c r="H65" s="263"/>
      <c r="N65" s="317" t="s">
        <v>230</v>
      </c>
    </row>
    <row r="66" spans="1:15" ht="19.899999999999999" customHeight="1" x14ac:dyDescent="0.25">
      <c r="A66" s="579"/>
      <c r="B66" s="265"/>
      <c r="C66" s="265"/>
      <c r="D66" s="320" t="s">
        <v>886</v>
      </c>
      <c r="E66" t="s">
        <v>885</v>
      </c>
      <c r="F66" s="288" t="s">
        <v>1569</v>
      </c>
      <c r="G66" t="s">
        <v>1486</v>
      </c>
      <c r="H66" s="263"/>
      <c r="N66" s="317" t="s">
        <v>232</v>
      </c>
    </row>
    <row r="67" spans="1:15" x14ac:dyDescent="0.25">
      <c r="A67" s="579"/>
      <c r="B67" s="265"/>
      <c r="C67" s="265"/>
      <c r="D67" s="320" t="s">
        <v>884</v>
      </c>
      <c r="E67" t="s">
        <v>883</v>
      </c>
      <c r="F67" s="288" t="s">
        <v>1570</v>
      </c>
      <c r="G67" t="s">
        <v>1486</v>
      </c>
      <c r="H67" s="263"/>
      <c r="N67" s="317" t="s">
        <v>222</v>
      </c>
    </row>
    <row r="68" spans="1:15" x14ac:dyDescent="0.25">
      <c r="A68" s="579"/>
      <c r="B68" s="265"/>
      <c r="C68" s="265"/>
      <c r="D68" s="320"/>
      <c r="F68" s="288" t="s">
        <v>1571</v>
      </c>
      <c r="G68" t="s">
        <v>1486</v>
      </c>
      <c r="H68" s="263"/>
      <c r="N68" s="317" t="s">
        <v>215</v>
      </c>
    </row>
    <row r="69" spans="1:15" x14ac:dyDescent="0.25">
      <c r="A69" s="579"/>
      <c r="B69" s="265"/>
      <c r="C69" s="265"/>
      <c r="D69" s="320"/>
      <c r="F69" s="288" t="s">
        <v>1572</v>
      </c>
      <c r="G69" t="s">
        <v>1486</v>
      </c>
      <c r="H69" s="263"/>
      <c r="N69" s="317" t="s">
        <v>210</v>
      </c>
    </row>
    <row r="70" spans="1:15" x14ac:dyDescent="0.25">
      <c r="A70" s="579"/>
      <c r="B70" s="265"/>
      <c r="C70" s="265"/>
      <c r="D70" s="320"/>
      <c r="F70" s="288" t="s">
        <v>1573</v>
      </c>
      <c r="G70" t="s">
        <v>1486</v>
      </c>
      <c r="H70" s="263"/>
      <c r="N70" s="317" t="s">
        <v>187</v>
      </c>
    </row>
    <row r="71" spans="1:15" x14ac:dyDescent="0.25">
      <c r="A71" s="579"/>
      <c r="B71" s="265"/>
      <c r="C71" s="265"/>
      <c r="D71" s="320"/>
      <c r="F71" s="288" t="s">
        <v>888</v>
      </c>
      <c r="G71" t="s">
        <v>1486</v>
      </c>
      <c r="H71" s="263"/>
      <c r="N71" s="317" t="s">
        <v>196</v>
      </c>
    </row>
    <row r="72" spans="1:15" x14ac:dyDescent="0.25">
      <c r="A72" s="579"/>
      <c r="B72" s="265"/>
      <c r="C72" s="265"/>
      <c r="D72" s="320"/>
      <c r="F72" s="288" t="s">
        <v>1574</v>
      </c>
      <c r="G72" t="s">
        <v>1486</v>
      </c>
      <c r="H72" s="263"/>
      <c r="N72" s="317" t="s">
        <v>182</v>
      </c>
    </row>
    <row r="73" spans="1:15" x14ac:dyDescent="0.25">
      <c r="A73" s="579"/>
      <c r="B73" s="265"/>
      <c r="C73" s="265"/>
      <c r="D73" s="320"/>
      <c r="F73" s="288" t="s">
        <v>1575</v>
      </c>
      <c r="G73" t="s">
        <v>1486</v>
      </c>
      <c r="H73" s="263"/>
      <c r="N73" s="317" t="s">
        <v>187</v>
      </c>
    </row>
    <row r="74" spans="1:15" x14ac:dyDescent="0.25">
      <c r="A74" s="579"/>
      <c r="B74" s="265"/>
      <c r="C74" s="265"/>
      <c r="D74" s="320"/>
      <c r="F74" s="288" t="s">
        <v>893</v>
      </c>
      <c r="G74" t="s">
        <v>1486</v>
      </c>
      <c r="H74" s="263"/>
      <c r="N74" s="317" t="s">
        <v>196</v>
      </c>
    </row>
    <row r="75" spans="1:15" x14ac:dyDescent="0.25">
      <c r="A75" s="579"/>
      <c r="B75" s="265"/>
      <c r="C75" s="265"/>
      <c r="D75" s="320"/>
      <c r="F75" s="288" t="s">
        <v>890</v>
      </c>
      <c r="G75" t="s">
        <v>1486</v>
      </c>
      <c r="H75" s="263"/>
      <c r="N75" s="317" t="s">
        <v>182</v>
      </c>
    </row>
    <row r="76" spans="1:15" x14ac:dyDescent="0.25">
      <c r="A76" s="579"/>
      <c r="B76" s="265"/>
      <c r="C76" s="265"/>
      <c r="D76" s="320"/>
      <c r="F76" s="288" t="s">
        <v>1576</v>
      </c>
      <c r="G76" t="s">
        <v>1486</v>
      </c>
      <c r="H76" s="263"/>
      <c r="N76" s="317" t="s">
        <v>182</v>
      </c>
    </row>
    <row r="77" spans="1:15" x14ac:dyDescent="0.25">
      <c r="A77" s="579"/>
      <c r="B77" s="265"/>
      <c r="C77" s="265"/>
      <c r="D77" s="320"/>
      <c r="F77" s="288" t="s">
        <v>1577</v>
      </c>
      <c r="G77" t="s">
        <v>1486</v>
      </c>
      <c r="H77" s="263"/>
      <c r="N77" s="193" t="s">
        <v>599</v>
      </c>
      <c r="O77" s="1" t="s">
        <v>1578</v>
      </c>
    </row>
    <row r="78" spans="1:15" x14ac:dyDescent="0.25">
      <c r="A78" s="579"/>
      <c r="B78" s="265"/>
      <c r="C78" s="265"/>
      <c r="D78" s="320"/>
      <c r="F78" s="288" t="s">
        <v>1579</v>
      </c>
      <c r="G78" t="s">
        <v>1486</v>
      </c>
      <c r="H78" s="263"/>
    </row>
    <row r="79" spans="1:15" ht="15.75" thickBot="1" x14ac:dyDescent="0.3">
      <c r="A79" s="580"/>
      <c r="B79" s="268"/>
      <c r="C79" s="268"/>
      <c r="D79" s="238"/>
      <c r="E79" s="271"/>
      <c r="F79" s="296" t="s">
        <v>1580</v>
      </c>
      <c r="G79" s="271" t="s">
        <v>1486</v>
      </c>
      <c r="H79" s="272"/>
    </row>
    <row r="80" spans="1:15" ht="15.75" thickBot="1" x14ac:dyDescent="0.3">
      <c r="B80" s="297" t="s">
        <v>1550</v>
      </c>
      <c r="D80" s="212" t="s">
        <v>1473</v>
      </c>
      <c r="F80" s="318" t="s">
        <v>1474</v>
      </c>
    </row>
    <row r="81" spans="1:8" x14ac:dyDescent="0.25">
      <c r="A81" s="578" t="s">
        <v>1581</v>
      </c>
      <c r="B81" s="321"/>
      <c r="C81" s="321"/>
      <c r="D81" s="322" t="s">
        <v>634</v>
      </c>
      <c r="E81" s="258" t="s">
        <v>1562</v>
      </c>
      <c r="F81" s="257" t="s">
        <v>1582</v>
      </c>
      <c r="G81" s="257" t="s">
        <v>1486</v>
      </c>
      <c r="H81" s="258"/>
    </row>
    <row r="82" spans="1:8" x14ac:dyDescent="0.25">
      <c r="A82" s="579"/>
      <c r="B82" s="265"/>
      <c r="C82" s="265"/>
      <c r="D82" s="320" t="s">
        <v>646</v>
      </c>
      <c r="E82" s="263" t="s">
        <v>1562</v>
      </c>
      <c r="F82" t="s">
        <v>1583</v>
      </c>
      <c r="G82" t="s">
        <v>1486</v>
      </c>
      <c r="H82" s="263"/>
    </row>
    <row r="83" spans="1:8" x14ac:dyDescent="0.25">
      <c r="A83" s="579"/>
      <c r="B83" s="265"/>
      <c r="C83" s="265"/>
      <c r="D83" s="320" t="s">
        <v>674</v>
      </c>
      <c r="E83" s="263" t="s">
        <v>1562</v>
      </c>
      <c r="F83" t="s">
        <v>1584</v>
      </c>
      <c r="G83" t="s">
        <v>1486</v>
      </c>
      <c r="H83" s="263"/>
    </row>
    <row r="84" spans="1:8" x14ac:dyDescent="0.25">
      <c r="A84" s="579"/>
      <c r="B84" s="265"/>
      <c r="C84" s="265"/>
      <c r="D84" s="320"/>
      <c r="E84" s="263"/>
      <c r="F84" t="s">
        <v>1585</v>
      </c>
      <c r="G84" t="s">
        <v>1486</v>
      </c>
      <c r="H84" s="263"/>
    </row>
    <row r="85" spans="1:8" x14ac:dyDescent="0.25">
      <c r="A85" s="579"/>
      <c r="B85" s="265"/>
      <c r="C85" s="265"/>
      <c r="D85" s="320"/>
      <c r="E85" s="263"/>
      <c r="F85" t="s">
        <v>1586</v>
      </c>
      <c r="G85" t="s">
        <v>1486</v>
      </c>
      <c r="H85" s="263"/>
    </row>
    <row r="86" spans="1:8" x14ac:dyDescent="0.25">
      <c r="A86" s="579"/>
      <c r="B86" s="265"/>
      <c r="C86" s="265"/>
      <c r="D86" s="320"/>
      <c r="E86" s="263"/>
      <c r="F86" t="s">
        <v>1587</v>
      </c>
      <c r="G86" t="s">
        <v>1486</v>
      </c>
      <c r="H86" s="263"/>
    </row>
    <row r="87" spans="1:8" x14ac:dyDescent="0.25">
      <c r="A87" s="579"/>
      <c r="B87" s="265"/>
      <c r="C87" s="265"/>
      <c r="D87" s="320"/>
      <c r="E87" s="263"/>
      <c r="F87" t="s">
        <v>1588</v>
      </c>
      <c r="G87" t="s">
        <v>1486</v>
      </c>
      <c r="H87" s="263"/>
    </row>
    <row r="88" spans="1:8" x14ac:dyDescent="0.25">
      <c r="A88" s="579"/>
      <c r="B88" s="265"/>
      <c r="C88" s="265"/>
      <c r="D88" s="320"/>
      <c r="E88" s="263"/>
      <c r="F88" t="s">
        <v>1589</v>
      </c>
      <c r="G88" t="s">
        <v>1486</v>
      </c>
      <c r="H88" s="263"/>
    </row>
    <row r="89" spans="1:8" x14ac:dyDescent="0.25">
      <c r="A89" s="579"/>
      <c r="B89" s="265"/>
      <c r="C89" s="265"/>
      <c r="D89" s="320"/>
      <c r="E89" s="263"/>
      <c r="F89" t="s">
        <v>1590</v>
      </c>
      <c r="G89" t="s">
        <v>1486</v>
      </c>
      <c r="H89" s="263"/>
    </row>
    <row r="90" spans="1:8" x14ac:dyDescent="0.25">
      <c r="A90" s="579"/>
      <c r="B90" s="265"/>
      <c r="C90" s="265"/>
      <c r="D90" s="320"/>
      <c r="E90" s="263"/>
      <c r="F90" t="s">
        <v>1591</v>
      </c>
      <c r="G90" t="s">
        <v>1486</v>
      </c>
      <c r="H90" s="263"/>
    </row>
    <row r="91" spans="1:8" x14ac:dyDescent="0.25">
      <c r="A91" s="579"/>
      <c r="B91" s="265"/>
      <c r="C91" s="265"/>
      <c r="D91" s="320"/>
      <c r="E91" s="263"/>
      <c r="H91" s="263"/>
    </row>
    <row r="92" spans="1:8" ht="15.75" thickBot="1" x14ac:dyDescent="0.3">
      <c r="A92" s="580"/>
      <c r="B92" s="268"/>
      <c r="C92" s="268"/>
      <c r="D92" s="238"/>
      <c r="E92" s="272"/>
      <c r="F92" s="271"/>
      <c r="G92" s="271"/>
      <c r="H92" s="272"/>
    </row>
    <row r="93" spans="1:8" ht="15.75" thickBot="1" x14ac:dyDescent="0.3">
      <c r="B93" s="297" t="s">
        <v>1550</v>
      </c>
      <c r="D93" s="323" t="s">
        <v>1473</v>
      </c>
      <c r="E93" s="257"/>
      <c r="F93" s="318" t="s">
        <v>1474</v>
      </c>
    </row>
    <row r="94" spans="1:8" x14ac:dyDescent="0.25">
      <c r="A94" s="578" t="s">
        <v>1592</v>
      </c>
      <c r="B94" s="321"/>
      <c r="C94" s="321"/>
      <c r="D94" s="322" t="s">
        <v>517</v>
      </c>
      <c r="E94" s="257" t="s">
        <v>1562</v>
      </c>
      <c r="F94" s="301"/>
      <c r="G94" s="257"/>
      <c r="H94" s="258"/>
    </row>
    <row r="95" spans="1:8" x14ac:dyDescent="0.25">
      <c r="A95" s="579"/>
      <c r="B95" s="265"/>
      <c r="C95" s="265"/>
      <c r="D95" s="1" t="s">
        <v>515</v>
      </c>
      <c r="E95" t="s">
        <v>1593</v>
      </c>
      <c r="F95" s="288"/>
      <c r="H95" s="263"/>
    </row>
    <row r="96" spans="1:8" x14ac:dyDescent="0.25">
      <c r="A96" s="579"/>
      <c r="B96" s="265"/>
      <c r="C96" s="265"/>
      <c r="D96" s="320"/>
      <c r="F96" s="288"/>
      <c r="H96" s="263"/>
    </row>
    <row r="97" spans="1:8" x14ac:dyDescent="0.25">
      <c r="A97" s="579"/>
      <c r="B97" s="265"/>
      <c r="C97" s="265"/>
      <c r="D97" s="320"/>
      <c r="F97" s="288"/>
      <c r="H97" s="263"/>
    </row>
    <row r="98" spans="1:8" x14ac:dyDescent="0.25">
      <c r="A98" s="579"/>
      <c r="B98" s="265"/>
      <c r="C98" s="265"/>
      <c r="D98" s="320"/>
      <c r="F98" s="288"/>
      <c r="H98" s="263"/>
    </row>
    <row r="99" spans="1:8" x14ac:dyDescent="0.25">
      <c r="A99" s="579"/>
      <c r="B99" s="265"/>
      <c r="C99" s="265"/>
      <c r="D99" s="320"/>
      <c r="F99" s="288"/>
      <c r="H99" s="263"/>
    </row>
    <row r="100" spans="1:8" x14ac:dyDescent="0.25">
      <c r="A100" s="579"/>
      <c r="B100" s="265"/>
      <c r="C100" s="265"/>
      <c r="D100" s="320"/>
      <c r="F100" s="288"/>
      <c r="H100" s="263"/>
    </row>
    <row r="101" spans="1:8" x14ac:dyDescent="0.25">
      <c r="A101" s="579"/>
      <c r="B101" s="265"/>
      <c r="C101" s="265"/>
      <c r="D101" s="320"/>
      <c r="F101" s="288"/>
      <c r="H101" s="263"/>
    </row>
    <row r="102" spans="1:8" x14ac:dyDescent="0.25">
      <c r="A102" s="579"/>
      <c r="B102" s="265"/>
      <c r="C102" s="265"/>
      <c r="D102" s="320"/>
      <c r="F102" s="288"/>
      <c r="H102" s="263"/>
    </row>
    <row r="103" spans="1:8" x14ac:dyDescent="0.25">
      <c r="A103" s="579"/>
      <c r="B103" s="265"/>
      <c r="C103" s="265"/>
      <c r="D103" s="320"/>
      <c r="F103" s="288"/>
      <c r="H103" s="263"/>
    </row>
    <row r="104" spans="1:8" x14ac:dyDescent="0.25">
      <c r="A104" s="579"/>
      <c r="B104" s="265"/>
      <c r="C104" s="265"/>
      <c r="D104" s="320"/>
      <c r="F104" s="288"/>
      <c r="H104" s="263"/>
    </row>
    <row r="105" spans="1:8" ht="15.75" thickBot="1" x14ac:dyDescent="0.3">
      <c r="A105" s="580"/>
      <c r="B105" s="268"/>
      <c r="C105" s="268"/>
      <c r="D105" s="238"/>
      <c r="E105" s="271"/>
      <c r="F105" s="296"/>
      <c r="G105" s="271"/>
      <c r="H105" s="272"/>
    </row>
    <row r="106" spans="1:8" ht="15.75" thickBot="1" x14ac:dyDescent="0.3">
      <c r="B106" s="297" t="s">
        <v>1550</v>
      </c>
      <c r="D106" s="323" t="s">
        <v>1473</v>
      </c>
      <c r="F106" s="318" t="s">
        <v>1474</v>
      </c>
    </row>
    <row r="107" spans="1:8" x14ac:dyDescent="0.25">
      <c r="A107" s="583" t="s">
        <v>1594</v>
      </c>
      <c r="B107" s="259" t="s">
        <v>569</v>
      </c>
      <c r="C107" s="260" t="s">
        <v>1595</v>
      </c>
      <c r="D107" s="322" t="s">
        <v>527</v>
      </c>
      <c r="E107" s="258" t="s">
        <v>1562</v>
      </c>
      <c r="F107" s="257" t="s">
        <v>1596</v>
      </c>
      <c r="G107" s="257" t="s">
        <v>1486</v>
      </c>
      <c r="H107" s="258"/>
    </row>
    <row r="108" spans="1:8" x14ac:dyDescent="0.25">
      <c r="A108" s="584"/>
      <c r="B108" s="302" t="s">
        <v>567</v>
      </c>
      <c r="C108" s="302" t="s">
        <v>1597</v>
      </c>
      <c r="D108" s="1" t="s">
        <v>1507</v>
      </c>
      <c r="E108" s="263" t="s">
        <v>1562</v>
      </c>
      <c r="F108" t="s">
        <v>1598</v>
      </c>
      <c r="G108" t="s">
        <v>1486</v>
      </c>
      <c r="H108" s="263"/>
    </row>
    <row r="109" spans="1:8" x14ac:dyDescent="0.25">
      <c r="A109" s="585"/>
      <c r="B109" s="265"/>
      <c r="C109" s="265"/>
      <c r="D109" s="320" t="s">
        <v>541</v>
      </c>
      <c r="E109" s="263" t="s">
        <v>1562</v>
      </c>
      <c r="F109" t="s">
        <v>1599</v>
      </c>
      <c r="G109" t="s">
        <v>1486</v>
      </c>
      <c r="H109" s="263"/>
    </row>
    <row r="110" spans="1:8" x14ac:dyDescent="0.25">
      <c r="A110" s="585"/>
      <c r="B110" s="265"/>
      <c r="C110" s="265"/>
      <c r="D110" s="320" t="s">
        <v>536</v>
      </c>
      <c r="E110" s="263" t="s">
        <v>1600</v>
      </c>
      <c r="F110" t="s">
        <v>1601</v>
      </c>
      <c r="G110" t="s">
        <v>1486</v>
      </c>
      <c r="H110" s="263"/>
    </row>
    <row r="111" spans="1:8" x14ac:dyDescent="0.25">
      <c r="A111" s="585"/>
      <c r="B111" s="265"/>
      <c r="C111" s="265"/>
      <c r="D111" s="320"/>
      <c r="E111" s="263"/>
      <c r="F111" t="s">
        <v>1602</v>
      </c>
      <c r="G111" t="s">
        <v>1486</v>
      </c>
      <c r="H111" s="263"/>
    </row>
    <row r="112" spans="1:8" x14ac:dyDescent="0.25">
      <c r="A112" s="585"/>
      <c r="B112" s="265"/>
      <c r="C112" s="265"/>
      <c r="D112" s="320"/>
      <c r="E112" s="263"/>
      <c r="F112" t="s">
        <v>1603</v>
      </c>
      <c r="G112" t="s">
        <v>1486</v>
      </c>
      <c r="H112" s="263"/>
    </row>
    <row r="113" spans="1:8" x14ac:dyDescent="0.25">
      <c r="A113" s="585"/>
      <c r="B113" s="265"/>
      <c r="C113" s="265"/>
      <c r="D113" s="320"/>
      <c r="E113" s="263"/>
      <c r="F113" t="s">
        <v>1604</v>
      </c>
      <c r="G113" t="s">
        <v>1486</v>
      </c>
      <c r="H113" s="263"/>
    </row>
    <row r="114" spans="1:8" x14ac:dyDescent="0.25">
      <c r="A114" s="585"/>
      <c r="B114" s="265"/>
      <c r="C114" s="265"/>
      <c r="D114" s="320"/>
      <c r="E114" s="263"/>
      <c r="H114" s="263"/>
    </row>
    <row r="115" spans="1:8" x14ac:dyDescent="0.25">
      <c r="A115" s="585"/>
      <c r="B115" s="265"/>
      <c r="C115" s="265"/>
      <c r="D115" s="320"/>
      <c r="E115" s="263"/>
      <c r="H115" s="263"/>
    </row>
    <row r="116" spans="1:8" x14ac:dyDescent="0.25">
      <c r="A116" s="585"/>
      <c r="B116" s="265"/>
      <c r="C116" s="265"/>
      <c r="D116" s="320"/>
      <c r="E116" s="263"/>
      <c r="H116" s="263"/>
    </row>
    <row r="117" spans="1:8" x14ac:dyDescent="0.25">
      <c r="A117" s="585"/>
      <c r="B117" s="265"/>
      <c r="C117" s="265"/>
      <c r="D117" s="320"/>
      <c r="E117" s="263"/>
      <c r="H117" s="263"/>
    </row>
    <row r="118" spans="1:8" x14ac:dyDescent="0.25">
      <c r="A118" s="585"/>
      <c r="B118" s="265"/>
      <c r="C118" s="265"/>
      <c r="D118" s="320"/>
      <c r="E118" s="263"/>
      <c r="H118" s="263"/>
    </row>
    <row r="119" spans="1:8" ht="15.75" thickBot="1" x14ac:dyDescent="0.3">
      <c r="A119" s="586"/>
      <c r="B119" s="268"/>
      <c r="C119" s="268"/>
      <c r="D119" s="238"/>
      <c r="E119" s="272"/>
      <c r="F119" s="271"/>
      <c r="G119" s="271"/>
      <c r="H119" s="272"/>
    </row>
    <row r="120" spans="1:8" ht="15.75" thickBot="1" x14ac:dyDescent="0.3">
      <c r="B120" s="297" t="s">
        <v>1550</v>
      </c>
      <c r="D120" s="323" t="s">
        <v>1473</v>
      </c>
      <c r="F120" s="252" t="s">
        <v>1474</v>
      </c>
    </row>
    <row r="121" spans="1:8" x14ac:dyDescent="0.25">
      <c r="A121" s="587" t="s">
        <v>1605</v>
      </c>
      <c r="B121" s="306" t="s">
        <v>470</v>
      </c>
      <c r="C121" s="307" t="s">
        <v>1606</v>
      </c>
      <c r="D121" s="322" t="s">
        <v>465</v>
      </c>
      <c r="E121" s="258" t="s">
        <v>1593</v>
      </c>
      <c r="F121" s="257" t="s">
        <v>1607</v>
      </c>
      <c r="G121" s="257" t="s">
        <v>1486</v>
      </c>
      <c r="H121" s="258"/>
    </row>
    <row r="122" spans="1:8" x14ac:dyDescent="0.25">
      <c r="A122" s="588"/>
      <c r="B122" s="313"/>
      <c r="C122" s="314"/>
      <c r="D122" s="320" t="s">
        <v>496</v>
      </c>
      <c r="E122" s="263" t="s">
        <v>1470</v>
      </c>
      <c r="F122" t="s">
        <v>1608</v>
      </c>
      <c r="G122" t="s">
        <v>1486</v>
      </c>
      <c r="H122" s="263"/>
    </row>
    <row r="123" spans="1:8" x14ac:dyDescent="0.25">
      <c r="A123" s="588"/>
      <c r="B123" s="313"/>
      <c r="C123" s="314"/>
      <c r="D123" s="320" t="s">
        <v>499</v>
      </c>
      <c r="E123" s="263" t="s">
        <v>1470</v>
      </c>
      <c r="H123" s="263"/>
    </row>
    <row r="124" spans="1:8" x14ac:dyDescent="0.25">
      <c r="A124" s="588"/>
      <c r="B124" s="313"/>
      <c r="C124" s="314"/>
      <c r="D124" s="320" t="s">
        <v>493</v>
      </c>
      <c r="E124" s="263" t="s">
        <v>1470</v>
      </c>
      <c r="H124" s="263"/>
    </row>
    <row r="125" spans="1:8" x14ac:dyDescent="0.25">
      <c r="A125" s="588"/>
      <c r="B125" s="313"/>
      <c r="C125" s="314"/>
      <c r="D125" s="320" t="s">
        <v>473</v>
      </c>
      <c r="E125" s="263" t="s">
        <v>1609</v>
      </c>
      <c r="H125" s="263"/>
    </row>
    <row r="126" spans="1:8" x14ac:dyDescent="0.25">
      <c r="A126" s="588"/>
      <c r="B126" s="313"/>
      <c r="C126" s="314"/>
      <c r="D126" s="320"/>
      <c r="E126" s="263"/>
      <c r="H126" s="263"/>
    </row>
    <row r="127" spans="1:8" x14ac:dyDescent="0.25">
      <c r="A127" s="588"/>
      <c r="B127" s="313"/>
      <c r="C127" s="314"/>
      <c r="D127" s="320"/>
      <c r="E127" s="263"/>
      <c r="H127" s="263"/>
    </row>
    <row r="128" spans="1:8" x14ac:dyDescent="0.25">
      <c r="A128" s="588"/>
      <c r="B128" s="313"/>
      <c r="C128" s="314"/>
      <c r="D128" s="320"/>
      <c r="E128" s="263"/>
      <c r="H128" s="263"/>
    </row>
    <row r="129" spans="1:8" x14ac:dyDescent="0.25">
      <c r="A129" s="588"/>
      <c r="B129" s="313"/>
      <c r="C129" s="314"/>
      <c r="D129" s="320"/>
      <c r="E129" s="263"/>
      <c r="H129" s="263"/>
    </row>
    <row r="130" spans="1:8" x14ac:dyDescent="0.25">
      <c r="A130" s="588"/>
      <c r="B130" s="313"/>
      <c r="C130" s="314"/>
      <c r="D130" s="320"/>
      <c r="E130" s="263"/>
      <c r="H130" s="263"/>
    </row>
    <row r="131" spans="1:8" x14ac:dyDescent="0.25">
      <c r="A131" s="588"/>
      <c r="B131" s="313"/>
      <c r="C131" s="314"/>
      <c r="D131" s="320"/>
      <c r="E131" s="263"/>
      <c r="H131" s="263"/>
    </row>
    <row r="132" spans="1:8" x14ac:dyDescent="0.25">
      <c r="A132" s="588"/>
      <c r="B132" s="313"/>
      <c r="C132" s="314"/>
      <c r="D132" s="320"/>
      <c r="E132" s="263"/>
      <c r="H132" s="263"/>
    </row>
    <row r="133" spans="1:8" x14ac:dyDescent="0.25">
      <c r="A133" s="588"/>
      <c r="B133" s="313"/>
      <c r="C133" s="314"/>
      <c r="D133" s="320"/>
      <c r="E133" s="263"/>
      <c r="H133" s="263"/>
    </row>
    <row r="134" spans="1:8" x14ac:dyDescent="0.25">
      <c r="A134" s="588"/>
      <c r="B134" s="313"/>
      <c r="C134" s="314"/>
      <c r="D134" s="320"/>
      <c r="E134" s="263"/>
      <c r="H134" s="263"/>
    </row>
    <row r="135" spans="1:8" ht="15.75" thickBot="1" x14ac:dyDescent="0.3">
      <c r="A135" s="589"/>
      <c r="B135" s="315"/>
      <c r="C135" s="316"/>
      <c r="D135" s="238"/>
      <c r="E135" s="272"/>
      <c r="F135" s="271"/>
      <c r="G135" s="271"/>
      <c r="H135" s="272"/>
    </row>
    <row r="136" spans="1:8" ht="15.75" thickBot="1" x14ac:dyDescent="0.3">
      <c r="B136" s="297" t="s">
        <v>1550</v>
      </c>
      <c r="D136" s="323" t="s">
        <v>1473</v>
      </c>
      <c r="F136" s="252" t="s">
        <v>1474</v>
      </c>
    </row>
    <row r="137" spans="1:8" x14ac:dyDescent="0.25">
      <c r="A137" s="578" t="s">
        <v>1610</v>
      </c>
      <c r="B137" s="324" t="s">
        <v>414</v>
      </c>
      <c r="C137" s="325" t="s">
        <v>1611</v>
      </c>
      <c r="D137" s="319" t="s">
        <v>460</v>
      </c>
      <c r="E137" s="257" t="s">
        <v>1470</v>
      </c>
      <c r="F137" s="301" t="s">
        <v>1612</v>
      </c>
      <c r="G137" s="257" t="s">
        <v>1613</v>
      </c>
      <c r="H137" s="258"/>
    </row>
    <row r="138" spans="1:8" x14ac:dyDescent="0.25">
      <c r="A138" s="579"/>
      <c r="B138" s="313"/>
      <c r="C138" s="314"/>
      <c r="D138" s="1" t="s">
        <v>392</v>
      </c>
      <c r="E138" t="s">
        <v>1470</v>
      </c>
      <c r="F138" s="288" t="s">
        <v>1614</v>
      </c>
      <c r="G138" t="s">
        <v>1613</v>
      </c>
      <c r="H138" s="263"/>
    </row>
    <row r="139" spans="1:8" x14ac:dyDescent="0.25">
      <c r="A139" s="579"/>
      <c r="B139" s="313"/>
      <c r="C139" s="314"/>
      <c r="D139" s="1" t="s">
        <v>400</v>
      </c>
      <c r="E139" t="s">
        <v>1470</v>
      </c>
      <c r="F139" s="288" t="s">
        <v>1615</v>
      </c>
      <c r="G139" t="s">
        <v>1613</v>
      </c>
      <c r="H139" s="263"/>
    </row>
    <row r="140" spans="1:8" x14ac:dyDescent="0.25">
      <c r="A140" s="579"/>
      <c r="B140" s="313"/>
      <c r="C140" s="314"/>
      <c r="D140" s="1" t="s">
        <v>429</v>
      </c>
      <c r="E140" t="s">
        <v>1470</v>
      </c>
      <c r="F140" s="288" t="s">
        <v>1616</v>
      </c>
      <c r="G140" t="s">
        <v>1613</v>
      </c>
      <c r="H140" s="263"/>
    </row>
    <row r="141" spans="1:8" x14ac:dyDescent="0.25">
      <c r="A141" s="579"/>
      <c r="B141" s="313"/>
      <c r="C141" s="314"/>
      <c r="D141" s="1" t="s">
        <v>439</v>
      </c>
      <c r="E141" t="s">
        <v>1470</v>
      </c>
      <c r="F141" s="288" t="s">
        <v>1617</v>
      </c>
      <c r="G141" t="s">
        <v>1613</v>
      </c>
      <c r="H141" s="263"/>
    </row>
    <row r="142" spans="1:8" x14ac:dyDescent="0.25">
      <c r="A142" s="579"/>
      <c r="B142" s="313"/>
      <c r="C142" s="314"/>
      <c r="D142" s="1" t="s">
        <v>452</v>
      </c>
      <c r="E142" t="s">
        <v>1618</v>
      </c>
      <c r="F142" s="288" t="s">
        <v>1619</v>
      </c>
      <c r="G142" t="s">
        <v>1613</v>
      </c>
      <c r="H142" s="263"/>
    </row>
    <row r="143" spans="1:8" x14ac:dyDescent="0.25">
      <c r="A143" s="579"/>
      <c r="B143" s="313"/>
      <c r="C143" s="314"/>
      <c r="D143" s="1" t="s">
        <v>398</v>
      </c>
      <c r="E143" t="s">
        <v>1620</v>
      </c>
      <c r="F143" s="288" t="s">
        <v>1621</v>
      </c>
      <c r="G143" t="s">
        <v>1613</v>
      </c>
      <c r="H143" s="263"/>
    </row>
    <row r="144" spans="1:8" x14ac:dyDescent="0.25">
      <c r="A144" s="579"/>
      <c r="B144" s="313"/>
      <c r="C144" s="314"/>
      <c r="D144" s="1" t="s">
        <v>295</v>
      </c>
      <c r="E144" t="s">
        <v>1622</v>
      </c>
      <c r="F144" s="288" t="s">
        <v>1623</v>
      </c>
      <c r="G144" t="s">
        <v>1613</v>
      </c>
      <c r="H144" s="263"/>
    </row>
    <row r="145" spans="1:8" x14ac:dyDescent="0.25">
      <c r="A145" s="579"/>
      <c r="B145" s="313"/>
      <c r="C145" s="314"/>
      <c r="F145" s="288" t="s">
        <v>1624</v>
      </c>
      <c r="G145" t="s">
        <v>1613</v>
      </c>
      <c r="H145" s="263"/>
    </row>
    <row r="146" spans="1:8" x14ac:dyDescent="0.25">
      <c r="A146" s="579"/>
      <c r="B146" s="313"/>
      <c r="C146" s="314"/>
      <c r="F146" s="288" t="s">
        <v>1625</v>
      </c>
      <c r="G146" t="s">
        <v>1613</v>
      </c>
      <c r="H146" s="263"/>
    </row>
    <row r="147" spans="1:8" x14ac:dyDescent="0.25">
      <c r="A147" s="579"/>
      <c r="B147" s="313"/>
      <c r="C147" s="314"/>
      <c r="F147" s="288" t="s">
        <v>1626</v>
      </c>
      <c r="G147" t="s">
        <v>1613</v>
      </c>
      <c r="H147" s="263"/>
    </row>
    <row r="148" spans="1:8" x14ac:dyDescent="0.25">
      <c r="A148" s="579"/>
      <c r="B148" s="313"/>
      <c r="C148" s="314"/>
      <c r="F148" s="288" t="s">
        <v>1627</v>
      </c>
      <c r="G148" t="s">
        <v>1613</v>
      </c>
      <c r="H148" s="263"/>
    </row>
    <row r="149" spans="1:8" x14ac:dyDescent="0.25">
      <c r="A149" s="579"/>
      <c r="B149" s="313"/>
      <c r="C149" s="314"/>
      <c r="F149" s="288" t="s">
        <v>1628</v>
      </c>
      <c r="G149" t="s">
        <v>1613</v>
      </c>
      <c r="H149" s="263"/>
    </row>
    <row r="150" spans="1:8" x14ac:dyDescent="0.25">
      <c r="A150" s="579"/>
      <c r="B150" s="313"/>
      <c r="C150" s="314"/>
      <c r="F150" s="288"/>
      <c r="H150" s="263"/>
    </row>
    <row r="151" spans="1:8" ht="15.75" thickBot="1" x14ac:dyDescent="0.3">
      <c r="A151" s="580"/>
      <c r="B151" s="315"/>
      <c r="C151" s="316"/>
      <c r="D151" s="203"/>
      <c r="E151" s="271"/>
      <c r="F151" s="296"/>
      <c r="G151" s="271"/>
      <c r="H151" s="272"/>
    </row>
    <row r="152" spans="1:8" ht="15.75" thickBot="1" x14ac:dyDescent="0.3">
      <c r="B152" s="297" t="s">
        <v>1550</v>
      </c>
      <c r="D152" s="323" t="s">
        <v>1473</v>
      </c>
      <c r="F152" s="252" t="s">
        <v>1474</v>
      </c>
    </row>
    <row r="153" spans="1:8" x14ac:dyDescent="0.25">
      <c r="A153" s="578" t="s">
        <v>1629</v>
      </c>
      <c r="B153" s="324"/>
      <c r="C153" s="325"/>
      <c r="D153" s="322" t="s">
        <v>283</v>
      </c>
      <c r="E153" s="258" t="s">
        <v>1630</v>
      </c>
      <c r="F153" s="257" t="s">
        <v>1631</v>
      </c>
      <c r="G153" s="257" t="s">
        <v>1486</v>
      </c>
      <c r="H153" s="258"/>
    </row>
    <row r="154" spans="1:8" x14ac:dyDescent="0.25">
      <c r="A154" s="579"/>
      <c r="B154" s="313"/>
      <c r="C154" s="314"/>
      <c r="D154" s="320" t="s">
        <v>297</v>
      </c>
      <c r="E154" s="263" t="s">
        <v>1632</v>
      </c>
      <c r="F154" t="s">
        <v>1633</v>
      </c>
      <c r="G154" t="s">
        <v>1634</v>
      </c>
      <c r="H154" s="263"/>
    </row>
    <row r="155" spans="1:8" x14ac:dyDescent="0.25">
      <c r="A155" s="579"/>
      <c r="B155" s="313"/>
      <c r="C155" s="314"/>
      <c r="D155" s="320" t="s">
        <v>362</v>
      </c>
      <c r="E155" s="263" t="s">
        <v>1635</v>
      </c>
      <c r="F155" t="s">
        <v>1636</v>
      </c>
      <c r="G155" t="s">
        <v>1486</v>
      </c>
      <c r="H155" s="263"/>
    </row>
    <row r="156" spans="1:8" x14ac:dyDescent="0.25">
      <c r="A156" s="579"/>
      <c r="B156" s="313"/>
      <c r="C156" s="314"/>
      <c r="D156" s="320" t="s">
        <v>375</v>
      </c>
      <c r="E156" s="263" t="s">
        <v>1637</v>
      </c>
      <c r="F156" t="s">
        <v>1638</v>
      </c>
      <c r="G156" t="s">
        <v>1486</v>
      </c>
      <c r="H156" s="263"/>
    </row>
    <row r="157" spans="1:8" x14ac:dyDescent="0.25">
      <c r="A157" s="579"/>
      <c r="B157" s="313"/>
      <c r="C157" s="314"/>
      <c r="D157" s="320" t="s">
        <v>1547</v>
      </c>
      <c r="E157" s="263" t="s">
        <v>1639</v>
      </c>
      <c r="F157" t="s">
        <v>1640</v>
      </c>
      <c r="G157" t="s">
        <v>1486</v>
      </c>
      <c r="H157" s="263"/>
    </row>
    <row r="158" spans="1:8" x14ac:dyDescent="0.25">
      <c r="A158" s="579"/>
      <c r="B158" s="313"/>
      <c r="C158" s="314"/>
      <c r="D158" s="320" t="s">
        <v>373</v>
      </c>
      <c r="E158" s="263" t="s">
        <v>1641</v>
      </c>
      <c r="F158" t="s">
        <v>1642</v>
      </c>
      <c r="G158" t="s">
        <v>1486</v>
      </c>
      <c r="H158" s="263"/>
    </row>
    <row r="159" spans="1:8" x14ac:dyDescent="0.25">
      <c r="A159" s="579"/>
      <c r="B159" s="313"/>
      <c r="C159" s="314"/>
      <c r="D159" s="320" t="s">
        <v>380</v>
      </c>
      <c r="E159" s="263" t="s">
        <v>1639</v>
      </c>
      <c r="F159" t="s">
        <v>1643</v>
      </c>
      <c r="G159" t="s">
        <v>1486</v>
      </c>
      <c r="H159" s="263"/>
    </row>
    <row r="160" spans="1:8" x14ac:dyDescent="0.25">
      <c r="A160" s="579"/>
      <c r="B160" s="313"/>
      <c r="C160" s="314"/>
      <c r="D160" s="320" t="s">
        <v>1549</v>
      </c>
      <c r="E160" s="263" t="s">
        <v>1639</v>
      </c>
      <c r="H160" s="263"/>
    </row>
    <row r="161" spans="1:8" x14ac:dyDescent="0.25">
      <c r="A161" s="579"/>
      <c r="B161" s="313"/>
      <c r="C161" s="314"/>
      <c r="D161" s="320" t="s">
        <v>294</v>
      </c>
      <c r="E161" s="263" t="s">
        <v>1644</v>
      </c>
      <c r="H161" s="263"/>
    </row>
    <row r="162" spans="1:8" x14ac:dyDescent="0.25">
      <c r="A162" s="579"/>
      <c r="B162" s="313"/>
      <c r="C162" s="314"/>
      <c r="D162" s="320"/>
      <c r="E162" s="263"/>
      <c r="H162" s="263"/>
    </row>
    <row r="163" spans="1:8" x14ac:dyDescent="0.25">
      <c r="A163" s="579"/>
      <c r="B163" s="313"/>
      <c r="C163" s="314"/>
      <c r="D163" s="320"/>
      <c r="E163" s="263"/>
      <c r="H163" s="263"/>
    </row>
    <row r="164" spans="1:8" x14ac:dyDescent="0.25">
      <c r="A164" s="579"/>
      <c r="B164" s="313"/>
      <c r="C164" s="314"/>
      <c r="D164" s="320"/>
      <c r="E164" s="263"/>
      <c r="H164" s="263"/>
    </row>
    <row r="165" spans="1:8" x14ac:dyDescent="0.25">
      <c r="A165" s="579"/>
      <c r="B165" s="313"/>
      <c r="C165" s="314"/>
      <c r="D165" s="320"/>
      <c r="E165" s="263"/>
      <c r="H165" s="263"/>
    </row>
    <row r="166" spans="1:8" x14ac:dyDescent="0.25">
      <c r="A166" s="579"/>
      <c r="B166" s="313"/>
      <c r="C166" s="314"/>
      <c r="D166" s="320"/>
      <c r="E166" s="263"/>
      <c r="H166" s="263"/>
    </row>
    <row r="167" spans="1:8" ht="15.75" thickBot="1" x14ac:dyDescent="0.3">
      <c r="A167" s="580"/>
      <c r="B167" s="315"/>
      <c r="C167" s="316"/>
      <c r="D167" s="238"/>
      <c r="E167" s="272"/>
      <c r="F167" s="271"/>
      <c r="G167" s="271"/>
      <c r="H167" s="272"/>
    </row>
    <row r="168" spans="1:8" ht="15.75" thickBot="1" x14ac:dyDescent="0.3">
      <c r="B168" s="297" t="s">
        <v>1550</v>
      </c>
      <c r="D168" s="323" t="s">
        <v>1473</v>
      </c>
      <c r="F168" s="252" t="s">
        <v>1474</v>
      </c>
    </row>
    <row r="169" spans="1:8" x14ac:dyDescent="0.25">
      <c r="A169" s="578" t="s">
        <v>1645</v>
      </c>
      <c r="B169" s="324" t="s">
        <v>123</v>
      </c>
      <c r="C169" s="321" t="s">
        <v>1646</v>
      </c>
      <c r="D169" s="322"/>
      <c r="E169" s="258"/>
      <c r="F169" s="257" t="s">
        <v>1647</v>
      </c>
      <c r="G169" s="257" t="s">
        <v>1486</v>
      </c>
      <c r="H169" s="258"/>
    </row>
    <row r="170" spans="1:8" x14ac:dyDescent="0.25">
      <c r="A170" s="579"/>
      <c r="B170" s="313"/>
      <c r="C170" s="265"/>
      <c r="D170" s="320"/>
      <c r="E170" s="263"/>
      <c r="F170" t="s">
        <v>1447</v>
      </c>
      <c r="G170" t="s">
        <v>1486</v>
      </c>
      <c r="H170" s="263"/>
    </row>
    <row r="171" spans="1:8" x14ac:dyDescent="0.25">
      <c r="A171" s="579"/>
      <c r="B171" s="313"/>
      <c r="C171" s="265"/>
      <c r="D171" s="320"/>
      <c r="E171" s="263"/>
      <c r="F171" t="s">
        <v>1456</v>
      </c>
      <c r="G171" t="s">
        <v>1486</v>
      </c>
      <c r="H171" s="263"/>
    </row>
    <row r="172" spans="1:8" x14ac:dyDescent="0.25">
      <c r="A172" s="579"/>
      <c r="B172" s="313"/>
      <c r="C172" s="265"/>
      <c r="D172" s="320"/>
      <c r="E172" s="263"/>
      <c r="H172" s="263"/>
    </row>
    <row r="173" spans="1:8" x14ac:dyDescent="0.25">
      <c r="A173" s="579"/>
      <c r="B173" s="313"/>
      <c r="C173" s="265"/>
      <c r="D173" s="320"/>
      <c r="E173" s="263"/>
      <c r="H173" s="263"/>
    </row>
    <row r="174" spans="1:8" x14ac:dyDescent="0.25">
      <c r="A174" s="579"/>
      <c r="B174" s="313"/>
      <c r="C174" s="265"/>
      <c r="D174" s="320"/>
      <c r="E174" s="263"/>
      <c r="H174" s="263"/>
    </row>
    <row r="175" spans="1:8" x14ac:dyDescent="0.25">
      <c r="A175" s="579"/>
      <c r="B175" s="313"/>
      <c r="C175" s="265"/>
      <c r="D175" s="320"/>
      <c r="E175" s="263"/>
      <c r="H175" s="263"/>
    </row>
    <row r="176" spans="1:8" x14ac:dyDescent="0.25">
      <c r="A176" s="579"/>
      <c r="B176" s="313"/>
      <c r="C176" s="265"/>
      <c r="D176" s="320"/>
      <c r="E176" s="263"/>
      <c r="H176" s="263"/>
    </row>
    <row r="177" spans="1:8" x14ac:dyDescent="0.25">
      <c r="A177" s="579"/>
      <c r="B177" s="313"/>
      <c r="C177" s="265"/>
      <c r="D177" s="320"/>
      <c r="E177" s="263"/>
      <c r="H177" s="263"/>
    </row>
    <row r="178" spans="1:8" x14ac:dyDescent="0.25">
      <c r="A178" s="579"/>
      <c r="B178" s="313"/>
      <c r="C178" s="265"/>
      <c r="D178" s="320"/>
      <c r="E178" s="263"/>
      <c r="H178" s="263"/>
    </row>
    <row r="179" spans="1:8" x14ac:dyDescent="0.25">
      <c r="A179" s="579"/>
      <c r="B179" s="313"/>
      <c r="C179" s="265"/>
      <c r="D179" s="320"/>
      <c r="E179" s="263"/>
      <c r="H179" s="263"/>
    </row>
    <row r="180" spans="1:8" x14ac:dyDescent="0.25">
      <c r="A180" s="579"/>
      <c r="B180" s="313"/>
      <c r="C180" s="265"/>
      <c r="D180" s="320"/>
      <c r="E180" s="263"/>
      <c r="H180" s="263"/>
    </row>
    <row r="181" spans="1:8" x14ac:dyDescent="0.25">
      <c r="A181" s="579"/>
      <c r="B181" s="313"/>
      <c r="C181" s="265"/>
      <c r="D181" s="320"/>
      <c r="E181" s="263"/>
      <c r="H181" s="263"/>
    </row>
    <row r="182" spans="1:8" x14ac:dyDescent="0.25">
      <c r="A182" s="579"/>
      <c r="B182" s="313"/>
      <c r="C182" s="265"/>
      <c r="D182" s="320"/>
      <c r="E182" s="263"/>
      <c r="H182" s="263"/>
    </row>
    <row r="183" spans="1:8" ht="15.75" thickBot="1" x14ac:dyDescent="0.3">
      <c r="A183" s="580"/>
      <c r="B183" s="315"/>
      <c r="C183" s="268"/>
      <c r="D183" s="238"/>
      <c r="E183" s="272"/>
      <c r="F183" s="271"/>
      <c r="G183" s="271"/>
      <c r="H183" s="272"/>
    </row>
    <row r="184" spans="1:8" ht="15.75" thickBot="1" x14ac:dyDescent="0.3">
      <c r="B184" s="297" t="s">
        <v>1550</v>
      </c>
      <c r="D184" s="323" t="s">
        <v>1473</v>
      </c>
      <c r="F184" s="252" t="s">
        <v>1474</v>
      </c>
    </row>
    <row r="185" spans="1:8" x14ac:dyDescent="0.25">
      <c r="A185" s="578" t="s">
        <v>1648</v>
      </c>
      <c r="B185" s="321" t="s">
        <v>172</v>
      </c>
      <c r="C185" s="321" t="s">
        <v>1649</v>
      </c>
      <c r="D185" s="322"/>
      <c r="E185" s="258"/>
      <c r="F185" s="257"/>
      <c r="G185" s="257"/>
      <c r="H185" s="258"/>
    </row>
    <row r="186" spans="1:8" x14ac:dyDescent="0.25">
      <c r="A186" s="579"/>
      <c r="B186" s="313"/>
      <c r="C186" s="314"/>
      <c r="D186" s="320"/>
      <c r="E186" s="263"/>
      <c r="H186" s="263"/>
    </row>
    <row r="187" spans="1:8" x14ac:dyDescent="0.25">
      <c r="A187" s="579"/>
      <c r="B187" s="313"/>
      <c r="C187" s="314"/>
      <c r="D187" s="320"/>
      <c r="E187" s="263"/>
      <c r="H187" s="263"/>
    </row>
    <row r="188" spans="1:8" x14ac:dyDescent="0.25">
      <c r="A188" s="579"/>
      <c r="B188" s="313"/>
      <c r="C188" s="314"/>
      <c r="D188" s="320"/>
      <c r="E188" s="263"/>
      <c r="H188" s="263"/>
    </row>
    <row r="189" spans="1:8" x14ac:dyDescent="0.25">
      <c r="A189" s="579"/>
      <c r="B189" s="313"/>
      <c r="C189" s="314"/>
      <c r="D189" s="320"/>
      <c r="E189" s="263"/>
      <c r="H189" s="263"/>
    </row>
    <row r="190" spans="1:8" x14ac:dyDescent="0.25">
      <c r="A190" s="579"/>
      <c r="B190" s="313"/>
      <c r="C190" s="314"/>
      <c r="D190" s="320"/>
      <c r="E190" s="263"/>
      <c r="H190" s="263"/>
    </row>
    <row r="191" spans="1:8" x14ac:dyDescent="0.25">
      <c r="A191" s="579"/>
      <c r="B191" s="313"/>
      <c r="C191" s="314"/>
      <c r="D191" s="320"/>
      <c r="E191" s="263"/>
      <c r="H191" s="263"/>
    </row>
    <row r="192" spans="1:8" x14ac:dyDescent="0.25">
      <c r="A192" s="579"/>
      <c r="B192" s="313"/>
      <c r="C192" s="314"/>
      <c r="D192" s="320"/>
      <c r="E192" s="263"/>
      <c r="H192" s="263"/>
    </row>
    <row r="193" spans="1:11" x14ac:dyDescent="0.25">
      <c r="A193" s="579"/>
      <c r="B193" s="313"/>
      <c r="C193" s="314"/>
      <c r="D193" s="320"/>
      <c r="E193" s="263"/>
      <c r="H193" s="263"/>
    </row>
    <row r="194" spans="1:11" x14ac:dyDescent="0.25">
      <c r="A194" s="579"/>
      <c r="B194" s="313"/>
      <c r="C194" s="314"/>
      <c r="D194" s="320"/>
      <c r="E194" s="263"/>
      <c r="H194" s="263"/>
    </row>
    <row r="195" spans="1:11" x14ac:dyDescent="0.25">
      <c r="A195" s="579"/>
      <c r="B195" s="313"/>
      <c r="C195" s="314"/>
      <c r="D195" s="320"/>
      <c r="E195" s="263"/>
      <c r="H195" s="263"/>
    </row>
    <row r="196" spans="1:11" x14ac:dyDescent="0.25">
      <c r="A196" s="579"/>
      <c r="B196" s="313"/>
      <c r="C196" s="314"/>
      <c r="D196" s="320"/>
      <c r="E196" s="263"/>
      <c r="H196" s="263"/>
      <c r="K196" s="193"/>
    </row>
    <row r="197" spans="1:11" x14ac:dyDescent="0.25">
      <c r="A197" s="579"/>
      <c r="B197" s="313"/>
      <c r="C197" s="314"/>
      <c r="D197" s="320"/>
      <c r="E197" s="263"/>
      <c r="H197" s="263"/>
      <c r="K197" s="193"/>
    </row>
    <row r="198" spans="1:11" x14ac:dyDescent="0.25">
      <c r="A198" s="579"/>
      <c r="B198" s="313"/>
      <c r="C198" s="314"/>
      <c r="D198" s="320"/>
      <c r="E198" s="263"/>
      <c r="H198" s="263"/>
      <c r="K198" s="193"/>
    </row>
    <row r="199" spans="1:11" ht="15.75" thickBot="1" x14ac:dyDescent="0.3">
      <c r="A199" s="580"/>
      <c r="B199" s="315"/>
      <c r="C199" s="316"/>
      <c r="D199" s="238"/>
      <c r="E199" s="272"/>
      <c r="F199" s="271"/>
      <c r="G199" s="271"/>
      <c r="H199" s="272"/>
      <c r="K199" s="193"/>
    </row>
    <row r="200" spans="1:11" x14ac:dyDescent="0.25">
      <c r="K200" s="193"/>
    </row>
    <row r="201" spans="1:11" x14ac:dyDescent="0.25">
      <c r="K201" s="193"/>
    </row>
    <row r="202" spans="1:11" x14ac:dyDescent="0.25">
      <c r="K202" s="193"/>
    </row>
    <row r="203" spans="1:11" x14ac:dyDescent="0.25">
      <c r="K203" s="193"/>
    </row>
    <row r="204" spans="1:11" x14ac:dyDescent="0.25">
      <c r="K204" s="193"/>
    </row>
    <row r="205" spans="1:11" x14ac:dyDescent="0.25">
      <c r="K205" s="193"/>
    </row>
    <row r="206" spans="1:11" x14ac:dyDescent="0.25">
      <c r="K206" s="193"/>
    </row>
    <row r="207" spans="1:11" x14ac:dyDescent="0.25">
      <c r="K207" s="193"/>
    </row>
    <row r="208" spans="1:11" ht="15.75" thickBot="1" x14ac:dyDescent="0.3"/>
    <row r="209" spans="3:4" x14ac:dyDescent="0.25">
      <c r="C209" s="253" t="s">
        <v>1121</v>
      </c>
      <c r="D209" s="254" t="s">
        <v>1476</v>
      </c>
    </row>
    <row r="210" spans="3:4" x14ac:dyDescent="0.25">
      <c r="C210" s="259" t="s">
        <v>1155</v>
      </c>
      <c r="D210" s="260" t="s">
        <v>1479</v>
      </c>
    </row>
    <row r="211" spans="3:4" ht="15.75" thickBot="1" x14ac:dyDescent="0.3">
      <c r="C211" s="259" t="s">
        <v>1480</v>
      </c>
      <c r="D211" s="260" t="s">
        <v>1481</v>
      </c>
    </row>
    <row r="212" spans="3:4" x14ac:dyDescent="0.25">
      <c r="C212" s="299" t="s">
        <v>930</v>
      </c>
      <c r="D212" s="254" t="s">
        <v>1505</v>
      </c>
    </row>
    <row r="213" spans="3:4" x14ac:dyDescent="0.25">
      <c r="C213" s="302" t="s">
        <v>1039</v>
      </c>
      <c r="D213" s="260" t="s">
        <v>1544</v>
      </c>
    </row>
    <row r="214" spans="3:4" x14ac:dyDescent="0.25">
      <c r="C214" s="302" t="s">
        <v>1545</v>
      </c>
      <c r="D214" s="260" t="s">
        <v>1544</v>
      </c>
    </row>
    <row r="215" spans="3:4" x14ac:dyDescent="0.25">
      <c r="C215" s="302" t="s">
        <v>1051</v>
      </c>
      <c r="D215" s="260" t="s">
        <v>1546</v>
      </c>
    </row>
    <row r="216" spans="3:4" ht="15.75" thickBot="1" x14ac:dyDescent="0.3">
      <c r="C216" s="303" t="s">
        <v>1548</v>
      </c>
      <c r="D216" s="304" t="s">
        <v>1546</v>
      </c>
    </row>
  </sheetData>
  <mergeCells count="14">
    <mergeCell ref="A185:A199"/>
    <mergeCell ref="C7:C8"/>
    <mergeCell ref="A94:A105"/>
    <mergeCell ref="A107:A119"/>
    <mergeCell ref="A121:A135"/>
    <mergeCell ref="A137:A151"/>
    <mergeCell ref="A153:A167"/>
    <mergeCell ref="A169:A183"/>
    <mergeCell ref="A3:A10"/>
    <mergeCell ref="A12:A27"/>
    <mergeCell ref="A29:A50"/>
    <mergeCell ref="A52:A60"/>
    <mergeCell ref="A62:A79"/>
    <mergeCell ref="A81:A92"/>
  </mergeCells>
  <conditionalFormatting sqref="N1:N65536 D1:D208 D217:D65536">
    <cfRule type="expression" dxfId="882" priority="2" stopIfTrue="1">
      <formula>AND(COUNTIF($N:$N, D1)+COUNTIF($D:$D, D1)&gt;1,NOT(ISBLANK(D1)))</formula>
    </cfRule>
  </conditionalFormatting>
  <conditionalFormatting sqref="K196:K207">
    <cfRule type="expression" dxfId="881" priority="1" stopIfTrue="1">
      <formula>AND(COUNTIF($N:$N, K196)+COUNTIF($D:$D, K196)&gt;1,NOT(ISBLANK(K196)))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E134"/>
  <sheetViews>
    <sheetView workbookViewId="0">
      <selection activeCell="B74" sqref="B74"/>
    </sheetView>
  </sheetViews>
  <sheetFormatPr defaultRowHeight="15.75" x14ac:dyDescent="0.25"/>
  <cols>
    <col min="1" max="1" width="30.42578125" style="379" customWidth="1"/>
    <col min="2" max="2" width="17.42578125" customWidth="1"/>
    <col min="5" max="5" width="20.7109375" style="1" customWidth="1"/>
  </cols>
  <sheetData>
    <row r="1" spans="1:5" ht="16.5" thickBot="1" x14ac:dyDescent="0.3">
      <c r="A1" s="375" t="s">
        <v>1651</v>
      </c>
      <c r="E1" s="358" t="s">
        <v>1849</v>
      </c>
    </row>
    <row r="2" spans="1:5" ht="16.5" thickBot="1" x14ac:dyDescent="0.3">
      <c r="A2" s="376" t="s">
        <v>1341</v>
      </c>
      <c r="E2" s="346" t="s">
        <v>1847</v>
      </c>
    </row>
    <row r="3" spans="1:5" ht="16.5" thickBot="1" x14ac:dyDescent="0.3">
      <c r="A3" s="376" t="s">
        <v>1342</v>
      </c>
      <c r="E3" s="18" t="s">
        <v>1850</v>
      </c>
    </row>
    <row r="4" spans="1:5" ht="16.5" thickBot="1" x14ac:dyDescent="0.3">
      <c r="A4" s="376" t="s">
        <v>1720</v>
      </c>
      <c r="E4" s="346" t="s">
        <v>1846</v>
      </c>
    </row>
    <row r="5" spans="1:5" ht="16.5" thickBot="1" x14ac:dyDescent="0.3">
      <c r="A5" s="376" t="s">
        <v>1721</v>
      </c>
      <c r="E5" s="18" t="s">
        <v>1843</v>
      </c>
    </row>
    <row r="6" spans="1:5" ht="16.5" thickBot="1" x14ac:dyDescent="0.3">
      <c r="A6" s="376" t="s">
        <v>1345</v>
      </c>
      <c r="E6" s="1" t="s">
        <v>1842</v>
      </c>
    </row>
    <row r="7" spans="1:5" ht="16.5" thickBot="1" x14ac:dyDescent="0.3">
      <c r="A7" s="376" t="s">
        <v>1354</v>
      </c>
      <c r="E7" s="363" t="s">
        <v>1840</v>
      </c>
    </row>
    <row r="8" spans="1:5" ht="16.5" thickBot="1" x14ac:dyDescent="0.3">
      <c r="A8" s="376" t="s">
        <v>1353</v>
      </c>
      <c r="E8" s="18" t="s">
        <v>1837</v>
      </c>
    </row>
    <row r="9" spans="1:5" ht="16.5" thickBot="1" x14ac:dyDescent="0.3">
      <c r="A9" s="376" t="s">
        <v>1351</v>
      </c>
      <c r="E9" s="18" t="s">
        <v>1835</v>
      </c>
    </row>
    <row r="10" spans="1:5" ht="16.5" thickBot="1" x14ac:dyDescent="0.3">
      <c r="A10" s="376" t="s">
        <v>1349</v>
      </c>
      <c r="E10" s="18" t="s">
        <v>1835</v>
      </c>
    </row>
    <row r="11" spans="1:5" ht="16.5" thickBot="1" x14ac:dyDescent="0.3">
      <c r="A11" s="376" t="s">
        <v>1347</v>
      </c>
      <c r="E11" s="18" t="s">
        <v>1835</v>
      </c>
    </row>
    <row r="12" spans="1:5" ht="16.5" thickBot="1" x14ac:dyDescent="0.3">
      <c r="A12" s="376" t="s">
        <v>1359</v>
      </c>
      <c r="E12" s="18" t="s">
        <v>1835</v>
      </c>
    </row>
    <row r="13" spans="1:5" ht="16.5" thickBot="1" x14ac:dyDescent="0.3">
      <c r="A13" s="376" t="s">
        <v>1358</v>
      </c>
      <c r="E13" s="18" t="s">
        <v>1835</v>
      </c>
    </row>
    <row r="14" spans="1:5" ht="16.5" thickBot="1" x14ac:dyDescent="0.3">
      <c r="A14" s="376" t="s">
        <v>1356</v>
      </c>
      <c r="E14" s="18" t="s">
        <v>1838</v>
      </c>
    </row>
    <row r="15" spans="1:5" ht="16.5" thickBot="1" x14ac:dyDescent="0.3">
      <c r="A15" s="376" t="s">
        <v>1850</v>
      </c>
      <c r="E15" s="346" t="s">
        <v>1817</v>
      </c>
    </row>
    <row r="16" spans="1:5" ht="16.5" thickBot="1" x14ac:dyDescent="0.3">
      <c r="A16" s="376" t="s">
        <v>1851</v>
      </c>
      <c r="E16" s="18" t="s">
        <v>1815</v>
      </c>
    </row>
    <row r="17" spans="1:5" ht="16.5" thickBot="1" x14ac:dyDescent="0.3">
      <c r="A17" s="376" t="s">
        <v>1362</v>
      </c>
      <c r="E17" s="18" t="s">
        <v>1812</v>
      </c>
    </row>
    <row r="18" spans="1:5" ht="16.5" thickBot="1" x14ac:dyDescent="0.3">
      <c r="A18" s="376" t="s">
        <v>1363</v>
      </c>
      <c r="E18" s="18" t="s">
        <v>1808</v>
      </c>
    </row>
    <row r="19" spans="1:5" ht="16.5" thickBot="1" x14ac:dyDescent="0.3">
      <c r="A19" s="376" t="s">
        <v>1364</v>
      </c>
      <c r="E19" s="18" t="s">
        <v>1806</v>
      </c>
    </row>
    <row r="20" spans="1:5" ht="16.5" thickBot="1" x14ac:dyDescent="0.3">
      <c r="A20" s="376" t="s">
        <v>1370</v>
      </c>
      <c r="E20" s="346" t="s">
        <v>1804</v>
      </c>
    </row>
    <row r="21" spans="1:5" ht="16.5" thickBot="1" x14ac:dyDescent="0.3">
      <c r="A21" s="376" t="s">
        <v>1368</v>
      </c>
      <c r="E21" s="18" t="s">
        <v>1802</v>
      </c>
    </row>
    <row r="22" spans="1:5" ht="16.5" thickBot="1" x14ac:dyDescent="0.3">
      <c r="A22" s="376" t="s">
        <v>1367</v>
      </c>
      <c r="E22" s="18" t="s">
        <v>1798</v>
      </c>
    </row>
    <row r="23" spans="1:5" ht="16.5" thickBot="1" x14ac:dyDescent="0.3">
      <c r="A23" s="376" t="s">
        <v>1366</v>
      </c>
      <c r="E23" s="18" t="s">
        <v>1796</v>
      </c>
    </row>
    <row r="24" spans="1:5" ht="16.5" thickBot="1" x14ac:dyDescent="0.3">
      <c r="A24" s="376" t="s">
        <v>1365</v>
      </c>
      <c r="E24" s="18" t="s">
        <v>1793</v>
      </c>
    </row>
    <row r="25" spans="1:5" ht="16.5" thickBot="1" x14ac:dyDescent="0.3">
      <c r="A25" s="376" t="s">
        <v>1378</v>
      </c>
      <c r="E25" s="346" t="s">
        <v>1792</v>
      </c>
    </row>
    <row r="26" spans="1:5" ht="16.5" thickBot="1" x14ac:dyDescent="0.3">
      <c r="A26" s="376" t="s">
        <v>1376</v>
      </c>
      <c r="E26" s="18" t="s">
        <v>1790</v>
      </c>
    </row>
    <row r="27" spans="1:5" ht="16.5" thickBot="1" x14ac:dyDescent="0.3">
      <c r="A27" s="376" t="s">
        <v>1374</v>
      </c>
      <c r="E27" s="18" t="s">
        <v>1788</v>
      </c>
    </row>
    <row r="28" spans="1:5" ht="16.5" thickBot="1" x14ac:dyDescent="0.3">
      <c r="A28" s="376" t="s">
        <v>1372</v>
      </c>
      <c r="E28" s="346" t="s">
        <v>1786</v>
      </c>
    </row>
    <row r="29" spans="1:5" ht="16.5" thickBot="1" x14ac:dyDescent="0.3">
      <c r="A29" s="376" t="s">
        <v>1380</v>
      </c>
      <c r="E29" s="18" t="s">
        <v>1783</v>
      </c>
    </row>
    <row r="30" spans="1:5" ht="16.5" thickBot="1" x14ac:dyDescent="0.3">
      <c r="A30" s="376" t="s">
        <v>1381</v>
      </c>
      <c r="E30" s="18" t="s">
        <v>1781</v>
      </c>
    </row>
    <row r="31" spans="1:5" ht="16.5" thickBot="1" x14ac:dyDescent="0.3">
      <c r="A31" s="376" t="s">
        <v>1852</v>
      </c>
      <c r="E31" s="18" t="s">
        <v>1778</v>
      </c>
    </row>
    <row r="32" spans="1:5" ht="16.5" thickBot="1" x14ac:dyDescent="0.3">
      <c r="A32" s="376" t="s">
        <v>1384</v>
      </c>
      <c r="E32" s="18" t="s">
        <v>1777</v>
      </c>
    </row>
    <row r="33" spans="1:5" ht="16.5" thickBot="1" x14ac:dyDescent="0.3">
      <c r="A33" s="377" t="s">
        <v>1390</v>
      </c>
      <c r="E33" s="18" t="s">
        <v>1774</v>
      </c>
    </row>
    <row r="34" spans="1:5" ht="16.5" thickBot="1" x14ac:dyDescent="0.3">
      <c r="A34" s="376" t="s">
        <v>1387</v>
      </c>
      <c r="E34" s="18" t="s">
        <v>1773</v>
      </c>
    </row>
    <row r="35" spans="1:5" ht="16.5" thickBot="1" x14ac:dyDescent="0.3">
      <c r="A35" s="376" t="s">
        <v>1385</v>
      </c>
      <c r="E35" s="18" t="s">
        <v>1771</v>
      </c>
    </row>
    <row r="36" spans="1:5" ht="16.5" thickBot="1" x14ac:dyDescent="0.3">
      <c r="A36" s="377" t="s">
        <v>1400</v>
      </c>
      <c r="E36" s="18" t="s">
        <v>1769</v>
      </c>
    </row>
    <row r="37" spans="1:5" ht="16.5" thickBot="1" x14ac:dyDescent="0.3">
      <c r="A37" s="376" t="s">
        <v>1397</v>
      </c>
      <c r="E37" s="18" t="s">
        <v>1767</v>
      </c>
    </row>
    <row r="38" spans="1:5" ht="16.5" thickBot="1" x14ac:dyDescent="0.3">
      <c r="A38" s="376" t="s">
        <v>1395</v>
      </c>
      <c r="E38" s="18" t="s">
        <v>1765</v>
      </c>
    </row>
    <row r="39" spans="1:5" ht="16.5" thickBot="1" x14ac:dyDescent="0.3">
      <c r="A39" s="376" t="s">
        <v>1393</v>
      </c>
      <c r="E39" s="18" t="s">
        <v>1763</v>
      </c>
    </row>
    <row r="40" spans="1:5" ht="16.5" thickBot="1" x14ac:dyDescent="0.3">
      <c r="A40" s="376" t="s">
        <v>1853</v>
      </c>
      <c r="E40" s="18" t="s">
        <v>1760</v>
      </c>
    </row>
    <row r="41" spans="1:5" ht="16.5" thickBot="1" x14ac:dyDescent="0.3">
      <c r="A41" s="376" t="s">
        <v>1404</v>
      </c>
      <c r="E41" s="18" t="s">
        <v>1759</v>
      </c>
    </row>
    <row r="42" spans="1:5" ht="16.5" thickBot="1" x14ac:dyDescent="0.3">
      <c r="A42" s="376" t="s">
        <v>1403</v>
      </c>
      <c r="E42" s="18" t="s">
        <v>1756</v>
      </c>
    </row>
    <row r="43" spans="1:5" ht="16.5" thickBot="1" x14ac:dyDescent="0.3">
      <c r="A43" s="376" t="s">
        <v>1402</v>
      </c>
      <c r="E43" s="18" t="s">
        <v>1754</v>
      </c>
    </row>
    <row r="44" spans="1:5" ht="16.5" thickBot="1" x14ac:dyDescent="0.3">
      <c r="A44" s="377" t="s">
        <v>1415</v>
      </c>
      <c r="E44" s="18" t="s">
        <v>1752</v>
      </c>
    </row>
    <row r="45" spans="1:5" ht="16.5" thickBot="1" x14ac:dyDescent="0.3">
      <c r="A45" s="376" t="s">
        <v>1413</v>
      </c>
      <c r="E45" s="18" t="s">
        <v>1750</v>
      </c>
    </row>
    <row r="46" spans="1:5" ht="16.5" thickBot="1" x14ac:dyDescent="0.3">
      <c r="A46" s="376" t="s">
        <v>1411</v>
      </c>
      <c r="E46" s="18" t="s">
        <v>1749</v>
      </c>
    </row>
    <row r="47" spans="1:5" ht="16.5" thickBot="1" x14ac:dyDescent="0.3">
      <c r="A47" s="376" t="s">
        <v>1409</v>
      </c>
      <c r="E47" s="18" t="s">
        <v>1747</v>
      </c>
    </row>
    <row r="48" spans="1:5" ht="16.5" thickBot="1" x14ac:dyDescent="0.3">
      <c r="A48" s="376" t="s">
        <v>1407</v>
      </c>
      <c r="E48" s="18" t="s">
        <v>1745</v>
      </c>
    </row>
    <row r="49" spans="1:5" ht="16.5" thickBot="1" x14ac:dyDescent="0.3">
      <c r="A49" s="376" t="s">
        <v>1431</v>
      </c>
      <c r="E49" s="18" t="s">
        <v>1743</v>
      </c>
    </row>
    <row r="50" spans="1:5" ht="16.5" thickBot="1" x14ac:dyDescent="0.3">
      <c r="A50" s="376" t="s">
        <v>1429</v>
      </c>
      <c r="E50" s="18" t="s">
        <v>1741</v>
      </c>
    </row>
    <row r="51" spans="1:5" ht="16.5" thickBot="1" x14ac:dyDescent="0.3">
      <c r="A51" s="376" t="s">
        <v>1427</v>
      </c>
      <c r="E51" s="18" t="s">
        <v>1739</v>
      </c>
    </row>
    <row r="52" spans="1:5" ht="16.5" thickBot="1" x14ac:dyDescent="0.3">
      <c r="A52" s="376" t="s">
        <v>1426</v>
      </c>
      <c r="E52" s="18" t="s">
        <v>1737</v>
      </c>
    </row>
    <row r="53" spans="1:5" ht="16.5" thickBot="1" x14ac:dyDescent="0.3">
      <c r="A53" s="376" t="s">
        <v>1416</v>
      </c>
      <c r="E53" s="18" t="s">
        <v>1735</v>
      </c>
    </row>
    <row r="54" spans="1:5" ht="16.5" thickBot="1" x14ac:dyDescent="0.3">
      <c r="A54" s="376" t="s">
        <v>1418</v>
      </c>
      <c r="E54" s="18" t="s">
        <v>1733</v>
      </c>
    </row>
    <row r="55" spans="1:5" ht="16.5" thickBot="1" x14ac:dyDescent="0.3">
      <c r="A55" s="376" t="s">
        <v>1424</v>
      </c>
      <c r="E55" s="18" t="s">
        <v>1468</v>
      </c>
    </row>
    <row r="56" spans="1:5" ht="16.5" thickBot="1" x14ac:dyDescent="0.3">
      <c r="A56" s="376" t="s">
        <v>1422</v>
      </c>
      <c r="E56" s="18" t="s">
        <v>1467</v>
      </c>
    </row>
    <row r="57" spans="1:5" ht="16.5" thickBot="1" x14ac:dyDescent="0.3">
      <c r="A57" s="376" t="s">
        <v>1419</v>
      </c>
      <c r="E57" s="18" t="s">
        <v>1465</v>
      </c>
    </row>
    <row r="58" spans="1:5" ht="16.5" thickBot="1" x14ac:dyDescent="0.3">
      <c r="A58" s="376" t="s">
        <v>1433</v>
      </c>
      <c r="E58" s="18" t="s">
        <v>1463</v>
      </c>
    </row>
    <row r="59" spans="1:5" ht="16.5" thickBot="1" x14ac:dyDescent="0.3">
      <c r="A59" s="377" t="s">
        <v>1439</v>
      </c>
      <c r="E59" s="18" t="s">
        <v>1461</v>
      </c>
    </row>
    <row r="60" spans="1:5" ht="16.5" thickBot="1" x14ac:dyDescent="0.3">
      <c r="A60" s="377" t="s">
        <v>1437</v>
      </c>
      <c r="E60" s="18" t="s">
        <v>1459</v>
      </c>
    </row>
    <row r="61" spans="1:5" ht="16.5" thickBot="1" x14ac:dyDescent="0.3">
      <c r="A61" s="376" t="s">
        <v>1434</v>
      </c>
      <c r="E61" s="18" t="s">
        <v>1854</v>
      </c>
    </row>
    <row r="62" spans="1:5" ht="16.5" thickBot="1" x14ac:dyDescent="0.3">
      <c r="A62" s="376" t="s">
        <v>1854</v>
      </c>
      <c r="E62" s="18" t="s">
        <v>1856</v>
      </c>
    </row>
    <row r="63" spans="1:5" ht="16.5" thickBot="1" x14ac:dyDescent="0.3">
      <c r="A63" s="376" t="s">
        <v>1855</v>
      </c>
      <c r="E63" s="18" t="s">
        <v>1439</v>
      </c>
    </row>
    <row r="64" spans="1:5" ht="16.5" thickBot="1" x14ac:dyDescent="0.3">
      <c r="A64" s="376" t="s">
        <v>1856</v>
      </c>
      <c r="E64" s="18" t="s">
        <v>1437</v>
      </c>
    </row>
    <row r="65" spans="1:5" ht="16.5" thickBot="1" x14ac:dyDescent="0.3">
      <c r="A65" s="376" t="s">
        <v>1857</v>
      </c>
      <c r="E65" s="18" t="s">
        <v>1434</v>
      </c>
    </row>
    <row r="66" spans="1:5" ht="16.5" thickBot="1" x14ac:dyDescent="0.3">
      <c r="A66" s="376" t="s">
        <v>1461</v>
      </c>
      <c r="E66" s="18" t="s">
        <v>1433</v>
      </c>
    </row>
    <row r="67" spans="1:5" ht="16.5" thickBot="1" x14ac:dyDescent="0.3">
      <c r="A67" s="376" t="s">
        <v>1459</v>
      </c>
      <c r="E67" s="18" t="s">
        <v>1431</v>
      </c>
    </row>
    <row r="68" spans="1:5" ht="16.5" thickBot="1" x14ac:dyDescent="0.3">
      <c r="A68" s="377" t="s">
        <v>1468</v>
      </c>
      <c r="E68" s="18" t="s">
        <v>1429</v>
      </c>
    </row>
    <row r="69" spans="1:5" ht="16.5" thickBot="1" x14ac:dyDescent="0.3">
      <c r="A69" s="376" t="s">
        <v>1467</v>
      </c>
      <c r="E69" s="18" t="s">
        <v>1427</v>
      </c>
    </row>
    <row r="70" spans="1:5" ht="16.5" thickBot="1" x14ac:dyDescent="0.3">
      <c r="A70" s="376" t="s">
        <v>1465</v>
      </c>
      <c r="E70" s="18" t="s">
        <v>1426</v>
      </c>
    </row>
    <row r="71" spans="1:5" ht="16.5" thickBot="1" x14ac:dyDescent="0.3">
      <c r="A71" s="376" t="s">
        <v>1463</v>
      </c>
      <c r="E71" s="18" t="s">
        <v>1424</v>
      </c>
    </row>
    <row r="72" spans="1:5" ht="16.5" thickBot="1" x14ac:dyDescent="0.3">
      <c r="A72" s="376" t="s">
        <v>1777</v>
      </c>
      <c r="E72" s="18" t="s">
        <v>1422</v>
      </c>
    </row>
    <row r="73" spans="1:5" ht="16.5" thickBot="1" x14ac:dyDescent="0.3">
      <c r="A73" s="376" t="s">
        <v>1771</v>
      </c>
      <c r="E73" s="18" t="s">
        <v>1419</v>
      </c>
    </row>
    <row r="74" spans="1:5" ht="16.5" thickBot="1" x14ac:dyDescent="0.3">
      <c r="A74" s="376" t="s">
        <v>1767</v>
      </c>
      <c r="E74" s="18" t="s">
        <v>1418</v>
      </c>
    </row>
    <row r="75" spans="1:5" ht="16.5" thickBot="1" x14ac:dyDescent="0.3">
      <c r="A75" s="376" t="s">
        <v>1763</v>
      </c>
      <c r="E75" s="18" t="s">
        <v>1416</v>
      </c>
    </row>
    <row r="76" spans="1:5" ht="16.5" thickBot="1" x14ac:dyDescent="0.3">
      <c r="A76" s="376" t="s">
        <v>1741</v>
      </c>
      <c r="E76" s="18" t="s">
        <v>1415</v>
      </c>
    </row>
    <row r="77" spans="1:5" ht="16.5" thickBot="1" x14ac:dyDescent="0.3">
      <c r="A77" s="376" t="s">
        <v>1783</v>
      </c>
      <c r="E77" s="18" t="s">
        <v>1413</v>
      </c>
    </row>
    <row r="78" spans="1:5" ht="16.5" thickBot="1" x14ac:dyDescent="0.3">
      <c r="A78" s="376" t="s">
        <v>1858</v>
      </c>
      <c r="B78" t="s">
        <v>1486</v>
      </c>
      <c r="E78" s="18" t="s">
        <v>1411</v>
      </c>
    </row>
    <row r="79" spans="1:5" ht="16.5" thickBot="1" x14ac:dyDescent="0.3">
      <c r="A79" s="376" t="s">
        <v>1781</v>
      </c>
      <c r="E79" s="18" t="s">
        <v>1409</v>
      </c>
    </row>
    <row r="80" spans="1:5" ht="16.5" thickBot="1" x14ac:dyDescent="0.3">
      <c r="A80" s="376" t="s">
        <v>1859</v>
      </c>
      <c r="B80" t="s">
        <v>1486</v>
      </c>
      <c r="E80" s="18" t="s">
        <v>1407</v>
      </c>
    </row>
    <row r="81" spans="1:5" ht="16.5" thickBot="1" x14ac:dyDescent="0.3">
      <c r="A81" s="376" t="s">
        <v>1778</v>
      </c>
      <c r="E81" s="18" t="s">
        <v>1404</v>
      </c>
    </row>
    <row r="82" spans="1:5" ht="16.5" thickBot="1" x14ac:dyDescent="0.3">
      <c r="A82" s="376" t="s">
        <v>1739</v>
      </c>
      <c r="E82" s="18" t="s">
        <v>1403</v>
      </c>
    </row>
    <row r="83" spans="1:5" ht="16.5" thickBot="1" x14ac:dyDescent="0.3">
      <c r="A83" s="376" t="s">
        <v>1774</v>
      </c>
      <c r="E83" s="18" t="s">
        <v>1402</v>
      </c>
    </row>
    <row r="84" spans="1:5" ht="16.5" thickBot="1" x14ac:dyDescent="0.3">
      <c r="A84" s="376" t="s">
        <v>1737</v>
      </c>
      <c r="E84" s="18" t="s">
        <v>1390</v>
      </c>
    </row>
    <row r="85" spans="1:5" ht="16.5" thickBot="1" x14ac:dyDescent="0.3">
      <c r="A85" s="376" t="s">
        <v>1759</v>
      </c>
      <c r="E85" s="18" t="s">
        <v>1387</v>
      </c>
    </row>
    <row r="86" spans="1:5" ht="16.5" thickBot="1" x14ac:dyDescent="0.3">
      <c r="A86" s="376" t="s">
        <v>1773</v>
      </c>
      <c r="E86" s="18" t="s">
        <v>1385</v>
      </c>
    </row>
    <row r="87" spans="1:5" ht="16.5" thickBot="1" x14ac:dyDescent="0.3">
      <c r="A87" s="376" t="s">
        <v>1735</v>
      </c>
      <c r="E87" s="18" t="s">
        <v>1384</v>
      </c>
    </row>
    <row r="88" spans="1:5" ht="16.5" thickBot="1" x14ac:dyDescent="0.3">
      <c r="A88" s="376" t="s">
        <v>1769</v>
      </c>
      <c r="E88" s="18" t="s">
        <v>1852</v>
      </c>
    </row>
    <row r="89" spans="1:5" ht="16.5" thickBot="1" x14ac:dyDescent="0.3">
      <c r="A89" s="376" t="s">
        <v>1733</v>
      </c>
      <c r="E89" s="18" t="s">
        <v>1381</v>
      </c>
    </row>
    <row r="90" spans="1:5" ht="16.5" thickBot="1" x14ac:dyDescent="0.3">
      <c r="A90" s="376" t="s">
        <v>1765</v>
      </c>
      <c r="E90" s="18" t="s">
        <v>1380</v>
      </c>
    </row>
    <row r="91" spans="1:5" ht="16.5" thickBot="1" x14ac:dyDescent="0.3">
      <c r="A91" s="376" t="s">
        <v>1752</v>
      </c>
      <c r="E91" s="18" t="s">
        <v>1378</v>
      </c>
    </row>
    <row r="92" spans="1:5" ht="16.5" thickBot="1" x14ac:dyDescent="0.3">
      <c r="A92" s="376" t="s">
        <v>1760</v>
      </c>
      <c r="E92" s="18" t="s">
        <v>1376</v>
      </c>
    </row>
    <row r="93" spans="1:5" ht="16.5" thickBot="1" x14ac:dyDescent="0.3">
      <c r="A93" s="376" t="s">
        <v>1749</v>
      </c>
      <c r="E93" s="18" t="s">
        <v>1374</v>
      </c>
    </row>
    <row r="94" spans="1:5" ht="16.5" thickBot="1" x14ac:dyDescent="0.3">
      <c r="A94" s="376" t="s">
        <v>1756</v>
      </c>
      <c r="E94" s="18" t="s">
        <v>1372</v>
      </c>
    </row>
    <row r="95" spans="1:5" ht="16.5" thickBot="1" x14ac:dyDescent="0.3">
      <c r="A95" s="376" t="s">
        <v>1745</v>
      </c>
      <c r="E95" s="18" t="s">
        <v>1370</v>
      </c>
    </row>
    <row r="96" spans="1:5" ht="16.5" thickBot="1" x14ac:dyDescent="0.3">
      <c r="A96" s="376" t="s">
        <v>1754</v>
      </c>
      <c r="E96" s="18" t="s">
        <v>1368</v>
      </c>
    </row>
    <row r="97" spans="1:5" ht="16.5" thickBot="1" x14ac:dyDescent="0.3">
      <c r="A97" s="376" t="s">
        <v>1743</v>
      </c>
      <c r="E97" s="18" t="s">
        <v>1367</v>
      </c>
    </row>
    <row r="98" spans="1:5" ht="16.5" thickBot="1" x14ac:dyDescent="0.3">
      <c r="A98" s="376" t="s">
        <v>1750</v>
      </c>
      <c r="E98" s="18" t="s">
        <v>1366</v>
      </c>
    </row>
    <row r="99" spans="1:5" ht="16.5" thickBot="1" x14ac:dyDescent="0.3">
      <c r="A99" s="376" t="s">
        <v>1747</v>
      </c>
      <c r="E99" s="18" t="s">
        <v>1400</v>
      </c>
    </row>
    <row r="100" spans="1:5" ht="16.5" thickBot="1" x14ac:dyDescent="0.3">
      <c r="A100" s="376" t="s">
        <v>1796</v>
      </c>
      <c r="E100" s="18" t="s">
        <v>1397</v>
      </c>
    </row>
    <row r="101" spans="1:5" ht="16.5" thickBot="1" x14ac:dyDescent="0.3">
      <c r="A101" s="376" t="s">
        <v>1793</v>
      </c>
      <c r="E101" s="18" t="s">
        <v>1395</v>
      </c>
    </row>
    <row r="102" spans="1:5" ht="16.5" thickBot="1" x14ac:dyDescent="0.3">
      <c r="A102" s="376" t="s">
        <v>1792</v>
      </c>
      <c r="E102" s="18" t="s">
        <v>1393</v>
      </c>
    </row>
    <row r="103" spans="1:5" ht="16.5" thickBot="1" x14ac:dyDescent="0.3">
      <c r="A103" s="376" t="s">
        <v>1790</v>
      </c>
      <c r="E103" s="18" t="s">
        <v>1365</v>
      </c>
    </row>
    <row r="104" spans="1:5" ht="16.5" thickBot="1" x14ac:dyDescent="0.3">
      <c r="A104" s="376" t="s">
        <v>1788</v>
      </c>
      <c r="E104" s="18" t="s">
        <v>1364</v>
      </c>
    </row>
    <row r="105" spans="1:5" ht="16.5" thickBot="1" x14ac:dyDescent="0.3">
      <c r="A105" s="376" t="s">
        <v>1786</v>
      </c>
      <c r="E105" s="18" t="s">
        <v>1363</v>
      </c>
    </row>
    <row r="106" spans="1:5" ht="16.5" thickBot="1" x14ac:dyDescent="0.3">
      <c r="A106" s="376" t="s">
        <v>1798</v>
      </c>
      <c r="E106" s="18" t="s">
        <v>1362</v>
      </c>
    </row>
    <row r="107" spans="1:5" ht="16.5" thickBot="1" x14ac:dyDescent="0.3">
      <c r="A107" s="376" t="s">
        <v>1860</v>
      </c>
      <c r="B107" t="s">
        <v>1486</v>
      </c>
      <c r="C107" t="s">
        <v>1873</v>
      </c>
      <c r="E107" s="18" t="s">
        <v>1358</v>
      </c>
    </row>
    <row r="108" spans="1:5" ht="16.5" thickBot="1" x14ac:dyDescent="0.3">
      <c r="A108" s="376" t="s">
        <v>1861</v>
      </c>
      <c r="B108" t="s">
        <v>1486</v>
      </c>
      <c r="E108" s="18" t="s">
        <v>1356</v>
      </c>
    </row>
    <row r="109" spans="1:5" ht="16.5" thickBot="1" x14ac:dyDescent="0.3">
      <c r="A109" s="376" t="s">
        <v>1862</v>
      </c>
      <c r="B109" t="s">
        <v>1486</v>
      </c>
      <c r="E109" s="18" t="s">
        <v>1353</v>
      </c>
    </row>
    <row r="110" spans="1:5" ht="16.5" thickBot="1" x14ac:dyDescent="0.3">
      <c r="A110" s="376" t="s">
        <v>1863</v>
      </c>
      <c r="B110" t="s">
        <v>1486</v>
      </c>
      <c r="E110" s="18" t="s">
        <v>1351</v>
      </c>
    </row>
    <row r="111" spans="1:5" ht="16.5" thickBot="1" x14ac:dyDescent="0.3">
      <c r="A111" s="376" t="s">
        <v>1864</v>
      </c>
      <c r="B111" t="s">
        <v>1486</v>
      </c>
      <c r="E111" s="18" t="s">
        <v>1349</v>
      </c>
    </row>
    <row r="112" spans="1:5" ht="16.5" thickBot="1" x14ac:dyDescent="0.3">
      <c r="A112" s="376" t="s">
        <v>1865</v>
      </c>
      <c r="B112" t="s">
        <v>1486</v>
      </c>
      <c r="E112" s="18" t="s">
        <v>1347</v>
      </c>
    </row>
    <row r="113" spans="1:5" ht="16.5" thickBot="1" x14ac:dyDescent="0.3">
      <c r="A113" s="376" t="s">
        <v>1866</v>
      </c>
      <c r="B113" t="s">
        <v>1486</v>
      </c>
      <c r="E113" s="18" t="s">
        <v>1345</v>
      </c>
    </row>
    <row r="114" spans="1:5" ht="16.5" thickBot="1" x14ac:dyDescent="0.3">
      <c r="A114" s="376" t="s">
        <v>1867</v>
      </c>
      <c r="B114" t="s">
        <v>1486</v>
      </c>
      <c r="E114" s="18" t="s">
        <v>1855</v>
      </c>
    </row>
    <row r="115" spans="1:5" ht="16.5" thickBot="1" x14ac:dyDescent="0.3">
      <c r="A115" s="376" t="s">
        <v>1868</v>
      </c>
      <c r="B115" t="s">
        <v>1486</v>
      </c>
      <c r="E115" s="18" t="s">
        <v>1342</v>
      </c>
    </row>
    <row r="116" spans="1:5" ht="16.5" thickBot="1" x14ac:dyDescent="0.3">
      <c r="A116" s="376" t="s">
        <v>1869</v>
      </c>
      <c r="B116" t="s">
        <v>1486</v>
      </c>
      <c r="E116" s="18" t="s">
        <v>1354</v>
      </c>
    </row>
    <row r="117" spans="1:5" ht="16.5" thickBot="1" x14ac:dyDescent="0.3">
      <c r="A117" s="376" t="s">
        <v>1870</v>
      </c>
      <c r="B117" t="s">
        <v>1486</v>
      </c>
      <c r="E117" s="18" t="s">
        <v>1851</v>
      </c>
    </row>
    <row r="118" spans="1:5" ht="16.5" thickBot="1" x14ac:dyDescent="0.3">
      <c r="A118" s="376" t="s">
        <v>1806</v>
      </c>
      <c r="E118" s="18"/>
    </row>
    <row r="119" spans="1:5" ht="16.5" thickBot="1" x14ac:dyDescent="0.3">
      <c r="A119" s="376" t="s">
        <v>1804</v>
      </c>
      <c r="E119" s="18" t="s">
        <v>1359</v>
      </c>
    </row>
    <row r="120" spans="1:5" ht="16.5" thickBot="1" x14ac:dyDescent="0.3">
      <c r="A120" s="376" t="s">
        <v>1802</v>
      </c>
      <c r="E120" s="18"/>
    </row>
    <row r="121" spans="1:5" ht="16.5" thickBot="1" x14ac:dyDescent="0.3">
      <c r="A121" s="376" t="s">
        <v>1808</v>
      </c>
      <c r="E121" s="18" t="s">
        <v>1341</v>
      </c>
    </row>
    <row r="122" spans="1:5" ht="16.5" thickBot="1" x14ac:dyDescent="0.3">
      <c r="A122" s="376" t="s">
        <v>1817</v>
      </c>
      <c r="E122" s="18"/>
    </row>
    <row r="123" spans="1:5" ht="16.5" thickBot="1" x14ac:dyDescent="0.3">
      <c r="A123" s="376" t="s">
        <v>1815</v>
      </c>
      <c r="E123" s="107"/>
    </row>
    <row r="124" spans="1:5" ht="16.5" thickBot="1" x14ac:dyDescent="0.3">
      <c r="A124" s="376" t="s">
        <v>1812</v>
      </c>
      <c r="E124" s="18" t="s">
        <v>1720</v>
      </c>
    </row>
    <row r="125" spans="1:5" ht="16.5" thickBot="1" x14ac:dyDescent="0.3">
      <c r="A125" s="376" t="s">
        <v>1840</v>
      </c>
      <c r="E125" s="369" t="s">
        <v>1721</v>
      </c>
    </row>
    <row r="126" spans="1:5" ht="16.5" thickBot="1" x14ac:dyDescent="0.3">
      <c r="A126" s="376" t="s">
        <v>1838</v>
      </c>
      <c r="E126" s="1" t="s">
        <v>1857</v>
      </c>
    </row>
    <row r="127" spans="1:5" ht="16.5" thickBot="1" x14ac:dyDescent="0.3">
      <c r="A127" s="376" t="s">
        <v>1837</v>
      </c>
      <c r="E127" s="1" t="s">
        <v>1871</v>
      </c>
    </row>
    <row r="128" spans="1:5" ht="16.5" thickBot="1" x14ac:dyDescent="0.3">
      <c r="A128" s="376" t="s">
        <v>1835</v>
      </c>
      <c r="E128" s="1" t="s">
        <v>1872</v>
      </c>
    </row>
    <row r="129" spans="1:5" ht="16.5" thickBot="1" x14ac:dyDescent="0.3">
      <c r="A129" s="376" t="s">
        <v>1846</v>
      </c>
      <c r="E129" s="1" t="s">
        <v>1853</v>
      </c>
    </row>
    <row r="130" spans="1:5" ht="16.5" thickBot="1" x14ac:dyDescent="0.3">
      <c r="A130" s="376" t="s">
        <v>1847</v>
      </c>
    </row>
    <row r="131" spans="1:5" ht="16.5" thickBot="1" x14ac:dyDescent="0.3">
      <c r="A131" s="376" t="s">
        <v>1842</v>
      </c>
    </row>
    <row r="132" spans="1:5" ht="16.5" thickBot="1" x14ac:dyDescent="0.3">
      <c r="A132" s="376" t="s">
        <v>1843</v>
      </c>
    </row>
    <row r="133" spans="1:5" ht="16.5" thickBot="1" x14ac:dyDescent="0.3">
      <c r="A133" s="376" t="s">
        <v>1849</v>
      </c>
    </row>
    <row r="134" spans="1:5" x14ac:dyDescent="0.25">
      <c r="A134" s="378"/>
    </row>
  </sheetData>
  <conditionalFormatting sqref="E1:E1048576 A1:A1048576">
    <cfRule type="duplicateValues" dxfId="880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">
    <pageSetUpPr fitToPage="1"/>
  </sheetPr>
  <dimension ref="A1:L1402"/>
  <sheetViews>
    <sheetView zoomScaleNormal="100" workbookViewId="0">
      <selection activeCell="F2" sqref="F2"/>
    </sheetView>
  </sheetViews>
  <sheetFormatPr defaultRowHeight="15" x14ac:dyDescent="0.25"/>
  <cols>
    <col min="1" max="1" width="22.5703125" style="1" customWidth="1"/>
    <col min="2" max="2" width="22.28515625" style="1" customWidth="1"/>
    <col min="3" max="3" width="77.28515625" style="1" customWidth="1"/>
    <col min="4" max="4" width="13.42578125" style="28" customWidth="1"/>
    <col min="5" max="5" width="19.7109375" style="1" customWidth="1"/>
    <col min="6" max="6" width="20.28515625" style="1" customWidth="1"/>
    <col min="7" max="7" width="15.5703125" style="1" customWidth="1"/>
    <col min="8" max="8" width="13.5703125" style="28" customWidth="1"/>
    <col min="9" max="9" width="12.28515625" style="1" customWidth="1"/>
    <col min="10" max="10" width="10.42578125" customWidth="1"/>
    <col min="11" max="11" width="12.5703125" customWidth="1"/>
    <col min="12" max="12" width="9.7109375" customWidth="1"/>
  </cols>
  <sheetData>
    <row r="1" spans="1:12" ht="46.15" customHeight="1" thickBot="1" x14ac:dyDescent="0.3">
      <c r="A1" s="32" t="s">
        <v>0</v>
      </c>
      <c r="B1" s="31" t="s">
        <v>93</v>
      </c>
      <c r="C1" s="34" t="s">
        <v>1</v>
      </c>
      <c r="D1" s="32" t="s">
        <v>92</v>
      </c>
      <c r="E1" s="38" t="s">
        <v>119</v>
      </c>
      <c r="F1" s="32" t="s">
        <v>359</v>
      </c>
      <c r="G1" s="32" t="s">
        <v>254</v>
      </c>
      <c r="H1" s="32" t="s">
        <v>1052</v>
      </c>
      <c r="I1" s="33" t="s">
        <v>95</v>
      </c>
      <c r="J1" s="6">
        <f>COUNTIF(D:D,"Kész")</f>
        <v>513</v>
      </c>
      <c r="K1" s="5" t="s">
        <v>96</v>
      </c>
      <c r="L1" s="7">
        <f>COUNTIF(D:D,"Folyamatban")</f>
        <v>17</v>
      </c>
    </row>
    <row r="2" spans="1:12" ht="30" customHeight="1" x14ac:dyDescent="0.25">
      <c r="A2" s="14">
        <v>45245.504900810185</v>
      </c>
      <c r="B2" s="2"/>
      <c r="C2" s="4"/>
      <c r="D2" s="17"/>
      <c r="E2" s="18"/>
      <c r="F2" s="4" t="str">
        <f t="shared" ref="F2:F7" si="0">IFERROR(VLOOKUP(B2,targlist02,3,0),"Nincs Adat")</f>
        <v>Nincs Adat</v>
      </c>
      <c r="G2" s="4"/>
      <c r="H2" s="4"/>
    </row>
    <row r="3" spans="1:12" ht="30" customHeight="1" x14ac:dyDescent="0.25">
      <c r="A3" s="14">
        <v>45239</v>
      </c>
      <c r="B3" s="2" t="s">
        <v>15</v>
      </c>
      <c r="C3" s="4" t="s">
        <v>1050</v>
      </c>
      <c r="D3" s="17" t="s">
        <v>95</v>
      </c>
      <c r="E3" s="18" t="s">
        <v>1051</v>
      </c>
      <c r="F3" s="4" t="str">
        <f t="shared" si="0"/>
        <v>EUB09D700705</v>
      </c>
      <c r="G3" s="4">
        <v>1539</v>
      </c>
      <c r="H3" s="4">
        <v>2</v>
      </c>
    </row>
    <row r="4" spans="1:12" ht="30" customHeight="1" x14ac:dyDescent="0.25">
      <c r="A4" s="14">
        <v>45245.331852314812</v>
      </c>
      <c r="B4" s="2" t="s">
        <v>80</v>
      </c>
      <c r="C4" s="4" t="s">
        <v>1046</v>
      </c>
      <c r="D4" s="17" t="s">
        <v>96</v>
      </c>
      <c r="E4" s="18"/>
      <c r="F4" s="4" t="str">
        <f t="shared" si="0"/>
        <v>PTP200R239154</v>
      </c>
      <c r="G4" s="4"/>
      <c r="H4" s="4"/>
    </row>
    <row r="5" spans="1:12" ht="30" customHeight="1" x14ac:dyDescent="0.25">
      <c r="A5" s="14">
        <v>45245.33160636574</v>
      </c>
      <c r="B5" s="2" t="s">
        <v>162</v>
      </c>
      <c r="C5" s="4" t="s">
        <v>1045</v>
      </c>
      <c r="D5" s="17" t="s">
        <v>96</v>
      </c>
      <c r="E5" s="18"/>
      <c r="F5" s="4" t="str">
        <f t="shared" si="0"/>
        <v>Nincs Adat</v>
      </c>
      <c r="G5" s="4"/>
      <c r="H5" s="4"/>
    </row>
    <row r="6" spans="1:12" ht="30" customHeight="1" x14ac:dyDescent="0.25">
      <c r="A6" s="14">
        <v>45245.331068171297</v>
      </c>
      <c r="B6" s="2" t="s">
        <v>109</v>
      </c>
      <c r="C6" s="4" t="s">
        <v>1044</v>
      </c>
      <c r="D6" s="17" t="s">
        <v>96</v>
      </c>
      <c r="E6" s="18"/>
      <c r="F6" s="4" t="str">
        <f t="shared" si="0"/>
        <v>Nincs Adat</v>
      </c>
      <c r="G6" s="4"/>
      <c r="H6" s="4"/>
    </row>
    <row r="7" spans="1:12" ht="30" customHeight="1" x14ac:dyDescent="0.25">
      <c r="A7" s="14">
        <v>45245.330384143519</v>
      </c>
      <c r="B7" s="2" t="s">
        <v>82</v>
      </c>
      <c r="C7" s="4" t="s">
        <v>1043</v>
      </c>
      <c r="D7" s="17" t="s">
        <v>96</v>
      </c>
      <c r="E7" s="18"/>
      <c r="F7" s="4" t="str">
        <f t="shared" si="0"/>
        <v>Nincs Adat</v>
      </c>
      <c r="G7" s="4"/>
      <c r="H7" s="4"/>
    </row>
    <row r="8" spans="1:12" ht="30" customHeight="1" x14ac:dyDescent="0.25">
      <c r="A8" s="14">
        <v>45240.356663888888</v>
      </c>
      <c r="B8" s="2" t="s">
        <v>891</v>
      </c>
      <c r="C8" s="4" t="s">
        <v>1041</v>
      </c>
      <c r="D8" s="17" t="s">
        <v>95</v>
      </c>
      <c r="E8" s="18" t="s">
        <v>1042</v>
      </c>
      <c r="F8" s="4">
        <f t="shared" ref="F8:F71" si="1">IFERROR(VLOOKUP(B8,targlist02,3,0),"Nincs Adat")</f>
        <v>10817</v>
      </c>
      <c r="G8" s="4">
        <v>113</v>
      </c>
      <c r="H8" s="4"/>
      <c r="I8" s="9">
        <v>44916</v>
      </c>
    </row>
    <row r="9" spans="1:12" ht="30" customHeight="1" x14ac:dyDescent="0.25">
      <c r="A9" s="14">
        <v>45240.356164120371</v>
      </c>
      <c r="B9" s="2" t="s">
        <v>24</v>
      </c>
      <c r="C9" s="4" t="s">
        <v>1040</v>
      </c>
      <c r="D9" s="17" t="s">
        <v>96</v>
      </c>
      <c r="E9" s="18"/>
      <c r="F9" s="4" t="str">
        <f t="shared" si="1"/>
        <v>EUB09D700704</v>
      </c>
      <c r="G9" s="4">
        <v>2656</v>
      </c>
      <c r="H9" s="4"/>
    </row>
    <row r="10" spans="1:12" ht="30" customHeight="1" x14ac:dyDescent="0.25">
      <c r="A10" s="14">
        <v>45240.355053703701</v>
      </c>
      <c r="B10" s="2" t="s">
        <v>15</v>
      </c>
      <c r="C10" s="4" t="s">
        <v>1038</v>
      </c>
      <c r="D10" s="17" t="s">
        <v>95</v>
      </c>
      <c r="E10" s="18" t="s">
        <v>1039</v>
      </c>
      <c r="F10" s="4" t="str">
        <f t="shared" si="1"/>
        <v>EUB09D700705</v>
      </c>
      <c r="G10" s="4">
        <v>1539</v>
      </c>
      <c r="H10" s="4"/>
    </row>
    <row r="11" spans="1:12" ht="30" customHeight="1" x14ac:dyDescent="0.25">
      <c r="A11" s="14">
        <v>45240.354547222225</v>
      </c>
      <c r="B11" s="2" t="s">
        <v>11</v>
      </c>
      <c r="C11" s="4" t="s">
        <v>1036</v>
      </c>
      <c r="D11" s="17" t="s">
        <v>95</v>
      </c>
      <c r="E11" s="18" t="s">
        <v>1037</v>
      </c>
      <c r="F11" s="4" t="str">
        <f t="shared" si="1"/>
        <v>EUB09D700850</v>
      </c>
      <c r="G11" s="4">
        <v>4569</v>
      </c>
      <c r="H11" s="4"/>
    </row>
    <row r="12" spans="1:12" ht="30" customHeight="1" x14ac:dyDescent="0.25">
      <c r="A12" s="14">
        <v>45240.354178587964</v>
      </c>
      <c r="B12" s="2" t="s">
        <v>24</v>
      </c>
      <c r="C12" s="4" t="s">
        <v>1034</v>
      </c>
      <c r="D12" s="17" t="s">
        <v>95</v>
      </c>
      <c r="E12" s="18" t="s">
        <v>1035</v>
      </c>
      <c r="F12" s="4" t="str">
        <f t="shared" si="1"/>
        <v>EUB09D700704</v>
      </c>
      <c r="G12" s="4">
        <v>2655</v>
      </c>
      <c r="H12" s="4"/>
    </row>
    <row r="13" spans="1:12" ht="30" customHeight="1" x14ac:dyDescent="0.25">
      <c r="A13" s="14">
        <v>45240.352360185185</v>
      </c>
      <c r="B13" s="2" t="s">
        <v>4</v>
      </c>
      <c r="C13" s="4" t="s">
        <v>1032</v>
      </c>
      <c r="D13" s="17" t="s">
        <v>95</v>
      </c>
      <c r="E13" s="18" t="s">
        <v>1033</v>
      </c>
      <c r="F13" s="4" t="str">
        <f t="shared" si="1"/>
        <v>JAG2N1E701604</v>
      </c>
      <c r="G13" s="4">
        <v>927</v>
      </c>
      <c r="H13" s="4"/>
    </row>
    <row r="14" spans="1:12" ht="30" customHeight="1" x14ac:dyDescent="0.25">
      <c r="A14" s="14">
        <v>45240.352097569441</v>
      </c>
      <c r="B14" s="2" t="s">
        <v>78</v>
      </c>
      <c r="C14" s="4" t="s">
        <v>1030</v>
      </c>
      <c r="D14" s="17" t="s">
        <v>95</v>
      </c>
      <c r="E14" s="18" t="s">
        <v>1031</v>
      </c>
      <c r="F14" s="4" t="str">
        <f t="shared" si="1"/>
        <v>PTP200R239152</v>
      </c>
      <c r="G14" s="4">
        <v>1478</v>
      </c>
      <c r="H14" s="4"/>
    </row>
    <row r="15" spans="1:12" ht="30" customHeight="1" x14ac:dyDescent="0.25">
      <c r="A15" s="14">
        <v>45240.351437037039</v>
      </c>
      <c r="B15" s="2" t="s">
        <v>77</v>
      </c>
      <c r="C15" s="4" t="s">
        <v>1028</v>
      </c>
      <c r="D15" s="17" t="s">
        <v>95</v>
      </c>
      <c r="E15" s="18" t="s">
        <v>1029</v>
      </c>
      <c r="F15" s="4" t="str">
        <f t="shared" si="1"/>
        <v>PTP200R239151</v>
      </c>
      <c r="G15" s="4">
        <v>844</v>
      </c>
      <c r="H15" s="4"/>
    </row>
    <row r="16" spans="1:12" ht="30" customHeight="1" x14ac:dyDescent="0.25">
      <c r="A16" s="14">
        <v>45240.350411921296</v>
      </c>
      <c r="B16" s="2" t="s">
        <v>20</v>
      </c>
      <c r="C16" s="4" t="s">
        <v>1026</v>
      </c>
      <c r="D16" s="17" t="s">
        <v>95</v>
      </c>
      <c r="E16" s="18" t="s">
        <v>1027</v>
      </c>
      <c r="F16" s="4" t="str">
        <f t="shared" si="1"/>
        <v>EUB09D700832</v>
      </c>
      <c r="G16" s="4">
        <v>3127</v>
      </c>
      <c r="H16" s="4"/>
    </row>
    <row r="17" spans="1:8" ht="30" customHeight="1" x14ac:dyDescent="0.25">
      <c r="A17" s="14">
        <v>45240.335622106482</v>
      </c>
      <c r="B17" s="2" t="s">
        <v>13</v>
      </c>
      <c r="C17" s="4" t="s">
        <v>1025</v>
      </c>
      <c r="D17" s="17" t="s">
        <v>96</v>
      </c>
      <c r="E17" s="18"/>
      <c r="F17" s="4" t="str">
        <f t="shared" si="1"/>
        <v>EUB09D700268</v>
      </c>
      <c r="G17" s="4"/>
      <c r="H17" s="4"/>
    </row>
    <row r="18" spans="1:8" ht="30" customHeight="1" x14ac:dyDescent="0.25">
      <c r="A18" s="14">
        <v>45240.335430092593</v>
      </c>
      <c r="B18" s="2" t="s">
        <v>13</v>
      </c>
      <c r="C18" s="4" t="s">
        <v>1024</v>
      </c>
      <c r="D18" s="17" t="s">
        <v>96</v>
      </c>
      <c r="E18" s="18"/>
      <c r="F18" s="4" t="str">
        <f t="shared" si="1"/>
        <v>EUB09D700268</v>
      </c>
      <c r="G18" s="4"/>
      <c r="H18" s="4"/>
    </row>
    <row r="19" spans="1:8" ht="30" customHeight="1" x14ac:dyDescent="0.25">
      <c r="A19" s="14">
        <v>45238.605789467591</v>
      </c>
      <c r="B19" s="2" t="s">
        <v>33</v>
      </c>
      <c r="C19" s="4" t="s">
        <v>128</v>
      </c>
      <c r="D19" s="17" t="s">
        <v>96</v>
      </c>
      <c r="E19" s="18"/>
      <c r="F19" s="4" t="str">
        <f t="shared" si="1"/>
        <v>Nincs Adat</v>
      </c>
      <c r="G19" s="4"/>
      <c r="H19" s="4"/>
    </row>
    <row r="20" spans="1:8" ht="30" customHeight="1" x14ac:dyDescent="0.25">
      <c r="A20" s="14">
        <v>45238.602340046295</v>
      </c>
      <c r="B20" s="2" t="s">
        <v>4</v>
      </c>
      <c r="C20" s="4" t="s">
        <v>1021</v>
      </c>
      <c r="D20" s="17" t="s">
        <v>95</v>
      </c>
      <c r="E20" s="18" t="s">
        <v>1022</v>
      </c>
      <c r="F20" s="4" t="str">
        <f t="shared" si="1"/>
        <v>JAG2N1E701604</v>
      </c>
      <c r="G20" s="4">
        <v>938</v>
      </c>
      <c r="H20" s="4"/>
    </row>
    <row r="21" spans="1:8" ht="30" customHeight="1" x14ac:dyDescent="0.25">
      <c r="A21" s="14">
        <v>45238.599752662034</v>
      </c>
      <c r="B21" s="2" t="s">
        <v>891</v>
      </c>
      <c r="C21" s="4" t="s">
        <v>1017</v>
      </c>
      <c r="D21" s="17" t="s">
        <v>95</v>
      </c>
      <c r="E21" s="18" t="s">
        <v>1018</v>
      </c>
      <c r="F21" s="4">
        <f t="shared" si="1"/>
        <v>10817</v>
      </c>
      <c r="G21" s="4">
        <v>108</v>
      </c>
      <c r="H21" s="4"/>
    </row>
    <row r="22" spans="1:8" ht="30" customHeight="1" x14ac:dyDescent="0.25">
      <c r="A22" s="14">
        <v>45238.598872800925</v>
      </c>
      <c r="B22" s="2" t="s">
        <v>23</v>
      </c>
      <c r="C22" s="178" t="s">
        <v>1015</v>
      </c>
      <c r="D22" s="17" t="s">
        <v>95</v>
      </c>
      <c r="E22" s="18" t="s">
        <v>1016</v>
      </c>
      <c r="F22" s="4" t="str">
        <f t="shared" si="1"/>
        <v>EUB09D700740</v>
      </c>
      <c r="G22" s="4">
        <v>1722</v>
      </c>
      <c r="H22" s="4"/>
    </row>
    <row r="23" spans="1:8" ht="30" customHeight="1" x14ac:dyDescent="0.25">
      <c r="A23" s="14">
        <v>45232</v>
      </c>
      <c r="B23" s="2" t="s">
        <v>81</v>
      </c>
      <c r="C23" s="4" t="s">
        <v>1013</v>
      </c>
      <c r="D23" s="17" t="s">
        <v>95</v>
      </c>
      <c r="E23" s="18" t="s">
        <v>1014</v>
      </c>
      <c r="F23" s="4" t="str">
        <f t="shared" si="1"/>
        <v>PTP200R239155</v>
      </c>
      <c r="G23" s="4">
        <v>284</v>
      </c>
      <c r="H23" s="4"/>
    </row>
    <row r="24" spans="1:8" ht="30" customHeight="1" x14ac:dyDescent="0.25">
      <c r="A24" s="14">
        <v>45232</v>
      </c>
      <c r="B24" s="2" t="s">
        <v>79</v>
      </c>
      <c r="C24" s="4" t="s">
        <v>1011</v>
      </c>
      <c r="D24" s="17" t="s">
        <v>95</v>
      </c>
      <c r="E24" s="18" t="s">
        <v>1012</v>
      </c>
      <c r="F24" s="4" t="str">
        <f t="shared" si="1"/>
        <v>PTP200R239153</v>
      </c>
      <c r="G24" s="4">
        <v>1252</v>
      </c>
      <c r="H24" s="4"/>
    </row>
    <row r="25" spans="1:8" ht="30" customHeight="1" x14ac:dyDescent="0.25">
      <c r="A25" s="14">
        <v>45230</v>
      </c>
      <c r="B25" s="2" t="s">
        <v>78</v>
      </c>
      <c r="C25" s="178" t="s">
        <v>1009</v>
      </c>
      <c r="D25" s="17" t="s">
        <v>95</v>
      </c>
      <c r="E25" s="18" t="s">
        <v>1010</v>
      </c>
      <c r="F25" s="4" t="str">
        <f t="shared" si="1"/>
        <v>PTP200R239152</v>
      </c>
      <c r="G25" s="4">
        <v>1476</v>
      </c>
      <c r="H25" s="4"/>
    </row>
    <row r="26" spans="1:8" ht="30" customHeight="1" x14ac:dyDescent="0.25">
      <c r="A26" s="14">
        <v>45230</v>
      </c>
      <c r="B26" s="2" t="s">
        <v>6</v>
      </c>
      <c r="C26" s="4" t="s">
        <v>572</v>
      </c>
      <c r="D26" s="17" t="s">
        <v>95</v>
      </c>
      <c r="E26" s="18" t="s">
        <v>1008</v>
      </c>
      <c r="F26" s="4" t="str">
        <f t="shared" si="1"/>
        <v>EUB09D700742</v>
      </c>
      <c r="G26" s="4">
        <v>4080</v>
      </c>
      <c r="H26" s="4"/>
    </row>
    <row r="27" spans="1:8" ht="30" customHeight="1" x14ac:dyDescent="0.25">
      <c r="A27" s="14">
        <v>45230</v>
      </c>
      <c r="B27" s="2" t="s">
        <v>16</v>
      </c>
      <c r="C27" s="4" t="s">
        <v>251</v>
      </c>
      <c r="D27" s="17" t="s">
        <v>95</v>
      </c>
      <c r="E27" s="18" t="s">
        <v>1007</v>
      </c>
      <c r="F27" s="4" t="str">
        <f t="shared" si="1"/>
        <v>EUB09D700851</v>
      </c>
      <c r="G27" s="4">
        <v>3559</v>
      </c>
      <c r="H27" s="4"/>
    </row>
    <row r="28" spans="1:8" ht="30" customHeight="1" x14ac:dyDescent="0.25">
      <c r="A28" s="14">
        <v>45230</v>
      </c>
      <c r="B28" s="2" t="s">
        <v>1004</v>
      </c>
      <c r="C28" s="4" t="s">
        <v>1005</v>
      </c>
      <c r="D28" s="17" t="s">
        <v>95</v>
      </c>
      <c r="E28" s="18" t="s">
        <v>1006</v>
      </c>
      <c r="F28" s="4" t="str">
        <f t="shared" si="1"/>
        <v>Nincs Adat</v>
      </c>
      <c r="G28" s="4"/>
      <c r="H28" s="4"/>
    </row>
    <row r="29" spans="1:8" ht="30" customHeight="1" x14ac:dyDescent="0.25">
      <c r="A29" s="14">
        <v>45229.592430555553</v>
      </c>
      <c r="B29" s="2" t="s">
        <v>79</v>
      </c>
      <c r="C29" s="4" t="s">
        <v>1001</v>
      </c>
      <c r="D29" s="17" t="s">
        <v>95</v>
      </c>
      <c r="E29" s="18" t="s">
        <v>1002</v>
      </c>
      <c r="F29" s="4" t="str">
        <f t="shared" si="1"/>
        <v>PTP200R239153</v>
      </c>
      <c r="G29" s="4">
        <v>1252</v>
      </c>
      <c r="H29" s="4"/>
    </row>
    <row r="30" spans="1:8" ht="30" customHeight="1" x14ac:dyDescent="0.25">
      <c r="A30" s="14">
        <v>45229.592430555553</v>
      </c>
      <c r="B30" s="2" t="s">
        <v>77</v>
      </c>
      <c r="C30" s="178" t="s">
        <v>999</v>
      </c>
      <c r="D30" s="17" t="s">
        <v>95</v>
      </c>
      <c r="E30" s="18" t="s">
        <v>1000</v>
      </c>
      <c r="F30" s="4" t="str">
        <f t="shared" si="1"/>
        <v>PTP200R239151</v>
      </c>
      <c r="G30" s="4">
        <v>284</v>
      </c>
      <c r="H30" s="4"/>
    </row>
    <row r="31" spans="1:8" ht="30" customHeight="1" x14ac:dyDescent="0.25">
      <c r="A31" s="14">
        <v>45229.592430555553</v>
      </c>
      <c r="B31" s="2" t="s">
        <v>80</v>
      </c>
      <c r="C31" s="4" t="s">
        <v>997</v>
      </c>
      <c r="D31" s="17" t="s">
        <v>95</v>
      </c>
      <c r="E31" s="18" t="s">
        <v>998</v>
      </c>
      <c r="F31" s="4" t="str">
        <f t="shared" si="1"/>
        <v>PTP200R239154</v>
      </c>
      <c r="G31" s="4">
        <v>452</v>
      </c>
      <c r="H31" s="4"/>
    </row>
    <row r="32" spans="1:8" ht="30" customHeight="1" x14ac:dyDescent="0.25">
      <c r="A32" s="14">
        <v>45226.541256249999</v>
      </c>
      <c r="B32" s="2" t="s">
        <v>78</v>
      </c>
      <c r="C32" s="4" t="s">
        <v>995</v>
      </c>
      <c r="D32" s="17" t="s">
        <v>95</v>
      </c>
      <c r="E32" s="18" t="s">
        <v>996</v>
      </c>
      <c r="F32" s="4" t="str">
        <f t="shared" si="1"/>
        <v>PTP200R239152</v>
      </c>
      <c r="G32" s="4">
        <v>823</v>
      </c>
      <c r="H32" s="4"/>
    </row>
    <row r="33" spans="1:8" ht="30" customHeight="1" x14ac:dyDescent="0.25">
      <c r="A33" s="14">
        <v>45226.541122453702</v>
      </c>
      <c r="B33" s="2" t="s">
        <v>17</v>
      </c>
      <c r="C33" s="4" t="s">
        <v>993</v>
      </c>
      <c r="D33" s="17" t="s">
        <v>95</v>
      </c>
      <c r="E33" s="18" t="s">
        <v>1019</v>
      </c>
      <c r="F33" s="4" t="str">
        <f t="shared" si="1"/>
        <v>EUB09D700852</v>
      </c>
      <c r="G33" s="4">
        <v>3654</v>
      </c>
      <c r="H33" s="4"/>
    </row>
    <row r="34" spans="1:8" ht="30" customHeight="1" x14ac:dyDescent="0.25">
      <c r="A34" s="14">
        <v>45226.540761574077</v>
      </c>
      <c r="B34" s="2" t="s">
        <v>15</v>
      </c>
      <c r="C34" s="4" t="s">
        <v>1023</v>
      </c>
      <c r="D34" s="17" t="s">
        <v>96</v>
      </c>
      <c r="E34" s="18"/>
      <c r="F34" s="4" t="str">
        <f t="shared" si="1"/>
        <v>EUB09D700705</v>
      </c>
      <c r="G34" s="4"/>
      <c r="H34" s="4"/>
    </row>
    <row r="35" spans="1:8" ht="30" customHeight="1" x14ac:dyDescent="0.25">
      <c r="A35" s="14">
        <v>45226.540568055556</v>
      </c>
      <c r="B35" s="2" t="s">
        <v>16</v>
      </c>
      <c r="C35" s="4" t="s">
        <v>992</v>
      </c>
      <c r="D35" s="17" t="s">
        <v>96</v>
      </c>
      <c r="E35" s="18"/>
      <c r="F35" s="4" t="str">
        <f t="shared" si="1"/>
        <v>EUB09D700851</v>
      </c>
      <c r="G35" s="4"/>
      <c r="H35" s="4"/>
    </row>
    <row r="36" spans="1:8" ht="30" customHeight="1" x14ac:dyDescent="0.25">
      <c r="A36" s="14">
        <v>45226.540363657405</v>
      </c>
      <c r="B36" s="2" t="s">
        <v>158</v>
      </c>
      <c r="C36" s="4" t="s">
        <v>1020</v>
      </c>
      <c r="D36" s="17" t="s">
        <v>95</v>
      </c>
      <c r="E36" s="18"/>
      <c r="F36" s="4" t="str">
        <f t="shared" si="1"/>
        <v>F24537B00022</v>
      </c>
      <c r="G36" s="4"/>
      <c r="H36" s="4"/>
    </row>
    <row r="37" spans="1:8" ht="30" customHeight="1" x14ac:dyDescent="0.25">
      <c r="A37" s="14">
        <v>45224.402842824071</v>
      </c>
      <c r="B37" s="2" t="s">
        <v>78</v>
      </c>
      <c r="C37" s="178" t="s">
        <v>990</v>
      </c>
      <c r="D37" s="17" t="s">
        <v>95</v>
      </c>
      <c r="E37" s="18" t="s">
        <v>991</v>
      </c>
      <c r="F37" s="4" t="str">
        <f t="shared" si="1"/>
        <v>PTP200R239152</v>
      </c>
      <c r="G37" s="4">
        <v>821</v>
      </c>
      <c r="H37" s="4"/>
    </row>
    <row r="38" spans="1:8" ht="30" customHeight="1" x14ac:dyDescent="0.25">
      <c r="A38" s="14">
        <v>45224.402094675926</v>
      </c>
      <c r="B38" s="2" t="s">
        <v>9</v>
      </c>
      <c r="C38" s="4" t="s">
        <v>879</v>
      </c>
      <c r="D38" s="17" t="s">
        <v>95</v>
      </c>
      <c r="E38" s="18" t="s">
        <v>989</v>
      </c>
      <c r="F38" s="4" t="str">
        <f t="shared" si="1"/>
        <v>EUB09D700745</v>
      </c>
      <c r="G38" s="4"/>
      <c r="H38" s="4"/>
    </row>
    <row r="39" spans="1:8" ht="30" customHeight="1" x14ac:dyDescent="0.25">
      <c r="A39" s="14">
        <v>45224.401842013889</v>
      </c>
      <c r="B39" s="2" t="s">
        <v>130</v>
      </c>
      <c r="C39" s="178" t="s">
        <v>987</v>
      </c>
      <c r="D39" s="17" t="s">
        <v>95</v>
      </c>
      <c r="E39" s="18" t="s">
        <v>988</v>
      </c>
      <c r="F39" s="4" t="str">
        <f t="shared" si="1"/>
        <v>Nincs Adat</v>
      </c>
      <c r="G39" s="4"/>
      <c r="H39" s="4"/>
    </row>
    <row r="40" spans="1:8" ht="30" customHeight="1" x14ac:dyDescent="0.25">
      <c r="A40" s="14">
        <v>45224.40105266204</v>
      </c>
      <c r="B40" s="2" t="s">
        <v>6</v>
      </c>
      <c r="C40" s="4" t="s">
        <v>985</v>
      </c>
      <c r="D40" s="17" t="s">
        <v>95</v>
      </c>
      <c r="E40" s="18" t="s">
        <v>986</v>
      </c>
      <c r="F40" s="4" t="str">
        <f t="shared" si="1"/>
        <v>EUB09D700742</v>
      </c>
      <c r="G40" s="4">
        <v>4010</v>
      </c>
      <c r="H40" s="4"/>
    </row>
    <row r="41" spans="1:8" ht="30" customHeight="1" x14ac:dyDescent="0.25">
      <c r="A41" s="14">
        <v>45224.399987731478</v>
      </c>
      <c r="B41" s="2" t="s">
        <v>7</v>
      </c>
      <c r="C41" s="4" t="s">
        <v>983</v>
      </c>
      <c r="D41" s="17" t="s">
        <v>95</v>
      </c>
      <c r="E41" s="18" t="s">
        <v>984</v>
      </c>
      <c r="F41" s="4" t="str">
        <f t="shared" si="1"/>
        <v>EUB09D700743</v>
      </c>
      <c r="G41" s="4">
        <v>3664</v>
      </c>
      <c r="H41" s="4"/>
    </row>
    <row r="42" spans="1:8" ht="30" customHeight="1" x14ac:dyDescent="0.25">
      <c r="A42" s="14">
        <v>45224.399651851854</v>
      </c>
      <c r="B42" s="2" t="s">
        <v>12</v>
      </c>
      <c r="C42" s="4" t="s">
        <v>879</v>
      </c>
      <c r="D42" s="17" t="s">
        <v>95</v>
      </c>
      <c r="E42" s="18" t="s">
        <v>982</v>
      </c>
      <c r="F42" s="4" t="str">
        <f t="shared" si="1"/>
        <v>EUB09D700267</v>
      </c>
      <c r="G42" s="4">
        <v>2539</v>
      </c>
      <c r="H42" s="4"/>
    </row>
    <row r="43" spans="1:8" ht="30" customHeight="1" x14ac:dyDescent="0.25">
      <c r="A43" s="14">
        <v>45224.398288888886</v>
      </c>
      <c r="B43" s="2" t="s">
        <v>8</v>
      </c>
      <c r="C43" s="4" t="s">
        <v>456</v>
      </c>
      <c r="D43" s="17" t="s">
        <v>95</v>
      </c>
      <c r="E43" s="18" t="s">
        <v>981</v>
      </c>
      <c r="F43" s="4" t="str">
        <f t="shared" si="1"/>
        <v>EUB09D700744</v>
      </c>
      <c r="G43" s="4">
        <v>3661</v>
      </c>
      <c r="H43" s="4"/>
    </row>
    <row r="44" spans="1:8" ht="30" customHeight="1" x14ac:dyDescent="0.25">
      <c r="A44" s="14">
        <v>45224.397741550929</v>
      </c>
      <c r="B44" s="2" t="s">
        <v>16</v>
      </c>
      <c r="C44" s="4" t="s">
        <v>979</v>
      </c>
      <c r="D44" s="17" t="s">
        <v>95</v>
      </c>
      <c r="E44" s="18" t="s">
        <v>980</v>
      </c>
      <c r="F44" s="4" t="str">
        <f t="shared" si="1"/>
        <v>EUB09D700851</v>
      </c>
      <c r="G44" s="4"/>
      <c r="H44" s="4"/>
    </row>
    <row r="45" spans="1:8" ht="30" customHeight="1" x14ac:dyDescent="0.25">
      <c r="A45" s="14">
        <v>45224.397218287035</v>
      </c>
      <c r="B45" s="2" t="s">
        <v>130</v>
      </c>
      <c r="C45" s="4" t="s">
        <v>977</v>
      </c>
      <c r="D45" s="17" t="s">
        <v>95</v>
      </c>
      <c r="E45" s="18" t="s">
        <v>978</v>
      </c>
      <c r="F45" s="4" t="str">
        <f t="shared" si="1"/>
        <v>Nincs Adat</v>
      </c>
      <c r="G45" s="4"/>
      <c r="H45" s="4">
        <v>2</v>
      </c>
    </row>
    <row r="46" spans="1:8" ht="30" customHeight="1" x14ac:dyDescent="0.25">
      <c r="A46" s="14">
        <v>45224.384644328704</v>
      </c>
      <c r="B46" s="2" t="s">
        <v>130</v>
      </c>
      <c r="C46" s="4" t="s">
        <v>975</v>
      </c>
      <c r="D46" s="17" t="s">
        <v>95</v>
      </c>
      <c r="E46" s="18" t="s">
        <v>976</v>
      </c>
      <c r="F46" s="4" t="str">
        <f t="shared" si="1"/>
        <v>Nincs Adat</v>
      </c>
      <c r="G46" s="4"/>
      <c r="H46" s="4">
        <v>4</v>
      </c>
    </row>
    <row r="47" spans="1:8" ht="30" customHeight="1" x14ac:dyDescent="0.25">
      <c r="A47" s="14">
        <v>45224.384206134258</v>
      </c>
      <c r="B47" s="2" t="s">
        <v>14</v>
      </c>
      <c r="C47" s="4" t="s">
        <v>973</v>
      </c>
      <c r="D47" s="17" t="s">
        <v>95</v>
      </c>
      <c r="E47" s="18" t="s">
        <v>974</v>
      </c>
      <c r="F47" s="4" t="str">
        <f t="shared" si="1"/>
        <v>EUB09D700269</v>
      </c>
      <c r="G47" s="4">
        <v>2712</v>
      </c>
      <c r="H47" s="4">
        <v>1</v>
      </c>
    </row>
    <row r="48" spans="1:8" ht="30" customHeight="1" x14ac:dyDescent="0.25">
      <c r="A48" s="14">
        <v>45216</v>
      </c>
      <c r="B48" s="2" t="s">
        <v>132</v>
      </c>
      <c r="C48" s="4" t="s">
        <v>971</v>
      </c>
      <c r="D48" s="17" t="s">
        <v>95</v>
      </c>
      <c r="E48" s="18" t="s">
        <v>972</v>
      </c>
      <c r="F48" s="4" t="str">
        <f t="shared" si="1"/>
        <v>Nincs Adat</v>
      </c>
      <c r="G48" s="4"/>
      <c r="H48" s="4">
        <v>2</v>
      </c>
    </row>
    <row r="49" spans="1:8" ht="30" customHeight="1" x14ac:dyDescent="0.25">
      <c r="A49" s="14">
        <v>45216</v>
      </c>
      <c r="B49" s="2" t="s">
        <v>142</v>
      </c>
      <c r="C49" s="4" t="s">
        <v>969</v>
      </c>
      <c r="D49" s="17" t="s">
        <v>95</v>
      </c>
      <c r="E49" s="18" t="s">
        <v>970</v>
      </c>
      <c r="F49" s="4" t="str">
        <f t="shared" si="1"/>
        <v>LO20N2RCB13B00112</v>
      </c>
      <c r="G49" s="4">
        <v>1592</v>
      </c>
      <c r="H49" s="4">
        <v>2</v>
      </c>
    </row>
    <row r="50" spans="1:8" ht="30" customHeight="1" x14ac:dyDescent="0.25">
      <c r="A50" s="14">
        <v>45216</v>
      </c>
      <c r="B50" s="2" t="s">
        <v>21</v>
      </c>
      <c r="C50" s="4" t="s">
        <v>967</v>
      </c>
      <c r="D50" s="17" t="s">
        <v>95</v>
      </c>
      <c r="E50" s="18" t="s">
        <v>968</v>
      </c>
      <c r="F50" s="4" t="str">
        <f t="shared" si="1"/>
        <v>EUB09D700842</v>
      </c>
      <c r="G50" s="4">
        <v>3152</v>
      </c>
      <c r="H50" s="4">
        <v>1</v>
      </c>
    </row>
    <row r="51" spans="1:8" ht="30" customHeight="1" x14ac:dyDescent="0.25">
      <c r="A51" s="14">
        <v>45216</v>
      </c>
      <c r="B51" s="2" t="s">
        <v>130</v>
      </c>
      <c r="C51" s="4" t="s">
        <v>965</v>
      </c>
      <c r="D51" s="17" t="s">
        <v>95</v>
      </c>
      <c r="E51" s="18" t="s">
        <v>966</v>
      </c>
      <c r="F51" s="4" t="str">
        <f t="shared" si="1"/>
        <v>Nincs Adat</v>
      </c>
      <c r="G51" s="4">
        <v>3152</v>
      </c>
      <c r="H51" s="4">
        <v>4</v>
      </c>
    </row>
    <row r="52" spans="1:8" ht="30" customHeight="1" x14ac:dyDescent="0.25">
      <c r="A52" s="14">
        <v>45211</v>
      </c>
      <c r="B52" s="2" t="s">
        <v>11</v>
      </c>
      <c r="C52" s="4" t="s">
        <v>963</v>
      </c>
      <c r="D52" s="17" t="s">
        <v>95</v>
      </c>
      <c r="E52" s="18" t="s">
        <v>964</v>
      </c>
      <c r="F52" s="4" t="str">
        <f t="shared" si="1"/>
        <v>EUB09D700850</v>
      </c>
      <c r="G52" s="4">
        <v>4390</v>
      </c>
      <c r="H52" s="4">
        <v>1</v>
      </c>
    </row>
    <row r="53" spans="1:8" ht="30" customHeight="1" x14ac:dyDescent="0.25">
      <c r="A53" s="14">
        <v>45211</v>
      </c>
      <c r="B53" s="2" t="s">
        <v>10</v>
      </c>
      <c r="C53" s="4" t="s">
        <v>961</v>
      </c>
      <c r="D53" s="17" t="s">
        <v>95</v>
      </c>
      <c r="E53" s="18" t="s">
        <v>962</v>
      </c>
      <c r="F53" s="4" t="str">
        <f t="shared" si="1"/>
        <v>EUB09D700794</v>
      </c>
      <c r="G53" s="4">
        <v>3307</v>
      </c>
      <c r="H53" s="4">
        <v>6</v>
      </c>
    </row>
    <row r="54" spans="1:8" ht="30" customHeight="1" x14ac:dyDescent="0.25">
      <c r="A54" s="14">
        <v>45209</v>
      </c>
      <c r="B54" s="2" t="s">
        <v>79</v>
      </c>
      <c r="C54" s="178" t="s">
        <v>959</v>
      </c>
      <c r="D54" s="17" t="s">
        <v>95</v>
      </c>
      <c r="E54" s="18" t="s">
        <v>960</v>
      </c>
      <c r="F54" s="4" t="str">
        <f t="shared" si="1"/>
        <v>PTP200R239153</v>
      </c>
      <c r="G54" s="4">
        <v>1190</v>
      </c>
      <c r="H54" s="4">
        <v>2</v>
      </c>
    </row>
    <row r="55" spans="1:8" ht="30" customHeight="1" x14ac:dyDescent="0.25">
      <c r="A55" s="14">
        <v>45209</v>
      </c>
      <c r="B55" s="2" t="s">
        <v>130</v>
      </c>
      <c r="C55" s="4" t="s">
        <v>958</v>
      </c>
      <c r="D55" s="17" t="s">
        <v>95</v>
      </c>
      <c r="E55" s="18"/>
      <c r="F55" s="4" t="str">
        <f t="shared" si="1"/>
        <v>Nincs Adat</v>
      </c>
      <c r="G55" s="4"/>
      <c r="H55" s="4"/>
    </row>
    <row r="56" spans="1:8" ht="30" customHeight="1" x14ac:dyDescent="0.25">
      <c r="A56" s="14">
        <v>45209</v>
      </c>
      <c r="B56" s="2" t="s">
        <v>10</v>
      </c>
      <c r="C56" s="4" t="s">
        <v>956</v>
      </c>
      <c r="D56" s="17" t="s">
        <v>95</v>
      </c>
      <c r="E56" s="18" t="s">
        <v>957</v>
      </c>
      <c r="F56" s="4" t="str">
        <f t="shared" si="1"/>
        <v>EUB09D700794</v>
      </c>
      <c r="G56" s="4">
        <v>3307</v>
      </c>
      <c r="H56" s="4">
        <v>7</v>
      </c>
    </row>
    <row r="57" spans="1:8" ht="30" customHeight="1" x14ac:dyDescent="0.25">
      <c r="A57" s="14">
        <v>45203</v>
      </c>
      <c r="B57" s="2" t="s">
        <v>10</v>
      </c>
      <c r="C57" s="4" t="s">
        <v>954</v>
      </c>
      <c r="D57" s="17" t="s">
        <v>95</v>
      </c>
      <c r="E57" s="18" t="s">
        <v>953</v>
      </c>
      <c r="F57" s="4" t="str">
        <f t="shared" si="1"/>
        <v>EUB09D700794</v>
      </c>
      <c r="G57" s="4"/>
      <c r="H57" s="4">
        <v>5</v>
      </c>
    </row>
    <row r="58" spans="1:8" ht="30" customHeight="1" x14ac:dyDescent="0.25">
      <c r="A58" s="14">
        <v>45203</v>
      </c>
      <c r="B58" s="2" t="s">
        <v>16</v>
      </c>
      <c r="C58" s="4" t="s">
        <v>943</v>
      </c>
      <c r="D58" s="17" t="s">
        <v>95</v>
      </c>
      <c r="E58" s="18" t="s">
        <v>955</v>
      </c>
      <c r="F58" s="4" t="str">
        <f t="shared" si="1"/>
        <v>EUB09D700851</v>
      </c>
      <c r="G58" s="4">
        <v>3450</v>
      </c>
      <c r="H58" s="4">
        <v>1</v>
      </c>
    </row>
    <row r="59" spans="1:8" ht="30" customHeight="1" x14ac:dyDescent="0.25">
      <c r="A59" s="14">
        <v>45205.390971064815</v>
      </c>
      <c r="B59" s="2" t="s">
        <v>17</v>
      </c>
      <c r="C59" s="4" t="s">
        <v>941</v>
      </c>
      <c r="D59" s="17" t="s">
        <v>95</v>
      </c>
      <c r="E59" s="18" t="s">
        <v>942</v>
      </c>
      <c r="F59" s="4" t="str">
        <f t="shared" si="1"/>
        <v>EUB09D700852</v>
      </c>
      <c r="G59" s="4">
        <v>3489</v>
      </c>
      <c r="H59" s="4">
        <v>1</v>
      </c>
    </row>
    <row r="60" spans="1:8" ht="30" customHeight="1" x14ac:dyDescent="0.25">
      <c r="A60" s="14">
        <v>45203</v>
      </c>
      <c r="B60" s="2" t="s">
        <v>80</v>
      </c>
      <c r="C60" s="4" t="s">
        <v>947</v>
      </c>
      <c r="D60" s="17" t="s">
        <v>95</v>
      </c>
      <c r="E60" s="18" t="s">
        <v>948</v>
      </c>
      <c r="F60" s="4" t="str">
        <f t="shared" si="1"/>
        <v>PTP200R239154</v>
      </c>
      <c r="G60" s="4">
        <v>401</v>
      </c>
      <c r="H60" s="4">
        <v>1</v>
      </c>
    </row>
    <row r="61" spans="1:8" ht="30" customHeight="1" x14ac:dyDescent="0.25">
      <c r="A61" s="14">
        <v>45203</v>
      </c>
      <c r="B61" s="2" t="s">
        <v>79</v>
      </c>
      <c r="C61" s="4" t="s">
        <v>945</v>
      </c>
      <c r="D61" s="17" t="s">
        <v>95</v>
      </c>
      <c r="E61" s="18" t="s">
        <v>946</v>
      </c>
      <c r="F61" s="4" t="str">
        <f t="shared" si="1"/>
        <v>PTP200R239153</v>
      </c>
      <c r="G61" s="4">
        <v>1153</v>
      </c>
      <c r="H61" s="4">
        <v>1</v>
      </c>
    </row>
    <row r="62" spans="1:8" ht="30" customHeight="1" x14ac:dyDescent="0.25">
      <c r="A62" s="14">
        <v>45203</v>
      </c>
      <c r="B62" s="2" t="s">
        <v>12</v>
      </c>
      <c r="C62" s="178" t="s">
        <v>944</v>
      </c>
      <c r="D62" s="17" t="s">
        <v>95</v>
      </c>
      <c r="E62" s="18" t="s">
        <v>949</v>
      </c>
      <c r="F62" s="4" t="str">
        <f t="shared" si="1"/>
        <v>EUB09D700267</v>
      </c>
      <c r="G62" s="4"/>
      <c r="H62" s="4">
        <v>2</v>
      </c>
    </row>
    <row r="63" spans="1:8" ht="30" customHeight="1" x14ac:dyDescent="0.25">
      <c r="A63" s="14">
        <v>45201</v>
      </c>
      <c r="B63" s="2" t="s">
        <v>11</v>
      </c>
      <c r="C63" s="4" t="s">
        <v>940</v>
      </c>
      <c r="D63" s="17" t="s">
        <v>95</v>
      </c>
      <c r="E63" s="18" t="s">
        <v>939</v>
      </c>
      <c r="F63" s="4" t="str">
        <f t="shared" si="1"/>
        <v>EUB09D700850</v>
      </c>
      <c r="G63" s="4">
        <v>4298</v>
      </c>
      <c r="H63" s="4">
        <v>1</v>
      </c>
    </row>
    <row r="64" spans="1:8" ht="30" customHeight="1" x14ac:dyDescent="0.25">
      <c r="A64" s="14">
        <v>45197</v>
      </c>
      <c r="B64" s="2" t="s">
        <v>857</v>
      </c>
      <c r="C64" s="4" t="s">
        <v>935</v>
      </c>
      <c r="D64" s="17" t="s">
        <v>95</v>
      </c>
      <c r="E64" s="18" t="s">
        <v>936</v>
      </c>
      <c r="F64" s="4" t="str">
        <f t="shared" si="1"/>
        <v>Nincs Adat</v>
      </c>
      <c r="G64" s="4">
        <v>15</v>
      </c>
      <c r="H64" s="4">
        <v>1</v>
      </c>
    </row>
    <row r="65" spans="1:9" ht="29.45" customHeight="1" x14ac:dyDescent="0.25">
      <c r="A65" s="14">
        <v>45197</v>
      </c>
      <c r="B65" s="2" t="s">
        <v>4</v>
      </c>
      <c r="C65" s="4" t="s">
        <v>933</v>
      </c>
      <c r="D65" s="17" t="s">
        <v>95</v>
      </c>
      <c r="E65" s="18" t="s">
        <v>934</v>
      </c>
      <c r="F65" s="4" t="str">
        <f t="shared" si="1"/>
        <v>JAG2N1E701604</v>
      </c>
      <c r="G65" s="4">
        <v>726</v>
      </c>
      <c r="H65" s="4">
        <v>1</v>
      </c>
    </row>
    <row r="66" spans="1:9" ht="30" customHeight="1" x14ac:dyDescent="0.25">
      <c r="A66" s="14">
        <v>45197</v>
      </c>
      <c r="B66" s="2" t="s">
        <v>78</v>
      </c>
      <c r="C66" s="4" t="s">
        <v>931</v>
      </c>
      <c r="D66" s="17" t="s">
        <v>95</v>
      </c>
      <c r="E66" s="18" t="s">
        <v>932</v>
      </c>
      <c r="F66" s="4" t="str">
        <f t="shared" si="1"/>
        <v>PTP200R239152</v>
      </c>
      <c r="G66" s="4">
        <v>1404</v>
      </c>
      <c r="H66" s="4">
        <v>1</v>
      </c>
    </row>
    <row r="67" spans="1:9" ht="30" customHeight="1" x14ac:dyDescent="0.25">
      <c r="A67" s="14">
        <v>45196.385208333333</v>
      </c>
      <c r="B67" s="2" t="s">
        <v>891</v>
      </c>
      <c r="C67" s="4" t="s">
        <v>928</v>
      </c>
      <c r="D67" s="17" t="s">
        <v>95</v>
      </c>
      <c r="E67" s="18" t="s">
        <v>929</v>
      </c>
      <c r="F67" s="4">
        <f t="shared" si="1"/>
        <v>10817</v>
      </c>
      <c r="G67" s="4">
        <v>78</v>
      </c>
      <c r="H67" s="4">
        <v>2</v>
      </c>
    </row>
    <row r="68" spans="1:9" ht="30" customHeight="1" x14ac:dyDescent="0.25">
      <c r="A68" s="14">
        <v>45195.531668055555</v>
      </c>
      <c r="B68" s="2" t="s">
        <v>22</v>
      </c>
      <c r="C68" s="178" t="s">
        <v>938</v>
      </c>
      <c r="D68" s="17" t="s">
        <v>95</v>
      </c>
      <c r="E68" s="18" t="s">
        <v>937</v>
      </c>
      <c r="F68" s="4" t="str">
        <f t="shared" si="1"/>
        <v>EUB09D700838</v>
      </c>
      <c r="G68" s="4">
        <v>1781</v>
      </c>
      <c r="H68" s="4">
        <v>6</v>
      </c>
    </row>
    <row r="69" spans="1:9" ht="30" customHeight="1" x14ac:dyDescent="0.25">
      <c r="A69" s="14">
        <v>45195.531237037037</v>
      </c>
      <c r="B69" s="2" t="s">
        <v>16</v>
      </c>
      <c r="C69" s="4" t="s">
        <v>927</v>
      </c>
      <c r="D69" s="17" t="s">
        <v>96</v>
      </c>
      <c r="E69" s="18"/>
      <c r="F69" s="4" t="str">
        <f t="shared" si="1"/>
        <v>EUB09D700851</v>
      </c>
      <c r="G69" s="4"/>
      <c r="H69" s="4"/>
    </row>
    <row r="70" spans="1:9" ht="30" customHeight="1" x14ac:dyDescent="0.25">
      <c r="A70" s="14">
        <v>45195.530364004633</v>
      </c>
      <c r="B70" s="2" t="s">
        <v>24</v>
      </c>
      <c r="C70" s="4" t="s">
        <v>926</v>
      </c>
      <c r="D70" s="17" t="s">
        <v>95</v>
      </c>
      <c r="E70" s="18" t="s">
        <v>930</v>
      </c>
      <c r="F70" s="4" t="str">
        <f t="shared" si="1"/>
        <v>EUB09D700704</v>
      </c>
      <c r="G70" s="4">
        <v>2648</v>
      </c>
      <c r="H70" s="4">
        <v>3</v>
      </c>
    </row>
    <row r="71" spans="1:9" ht="30" customHeight="1" x14ac:dyDescent="0.25">
      <c r="A71" s="14">
        <v>45195.496927314816</v>
      </c>
      <c r="B71" s="2" t="s">
        <v>4</v>
      </c>
      <c r="C71" s="4" t="s">
        <v>924</v>
      </c>
      <c r="D71" s="17" t="s">
        <v>95</v>
      </c>
      <c r="E71" s="18" t="s">
        <v>925</v>
      </c>
      <c r="F71" s="4" t="str">
        <f t="shared" si="1"/>
        <v>JAG2N1E701604</v>
      </c>
      <c r="G71" s="4">
        <v>725</v>
      </c>
      <c r="H71" s="4">
        <v>2</v>
      </c>
    </row>
    <row r="72" spans="1:9" ht="30" customHeight="1" x14ac:dyDescent="0.25">
      <c r="A72" s="14">
        <v>45195.496429976854</v>
      </c>
      <c r="B72" s="2" t="s">
        <v>26</v>
      </c>
      <c r="C72" s="4" t="s">
        <v>922</v>
      </c>
      <c r="D72" s="17" t="s">
        <v>95</v>
      </c>
      <c r="E72" s="18" t="s">
        <v>923</v>
      </c>
      <c r="F72" s="4" t="str">
        <f t="shared" ref="F72:F135" si="2">IFERROR(VLOOKUP(B72,targlist02,3,0),"Nincs Adat")</f>
        <v>EFC09D60002</v>
      </c>
      <c r="G72" s="4">
        <v>5875</v>
      </c>
      <c r="H72" s="4">
        <v>1</v>
      </c>
    </row>
    <row r="73" spans="1:9" ht="30" customHeight="1" x14ac:dyDescent="0.25">
      <c r="A73" s="14">
        <v>45195.493640624998</v>
      </c>
      <c r="B73" s="2" t="s">
        <v>9</v>
      </c>
      <c r="C73" s="4" t="s">
        <v>920</v>
      </c>
      <c r="D73" s="17" t="s">
        <v>95</v>
      </c>
      <c r="E73" s="18" t="s">
        <v>921</v>
      </c>
      <c r="F73" s="4" t="str">
        <f t="shared" si="2"/>
        <v>EUB09D700745</v>
      </c>
      <c r="G73" s="4">
        <v>3925</v>
      </c>
      <c r="H73" s="4">
        <v>1</v>
      </c>
    </row>
    <row r="74" spans="1:9" ht="30" customHeight="1" x14ac:dyDescent="0.25">
      <c r="A74" s="14">
        <v>45194.456739467591</v>
      </c>
      <c r="B74" s="2" t="s">
        <v>52</v>
      </c>
      <c r="C74" s="4" t="s">
        <v>914</v>
      </c>
      <c r="D74" s="17" t="s">
        <v>95</v>
      </c>
      <c r="E74" s="18" t="s">
        <v>915</v>
      </c>
      <c r="F74" s="4" t="str">
        <f t="shared" si="2"/>
        <v>Nincs Adat</v>
      </c>
      <c r="G74" s="4"/>
      <c r="H74" s="4">
        <v>1</v>
      </c>
    </row>
    <row r="75" spans="1:9" ht="30" customHeight="1" x14ac:dyDescent="0.25">
      <c r="A75" s="14">
        <v>45194.456058680553</v>
      </c>
      <c r="B75" s="2" t="s">
        <v>78</v>
      </c>
      <c r="C75" s="4" t="s">
        <v>912</v>
      </c>
      <c r="D75" s="17" t="s">
        <v>95</v>
      </c>
      <c r="E75" s="18" t="s">
        <v>913</v>
      </c>
      <c r="F75" s="4" t="str">
        <f t="shared" si="2"/>
        <v>PTP200R239152</v>
      </c>
      <c r="G75" s="4">
        <v>1389</v>
      </c>
      <c r="H75" s="4">
        <v>1</v>
      </c>
    </row>
    <row r="76" spans="1:9" ht="30" customHeight="1" x14ac:dyDescent="0.25">
      <c r="A76" s="14">
        <v>45194.453658217593</v>
      </c>
      <c r="B76" s="2" t="s">
        <v>20</v>
      </c>
      <c r="C76" s="4" t="s">
        <v>904</v>
      </c>
      <c r="D76" s="17" t="s">
        <v>95</v>
      </c>
      <c r="E76" s="18" t="s">
        <v>905</v>
      </c>
      <c r="F76" s="4" t="str">
        <f t="shared" si="2"/>
        <v>EUB09D700832</v>
      </c>
      <c r="G76" s="4">
        <v>2930</v>
      </c>
      <c r="H76" s="4">
        <v>1</v>
      </c>
    </row>
    <row r="77" spans="1:9" ht="30" customHeight="1" x14ac:dyDescent="0.25">
      <c r="A77" s="14">
        <v>45190.457719907405</v>
      </c>
      <c r="B77" s="2" t="s">
        <v>17</v>
      </c>
      <c r="C77" s="4" t="s">
        <v>916</v>
      </c>
      <c r="D77" s="17" t="s">
        <v>95</v>
      </c>
      <c r="E77" s="18" t="s">
        <v>917</v>
      </c>
      <c r="F77" s="4" t="str">
        <f t="shared" si="2"/>
        <v>EUB09D700852</v>
      </c>
      <c r="G77" s="43">
        <v>3394</v>
      </c>
      <c r="H77" s="4">
        <v>1</v>
      </c>
    </row>
    <row r="78" spans="1:9" ht="30" customHeight="1" x14ac:dyDescent="0.25">
      <c r="A78" s="14">
        <v>45190</v>
      </c>
      <c r="B78" s="2" t="s">
        <v>16</v>
      </c>
      <c r="C78" s="4" t="s">
        <v>910</v>
      </c>
      <c r="D78" s="17" t="s">
        <v>95</v>
      </c>
      <c r="E78" s="18" t="s">
        <v>911</v>
      </c>
      <c r="F78" s="4" t="str">
        <f t="shared" si="2"/>
        <v>EUB09D700851</v>
      </c>
      <c r="G78" s="4">
        <v>3378</v>
      </c>
      <c r="H78" s="4">
        <v>1</v>
      </c>
    </row>
    <row r="79" spans="1:9" ht="30" customHeight="1" x14ac:dyDescent="0.25">
      <c r="A79" s="14">
        <v>45188.454722222225</v>
      </c>
      <c r="B79" s="2" t="s">
        <v>79</v>
      </c>
      <c r="C79" s="4" t="s">
        <v>908</v>
      </c>
      <c r="D79" s="17" t="s">
        <v>95</v>
      </c>
      <c r="E79" s="18" t="s">
        <v>909</v>
      </c>
      <c r="F79" s="4" t="str">
        <f t="shared" si="2"/>
        <v>PTP200R239153</v>
      </c>
      <c r="G79" s="4">
        <v>1106</v>
      </c>
      <c r="H79" s="4">
        <v>1</v>
      </c>
    </row>
    <row r="80" spans="1:9" ht="30" customHeight="1" x14ac:dyDescent="0.25">
      <c r="A80" s="14">
        <v>45188.454293981478</v>
      </c>
      <c r="B80" s="2" t="s">
        <v>78</v>
      </c>
      <c r="C80" s="4" t="s">
        <v>906</v>
      </c>
      <c r="D80" s="17" t="s">
        <v>95</v>
      </c>
      <c r="E80" s="18" t="s">
        <v>907</v>
      </c>
      <c r="F80" s="4" t="str">
        <f t="shared" si="2"/>
        <v>PTP200R239152</v>
      </c>
      <c r="G80" s="4">
        <v>1375</v>
      </c>
      <c r="H80" s="4">
        <v>3</v>
      </c>
      <c r="I80" s="1" t="s">
        <v>1049</v>
      </c>
    </row>
    <row r="81" spans="1:9" ht="30" customHeight="1" x14ac:dyDescent="0.25">
      <c r="A81" s="14">
        <v>45188.339451736108</v>
      </c>
      <c r="B81" s="2" t="s">
        <v>79</v>
      </c>
      <c r="C81" s="4" t="s">
        <v>902</v>
      </c>
      <c r="D81" s="17" t="s">
        <v>95</v>
      </c>
      <c r="E81" s="18" t="s">
        <v>903</v>
      </c>
      <c r="F81" s="4" t="str">
        <f t="shared" si="2"/>
        <v>PTP200R239153</v>
      </c>
      <c r="G81" s="4">
        <v>1100</v>
      </c>
      <c r="H81" s="4">
        <v>2</v>
      </c>
    </row>
    <row r="82" spans="1:9" ht="30" customHeight="1" x14ac:dyDescent="0.25">
      <c r="A82" s="214">
        <v>45188.339044328706</v>
      </c>
      <c r="B82" s="215" t="s">
        <v>38</v>
      </c>
      <c r="C82" s="216" t="s">
        <v>900</v>
      </c>
      <c r="D82" s="17" t="s">
        <v>95</v>
      </c>
      <c r="E82" s="18" t="s">
        <v>901</v>
      </c>
      <c r="F82" s="4" t="str">
        <f t="shared" si="2"/>
        <v>Nincs Adat</v>
      </c>
      <c r="G82" s="4"/>
      <c r="H82" s="4">
        <v>2</v>
      </c>
    </row>
    <row r="83" spans="1:9" ht="30" customHeight="1" x14ac:dyDescent="0.25">
      <c r="A83" s="14">
        <v>45188.338284027777</v>
      </c>
      <c r="B83" s="2" t="s">
        <v>25</v>
      </c>
      <c r="C83" s="4" t="s">
        <v>899</v>
      </c>
      <c r="D83" s="17" t="s">
        <v>95</v>
      </c>
      <c r="E83" s="18" t="s">
        <v>898</v>
      </c>
      <c r="F83" s="4" t="str">
        <f t="shared" si="2"/>
        <v>EUB09D700741</v>
      </c>
      <c r="G83" s="4">
        <v>1611</v>
      </c>
      <c r="H83" s="4">
        <v>1</v>
      </c>
    </row>
    <row r="84" spans="1:9" ht="30" customHeight="1" x14ac:dyDescent="0.25">
      <c r="A84" s="14">
        <v>45188.337703124998</v>
      </c>
      <c r="B84" s="2" t="s">
        <v>16</v>
      </c>
      <c r="C84" s="4" t="s">
        <v>897</v>
      </c>
      <c r="D84" s="17" t="s">
        <v>95</v>
      </c>
      <c r="E84" s="18" t="s">
        <v>896</v>
      </c>
      <c r="F84" s="4" t="str">
        <f t="shared" si="2"/>
        <v>EUB09D700851</v>
      </c>
      <c r="G84" s="4">
        <v>3355</v>
      </c>
      <c r="H84" s="4">
        <v>0</v>
      </c>
      <c r="I84" s="1" t="s">
        <v>1049</v>
      </c>
    </row>
    <row r="85" spans="1:9" ht="30" customHeight="1" x14ac:dyDescent="0.25">
      <c r="A85" s="14">
        <v>45188.337451736108</v>
      </c>
      <c r="B85" s="2" t="s">
        <v>7</v>
      </c>
      <c r="C85" s="4" t="s">
        <v>894</v>
      </c>
      <c r="D85" s="17" t="s">
        <v>95</v>
      </c>
      <c r="E85" s="18" t="s">
        <v>895</v>
      </c>
      <c r="F85" s="4" t="str">
        <f t="shared" si="2"/>
        <v>EUB09D700743</v>
      </c>
      <c r="G85" s="4">
        <v>3440</v>
      </c>
      <c r="H85" s="4">
        <v>2</v>
      </c>
    </row>
    <row r="86" spans="1:9" ht="30" customHeight="1" x14ac:dyDescent="0.25">
      <c r="A86" s="14">
        <v>45187.472740393518</v>
      </c>
      <c r="B86" s="2" t="s">
        <v>891</v>
      </c>
      <c r="C86" s="4" t="s">
        <v>892</v>
      </c>
      <c r="D86" s="17" t="s">
        <v>95</v>
      </c>
      <c r="E86" s="18" t="s">
        <v>893</v>
      </c>
      <c r="F86" s="4">
        <f t="shared" si="2"/>
        <v>10817</v>
      </c>
      <c r="G86" s="4">
        <v>71</v>
      </c>
      <c r="H86" s="4">
        <v>6</v>
      </c>
    </row>
    <row r="87" spans="1:9" ht="30" customHeight="1" x14ac:dyDescent="0.25">
      <c r="A87" s="14">
        <v>45187.472400810184</v>
      </c>
      <c r="B87" s="2" t="s">
        <v>18</v>
      </c>
      <c r="C87" s="22" t="s">
        <v>889</v>
      </c>
      <c r="D87" s="111" t="s">
        <v>95</v>
      </c>
      <c r="E87" s="18" t="s">
        <v>890</v>
      </c>
      <c r="F87" s="4" t="str">
        <f t="shared" si="2"/>
        <v>EUB09D700992</v>
      </c>
      <c r="G87" s="4">
        <v>4216</v>
      </c>
      <c r="H87" s="4">
        <v>1</v>
      </c>
    </row>
    <row r="88" spans="1:9" ht="30" customHeight="1" x14ac:dyDescent="0.25">
      <c r="A88" s="14">
        <v>45187.47176828704</v>
      </c>
      <c r="B88" s="2" t="s">
        <v>19</v>
      </c>
      <c r="C88" s="22" t="s">
        <v>887</v>
      </c>
      <c r="D88" s="111" t="s">
        <v>95</v>
      </c>
      <c r="E88" s="18" t="s">
        <v>888</v>
      </c>
      <c r="F88" s="4" t="str">
        <f t="shared" si="2"/>
        <v>EUB09D700836</v>
      </c>
      <c r="G88" s="4">
        <v>4071</v>
      </c>
      <c r="H88" s="4">
        <v>1</v>
      </c>
    </row>
    <row r="89" spans="1:9" ht="30" customHeight="1" x14ac:dyDescent="0.25">
      <c r="A89" s="14">
        <v>45187.471254282405</v>
      </c>
      <c r="B89" s="2" t="s">
        <v>142</v>
      </c>
      <c r="C89" s="22" t="s">
        <v>885</v>
      </c>
      <c r="D89" s="111" t="s">
        <v>95</v>
      </c>
      <c r="E89" s="18" t="s">
        <v>886</v>
      </c>
      <c r="F89" s="4" t="str">
        <f t="shared" si="2"/>
        <v>LO20N2RCB13B00112</v>
      </c>
      <c r="G89" s="4">
        <v>1500</v>
      </c>
      <c r="H89" s="4">
        <v>1</v>
      </c>
    </row>
    <row r="90" spans="1:9" ht="30" customHeight="1" x14ac:dyDescent="0.25">
      <c r="A90" s="14">
        <v>45187.470559374997</v>
      </c>
      <c r="B90" s="2" t="s">
        <v>141</v>
      </c>
      <c r="C90" s="22" t="s">
        <v>883</v>
      </c>
      <c r="D90" s="111" t="s">
        <v>95</v>
      </c>
      <c r="E90" s="18" t="s">
        <v>884</v>
      </c>
      <c r="F90" s="4" t="str">
        <f t="shared" si="2"/>
        <v>LO20N2RCB13B00110</v>
      </c>
      <c r="G90" s="4">
        <v>940</v>
      </c>
      <c r="H90" s="4">
        <v>2</v>
      </c>
    </row>
    <row r="91" spans="1:9" ht="30" customHeight="1" x14ac:dyDescent="0.25">
      <c r="A91" s="14">
        <v>45187.46877673611</v>
      </c>
      <c r="B91" s="2" t="s">
        <v>23</v>
      </c>
      <c r="C91" s="22" t="s">
        <v>881</v>
      </c>
      <c r="D91" s="111" t="s">
        <v>95</v>
      </c>
      <c r="E91" s="18" t="s">
        <v>882</v>
      </c>
      <c r="F91" s="4" t="str">
        <f t="shared" si="2"/>
        <v>EUB09D700740</v>
      </c>
      <c r="G91" s="4">
        <v>1558</v>
      </c>
      <c r="H91" s="4">
        <v>1</v>
      </c>
    </row>
    <row r="92" spans="1:9" ht="30" customHeight="1" x14ac:dyDescent="0.25">
      <c r="A92" s="14">
        <v>45187.468496759262</v>
      </c>
      <c r="B92" s="2" t="s">
        <v>21</v>
      </c>
      <c r="C92" s="22" t="s">
        <v>879</v>
      </c>
      <c r="D92" s="111" t="s">
        <v>95</v>
      </c>
      <c r="E92" s="18" t="s">
        <v>880</v>
      </c>
      <c r="F92" s="4" t="str">
        <f t="shared" si="2"/>
        <v>EUB09D700842</v>
      </c>
      <c r="G92" s="4">
        <v>2984</v>
      </c>
      <c r="H92" s="4">
        <v>1</v>
      </c>
    </row>
    <row r="93" spans="1:9" ht="30" customHeight="1" x14ac:dyDescent="0.25">
      <c r="A93" s="14">
        <v>45187.467868287036</v>
      </c>
      <c r="B93" s="2" t="s">
        <v>19</v>
      </c>
      <c r="C93" s="22" t="s">
        <v>877</v>
      </c>
      <c r="D93" s="111" t="s">
        <v>95</v>
      </c>
      <c r="E93" s="18" t="s">
        <v>878</v>
      </c>
      <c r="F93" s="4" t="str">
        <f t="shared" si="2"/>
        <v>EUB09D700836</v>
      </c>
      <c r="G93" s="4">
        <v>4062</v>
      </c>
      <c r="H93" s="4">
        <v>1</v>
      </c>
    </row>
    <row r="94" spans="1:9" ht="30" customHeight="1" x14ac:dyDescent="0.25">
      <c r="A94" s="14">
        <v>45187.467619675925</v>
      </c>
      <c r="B94" s="2" t="s">
        <v>78</v>
      </c>
      <c r="C94" s="35" t="s">
        <v>875</v>
      </c>
      <c r="D94" s="111" t="s">
        <v>95</v>
      </c>
      <c r="E94" s="18" t="s">
        <v>876</v>
      </c>
      <c r="F94" s="4" t="str">
        <f t="shared" si="2"/>
        <v>PTP200R239152</v>
      </c>
      <c r="G94" s="4">
        <v>1354</v>
      </c>
      <c r="H94" s="4">
        <v>2</v>
      </c>
    </row>
    <row r="95" spans="1:9" ht="30" customHeight="1" x14ac:dyDescent="0.25">
      <c r="A95" s="14">
        <v>45187.467023958336</v>
      </c>
      <c r="B95" s="2" t="s">
        <v>81</v>
      </c>
      <c r="C95" s="22" t="s">
        <v>873</v>
      </c>
      <c r="D95" s="111" t="s">
        <v>95</v>
      </c>
      <c r="E95" s="18" t="s">
        <v>874</v>
      </c>
      <c r="F95" s="4" t="str">
        <f t="shared" si="2"/>
        <v>PTP200R239155</v>
      </c>
      <c r="G95" s="4">
        <v>239</v>
      </c>
      <c r="H95" s="4">
        <v>1</v>
      </c>
    </row>
    <row r="96" spans="1:9" ht="30" customHeight="1" x14ac:dyDescent="0.25">
      <c r="A96" s="14">
        <v>45187.465818055556</v>
      </c>
      <c r="B96" s="2" t="s">
        <v>79</v>
      </c>
      <c r="C96" s="22" t="s">
        <v>871</v>
      </c>
      <c r="D96" s="111" t="s">
        <v>95</v>
      </c>
      <c r="E96" s="18" t="s">
        <v>872</v>
      </c>
      <c r="F96" s="4" t="str">
        <f t="shared" si="2"/>
        <v>PTP200R239153</v>
      </c>
      <c r="G96" s="4">
        <v>1075</v>
      </c>
      <c r="H96" s="4">
        <v>2</v>
      </c>
    </row>
    <row r="97" spans="1:8" ht="30" customHeight="1" x14ac:dyDescent="0.25">
      <c r="A97" s="14">
        <v>45187.465410879631</v>
      </c>
      <c r="B97" s="2" t="s">
        <v>78</v>
      </c>
      <c r="C97" s="22" t="s">
        <v>869</v>
      </c>
      <c r="D97" s="111" t="s">
        <v>95</v>
      </c>
      <c r="E97" s="18" t="s">
        <v>870</v>
      </c>
      <c r="F97" s="4" t="str">
        <f t="shared" si="2"/>
        <v>PTP200R239152</v>
      </c>
      <c r="G97" s="4">
        <v>1351</v>
      </c>
      <c r="H97" s="4">
        <v>2</v>
      </c>
    </row>
    <row r="98" spans="1:8" ht="30" customHeight="1" x14ac:dyDescent="0.25">
      <c r="A98" s="14">
        <v>45187.465046180558</v>
      </c>
      <c r="B98" s="2" t="s">
        <v>17</v>
      </c>
      <c r="C98" s="22" t="s">
        <v>166</v>
      </c>
      <c r="D98" s="111" t="s">
        <v>95</v>
      </c>
      <c r="E98" s="18" t="s">
        <v>868</v>
      </c>
      <c r="F98" s="4" t="str">
        <f t="shared" si="2"/>
        <v>EUB09D700852</v>
      </c>
      <c r="G98" s="4">
        <v>3290</v>
      </c>
      <c r="H98" s="4">
        <v>3</v>
      </c>
    </row>
    <row r="99" spans="1:8" ht="30" customHeight="1" x14ac:dyDescent="0.25">
      <c r="A99" s="14">
        <v>45187.340665393516</v>
      </c>
      <c r="B99" s="2" t="s">
        <v>13</v>
      </c>
      <c r="C99" s="22" t="s">
        <v>862</v>
      </c>
      <c r="D99" s="111" t="s">
        <v>95</v>
      </c>
      <c r="E99" s="18" t="s">
        <v>863</v>
      </c>
      <c r="F99" s="4" t="str">
        <f t="shared" si="2"/>
        <v>EUB09D700268</v>
      </c>
      <c r="G99" s="4">
        <v>2328</v>
      </c>
      <c r="H99" s="4">
        <v>4</v>
      </c>
    </row>
    <row r="100" spans="1:8" ht="30" customHeight="1" x14ac:dyDescent="0.25">
      <c r="A100" s="14">
        <v>45187.339971180554</v>
      </c>
      <c r="B100" s="2" t="s">
        <v>8</v>
      </c>
      <c r="C100" s="22" t="s">
        <v>860</v>
      </c>
      <c r="D100" s="111" t="s">
        <v>95</v>
      </c>
      <c r="E100" s="18" t="s">
        <v>861</v>
      </c>
      <c r="F100" s="4" t="str">
        <f t="shared" si="2"/>
        <v>EUB09D700744</v>
      </c>
      <c r="G100" s="4">
        <v>3442</v>
      </c>
      <c r="H100" s="4">
        <v>1</v>
      </c>
    </row>
    <row r="101" spans="1:8" ht="30" customHeight="1" x14ac:dyDescent="0.25">
      <c r="A101" s="14">
        <v>45187.338378125001</v>
      </c>
      <c r="B101" s="2" t="s">
        <v>857</v>
      </c>
      <c r="C101" s="22" t="s">
        <v>858</v>
      </c>
      <c r="D101" s="111" t="s">
        <v>95</v>
      </c>
      <c r="E101" s="18" t="s">
        <v>859</v>
      </c>
      <c r="F101" s="4" t="str">
        <f t="shared" si="2"/>
        <v>Nincs Adat</v>
      </c>
      <c r="G101" s="4">
        <v>15</v>
      </c>
      <c r="H101" s="4">
        <v>1</v>
      </c>
    </row>
    <row r="102" spans="1:8" ht="30" customHeight="1" x14ac:dyDescent="0.25">
      <c r="A102" s="14">
        <v>45174.570065277781</v>
      </c>
      <c r="B102" s="2" t="s">
        <v>22</v>
      </c>
      <c r="C102" s="22" t="s">
        <v>449</v>
      </c>
      <c r="D102" s="111" t="s">
        <v>95</v>
      </c>
      <c r="E102" s="18" t="s">
        <v>867</v>
      </c>
      <c r="F102" s="4" t="str">
        <f t="shared" si="2"/>
        <v>EUB09D700838</v>
      </c>
      <c r="G102" s="4">
        <v>1715</v>
      </c>
      <c r="H102" s="4">
        <v>3</v>
      </c>
    </row>
    <row r="103" spans="1:8" ht="30" customHeight="1" x14ac:dyDescent="0.25">
      <c r="A103" s="14">
        <v>45174.505293865739</v>
      </c>
      <c r="B103" s="2" t="s">
        <v>87</v>
      </c>
      <c r="C103" s="22" t="s">
        <v>854</v>
      </c>
      <c r="D103" s="111" t="s">
        <v>95</v>
      </c>
      <c r="E103" s="18" t="s">
        <v>856</v>
      </c>
      <c r="F103" s="4" t="str">
        <f t="shared" si="2"/>
        <v>Nincs Adat</v>
      </c>
      <c r="G103" s="4"/>
      <c r="H103" s="4">
        <v>2</v>
      </c>
    </row>
    <row r="104" spans="1:8" ht="30" customHeight="1" x14ac:dyDescent="0.25">
      <c r="A104" s="14">
        <v>45174.504767592596</v>
      </c>
      <c r="B104" s="2" t="s">
        <v>18</v>
      </c>
      <c r="C104" s="22" t="s">
        <v>853</v>
      </c>
      <c r="D104" s="111" t="s">
        <v>95</v>
      </c>
      <c r="E104" s="18" t="s">
        <v>864</v>
      </c>
      <c r="F104" s="4" t="str">
        <f t="shared" si="2"/>
        <v>EUB09D700992</v>
      </c>
      <c r="G104" s="4">
        <v>4216</v>
      </c>
      <c r="H104" s="4">
        <v>2</v>
      </c>
    </row>
    <row r="105" spans="1:8" ht="30" customHeight="1" x14ac:dyDescent="0.25">
      <c r="A105" s="14">
        <v>45174.504059837964</v>
      </c>
      <c r="B105" s="2" t="s">
        <v>78</v>
      </c>
      <c r="C105" s="22" t="s">
        <v>850</v>
      </c>
      <c r="D105" s="111" t="s">
        <v>95</v>
      </c>
      <c r="E105" s="18" t="s">
        <v>851</v>
      </c>
      <c r="F105" s="4" t="str">
        <f t="shared" si="2"/>
        <v>PTP200R239152</v>
      </c>
      <c r="G105" s="4">
        <v>1325</v>
      </c>
      <c r="H105" s="4">
        <v>2</v>
      </c>
    </row>
    <row r="106" spans="1:8" ht="30" customHeight="1" x14ac:dyDescent="0.25">
      <c r="A106" s="14">
        <v>45174.503619907409</v>
      </c>
      <c r="B106" s="2" t="s">
        <v>80</v>
      </c>
      <c r="C106" s="22" t="s">
        <v>848</v>
      </c>
      <c r="D106" s="111" t="s">
        <v>95</v>
      </c>
      <c r="E106" s="18" t="s">
        <v>849</v>
      </c>
      <c r="F106" s="4" t="str">
        <f t="shared" si="2"/>
        <v>PTP200R239154</v>
      </c>
      <c r="G106" s="4">
        <v>315</v>
      </c>
      <c r="H106" s="4">
        <v>1</v>
      </c>
    </row>
    <row r="107" spans="1:8" ht="30" customHeight="1" x14ac:dyDescent="0.25">
      <c r="A107" s="14">
        <v>45174.503254629628</v>
      </c>
      <c r="B107" s="2" t="s">
        <v>79</v>
      </c>
      <c r="C107" s="22" t="s">
        <v>846</v>
      </c>
      <c r="D107" s="111" t="s">
        <v>95</v>
      </c>
      <c r="E107" s="18" t="s">
        <v>847</v>
      </c>
      <c r="F107" s="4" t="str">
        <f t="shared" si="2"/>
        <v>PTP200R239153</v>
      </c>
      <c r="G107" s="4">
        <v>739</v>
      </c>
      <c r="H107" s="4">
        <v>1</v>
      </c>
    </row>
    <row r="108" spans="1:8" ht="30" customHeight="1" x14ac:dyDescent="0.25">
      <c r="A108" s="14">
        <v>45174.50283946759</v>
      </c>
      <c r="B108" s="2" t="s">
        <v>158</v>
      </c>
      <c r="C108" s="22" t="s">
        <v>844</v>
      </c>
      <c r="D108" s="111" t="s">
        <v>95</v>
      </c>
      <c r="E108" s="18" t="s">
        <v>845</v>
      </c>
      <c r="F108" s="4" t="str">
        <f t="shared" si="2"/>
        <v>F24537B00022</v>
      </c>
      <c r="G108" s="4">
        <v>2811</v>
      </c>
      <c r="H108" s="4">
        <v>3</v>
      </c>
    </row>
    <row r="109" spans="1:8" ht="30" customHeight="1" x14ac:dyDescent="0.25">
      <c r="A109" s="14">
        <v>45174.502285185183</v>
      </c>
      <c r="B109" s="2" t="s">
        <v>9</v>
      </c>
      <c r="C109" s="22" t="s">
        <v>843</v>
      </c>
      <c r="D109" s="111" t="s">
        <v>95</v>
      </c>
      <c r="E109" s="18" t="s">
        <v>855</v>
      </c>
      <c r="F109" s="4" t="str">
        <f t="shared" si="2"/>
        <v>EUB09D700745</v>
      </c>
      <c r="G109" s="4">
        <v>3783</v>
      </c>
      <c r="H109" s="4">
        <v>4</v>
      </c>
    </row>
    <row r="110" spans="1:8" ht="30" customHeight="1" x14ac:dyDescent="0.25">
      <c r="A110" s="14">
        <v>45173.417437268516</v>
      </c>
      <c r="B110" s="2" t="s">
        <v>8</v>
      </c>
      <c r="C110" s="22" t="s">
        <v>572</v>
      </c>
      <c r="D110" s="111" t="s">
        <v>95</v>
      </c>
      <c r="E110" s="18"/>
      <c r="F110" s="4" t="str">
        <f t="shared" si="2"/>
        <v>EUB09D700744</v>
      </c>
      <c r="G110" s="4"/>
      <c r="H110" s="4"/>
    </row>
    <row r="111" spans="1:8" ht="30" customHeight="1" x14ac:dyDescent="0.25">
      <c r="A111" s="14">
        <v>45167.71570173611</v>
      </c>
      <c r="B111" s="2" t="s">
        <v>16</v>
      </c>
      <c r="C111" s="22" t="s">
        <v>852</v>
      </c>
      <c r="D111" s="111" t="s">
        <v>95</v>
      </c>
      <c r="E111" s="18" t="s">
        <v>866</v>
      </c>
      <c r="F111" s="4" t="str">
        <f t="shared" si="2"/>
        <v>EUB09D700851</v>
      </c>
      <c r="G111" s="4">
        <v>3306</v>
      </c>
      <c r="H111" s="4">
        <v>1</v>
      </c>
    </row>
    <row r="112" spans="1:8" ht="30" customHeight="1" x14ac:dyDescent="0.25">
      <c r="A112" s="14">
        <v>45167.715553819442</v>
      </c>
      <c r="B112" s="2" t="s">
        <v>16</v>
      </c>
      <c r="C112" s="22" t="s">
        <v>919</v>
      </c>
      <c r="D112" s="111" t="s">
        <v>95</v>
      </c>
      <c r="E112" s="18" t="s">
        <v>918</v>
      </c>
      <c r="F112" s="4" t="str">
        <f t="shared" si="2"/>
        <v>EUB09D700851</v>
      </c>
      <c r="G112" s="4">
        <v>3396</v>
      </c>
      <c r="H112" s="4">
        <v>3</v>
      </c>
    </row>
    <row r="113" spans="1:8" ht="30" customHeight="1" x14ac:dyDescent="0.25">
      <c r="A113" s="14">
        <v>45167.71369675926</v>
      </c>
      <c r="B113" s="2" t="s">
        <v>16</v>
      </c>
      <c r="C113" s="22" t="s">
        <v>841</v>
      </c>
      <c r="D113" s="111" t="s">
        <v>95</v>
      </c>
      <c r="E113" s="18" t="s">
        <v>842</v>
      </c>
      <c r="F113" s="4" t="str">
        <f t="shared" si="2"/>
        <v>EUB09D700851</v>
      </c>
      <c r="G113" s="4">
        <v>3245</v>
      </c>
      <c r="H113" s="4">
        <v>1</v>
      </c>
    </row>
    <row r="114" spans="1:8" ht="30" customHeight="1" x14ac:dyDescent="0.25">
      <c r="A114" s="14">
        <v>45167.713268171297</v>
      </c>
      <c r="B114" s="2" t="s">
        <v>12</v>
      </c>
      <c r="C114" s="35" t="s">
        <v>839</v>
      </c>
      <c r="D114" s="111" t="s">
        <v>95</v>
      </c>
      <c r="E114" s="18" t="s">
        <v>840</v>
      </c>
      <c r="F114" s="4" t="str">
        <f t="shared" si="2"/>
        <v>EUB09D700267</v>
      </c>
      <c r="G114" s="4">
        <v>2122</v>
      </c>
      <c r="H114" s="4">
        <v>1</v>
      </c>
    </row>
    <row r="115" spans="1:8" ht="30" customHeight="1" x14ac:dyDescent="0.25">
      <c r="A115" s="14">
        <v>45167.556430092591</v>
      </c>
      <c r="B115" s="2" t="s">
        <v>25</v>
      </c>
      <c r="C115" s="22" t="s">
        <v>834</v>
      </c>
      <c r="D115" s="111" t="s">
        <v>95</v>
      </c>
      <c r="E115" s="18" t="s">
        <v>835</v>
      </c>
      <c r="F115" s="4" t="str">
        <f t="shared" si="2"/>
        <v>EUB09D700741</v>
      </c>
      <c r="G115" s="4"/>
      <c r="H115" s="4">
        <v>2</v>
      </c>
    </row>
    <row r="116" spans="1:8" ht="30" customHeight="1" x14ac:dyDescent="0.25">
      <c r="A116" s="14">
        <v>45166.493140162034</v>
      </c>
      <c r="B116" s="2" t="s">
        <v>21</v>
      </c>
      <c r="C116" s="22" t="s">
        <v>822</v>
      </c>
      <c r="D116" s="111" t="s">
        <v>95</v>
      </c>
      <c r="E116" s="18" t="s">
        <v>823</v>
      </c>
      <c r="F116" s="4" t="str">
        <f t="shared" si="2"/>
        <v>EUB09D700842</v>
      </c>
      <c r="G116" s="4">
        <v>2890</v>
      </c>
      <c r="H116" s="4">
        <v>1</v>
      </c>
    </row>
    <row r="117" spans="1:8" ht="30" customHeight="1" x14ac:dyDescent="0.25">
      <c r="A117" s="14">
        <v>45166.491845601849</v>
      </c>
      <c r="B117" s="2" t="s">
        <v>79</v>
      </c>
      <c r="C117" s="22" t="s">
        <v>818</v>
      </c>
      <c r="D117" s="111" t="s">
        <v>95</v>
      </c>
      <c r="E117" s="18" t="s">
        <v>819</v>
      </c>
      <c r="F117" s="4" t="str">
        <f t="shared" si="2"/>
        <v>PTP200R239153</v>
      </c>
      <c r="G117" s="4"/>
      <c r="H117" s="4">
        <v>2</v>
      </c>
    </row>
    <row r="118" spans="1:8" ht="30" customHeight="1" x14ac:dyDescent="0.25">
      <c r="A118" s="14">
        <v>45160.606262499998</v>
      </c>
      <c r="B118" s="2" t="s">
        <v>19</v>
      </c>
      <c r="C118" s="22" t="s">
        <v>814</v>
      </c>
      <c r="D118" s="111" t="s">
        <v>95</v>
      </c>
      <c r="E118" s="18" t="s">
        <v>824</v>
      </c>
      <c r="F118" s="4" t="str">
        <f t="shared" si="2"/>
        <v>EUB09D700836</v>
      </c>
      <c r="G118" s="4"/>
      <c r="H118" s="4">
        <v>2</v>
      </c>
    </row>
    <row r="119" spans="1:8" ht="30" customHeight="1" x14ac:dyDescent="0.25">
      <c r="A119" s="14">
        <v>45160.606124537037</v>
      </c>
      <c r="B119" s="2" t="s">
        <v>142</v>
      </c>
      <c r="C119" s="22" t="s">
        <v>678</v>
      </c>
      <c r="D119" s="111" t="s">
        <v>95</v>
      </c>
      <c r="E119" s="18" t="s">
        <v>827</v>
      </c>
      <c r="F119" s="4" t="str">
        <f t="shared" si="2"/>
        <v>LO20N2RCB13B00112</v>
      </c>
      <c r="G119" s="4">
        <v>1433</v>
      </c>
      <c r="H119" s="4">
        <v>1</v>
      </c>
    </row>
    <row r="120" spans="1:8" ht="30" customHeight="1" x14ac:dyDescent="0.25">
      <c r="A120" s="14">
        <v>45160.605315393521</v>
      </c>
      <c r="B120" s="2" t="s">
        <v>812</v>
      </c>
      <c r="C120" s="22" t="s">
        <v>813</v>
      </c>
      <c r="D120" s="111" t="s">
        <v>95</v>
      </c>
      <c r="E120" s="18"/>
      <c r="F120" s="4" t="str">
        <f t="shared" si="2"/>
        <v>Nincs Adat</v>
      </c>
      <c r="G120" s="4"/>
      <c r="H120" s="4"/>
    </row>
    <row r="121" spans="1:8" ht="30" customHeight="1" x14ac:dyDescent="0.25">
      <c r="A121" s="14">
        <v>45160.604874305558</v>
      </c>
      <c r="B121" s="2" t="s">
        <v>87</v>
      </c>
      <c r="C121" s="22" t="s">
        <v>826</v>
      </c>
      <c r="D121" s="111" t="s">
        <v>95</v>
      </c>
      <c r="E121" s="18" t="s">
        <v>825</v>
      </c>
      <c r="F121" s="4" t="str">
        <f t="shared" si="2"/>
        <v>Nincs Adat</v>
      </c>
      <c r="G121" s="4">
        <v>730</v>
      </c>
      <c r="H121" s="4">
        <v>2</v>
      </c>
    </row>
    <row r="122" spans="1:8" ht="30" customHeight="1" x14ac:dyDescent="0.25">
      <c r="A122" s="14">
        <v>45160.604780092595</v>
      </c>
      <c r="B122" s="2" t="s">
        <v>82</v>
      </c>
      <c r="C122" s="22" t="s">
        <v>826</v>
      </c>
      <c r="D122" s="111" t="s">
        <v>95</v>
      </c>
      <c r="E122" s="18" t="s">
        <v>825</v>
      </c>
      <c r="F122" s="4" t="str">
        <f t="shared" si="2"/>
        <v>Nincs Adat</v>
      </c>
      <c r="G122" s="4">
        <v>730</v>
      </c>
      <c r="H122" s="4">
        <v>2</v>
      </c>
    </row>
    <row r="123" spans="1:8" ht="30" customHeight="1" x14ac:dyDescent="0.25">
      <c r="A123" s="14">
        <v>45160.604525347226</v>
      </c>
      <c r="B123" s="2" t="s">
        <v>77</v>
      </c>
      <c r="C123" s="22" t="s">
        <v>820</v>
      </c>
      <c r="D123" s="111" t="s">
        <v>95</v>
      </c>
      <c r="E123" s="18" t="s">
        <v>821</v>
      </c>
      <c r="F123" s="4" t="str">
        <f t="shared" si="2"/>
        <v>PTP200R239151</v>
      </c>
      <c r="G123" s="4">
        <v>734</v>
      </c>
      <c r="H123" s="4">
        <v>2</v>
      </c>
    </row>
    <row r="124" spans="1:8" ht="30" customHeight="1" x14ac:dyDescent="0.25">
      <c r="A124" s="14">
        <v>45160.604221064816</v>
      </c>
      <c r="B124" s="2" t="s">
        <v>79</v>
      </c>
      <c r="C124" s="22" t="s">
        <v>828</v>
      </c>
      <c r="D124" s="111" t="s">
        <v>95</v>
      </c>
      <c r="E124" s="18" t="s">
        <v>829</v>
      </c>
      <c r="F124" s="4" t="str">
        <f t="shared" si="2"/>
        <v>PTP200R239153</v>
      </c>
      <c r="G124" s="4">
        <v>1000</v>
      </c>
      <c r="H124" s="4">
        <v>1</v>
      </c>
    </row>
    <row r="125" spans="1:8" ht="30" customHeight="1" x14ac:dyDescent="0.25">
      <c r="A125" s="14">
        <v>45160.60362141204</v>
      </c>
      <c r="B125" s="2" t="s">
        <v>133</v>
      </c>
      <c r="C125" s="22" t="s">
        <v>830</v>
      </c>
      <c r="D125" s="111" t="s">
        <v>95</v>
      </c>
      <c r="E125" s="18"/>
      <c r="F125" s="4" t="str">
        <f t="shared" si="2"/>
        <v>Nincs Adat</v>
      </c>
      <c r="G125" s="4"/>
      <c r="H125" s="4"/>
    </row>
    <row r="126" spans="1:8" ht="30" customHeight="1" x14ac:dyDescent="0.25">
      <c r="A126" s="14">
        <v>45160.602167245372</v>
      </c>
      <c r="B126" s="2" t="s">
        <v>26</v>
      </c>
      <c r="C126" s="22" t="s">
        <v>810</v>
      </c>
      <c r="D126" s="111" t="s">
        <v>95</v>
      </c>
      <c r="E126" s="18" t="s">
        <v>811</v>
      </c>
      <c r="F126" s="4" t="str">
        <f t="shared" si="2"/>
        <v>EFC09D60002</v>
      </c>
      <c r="G126" s="4">
        <v>5813</v>
      </c>
      <c r="H126" s="4">
        <v>3</v>
      </c>
    </row>
    <row r="127" spans="1:8" ht="30" customHeight="1" x14ac:dyDescent="0.25">
      <c r="A127" s="14">
        <v>45160.601204050923</v>
      </c>
      <c r="B127" s="2" t="s">
        <v>78</v>
      </c>
      <c r="C127" s="22" t="s">
        <v>806</v>
      </c>
      <c r="D127" s="111" t="s">
        <v>95</v>
      </c>
      <c r="E127" s="18" t="s">
        <v>807</v>
      </c>
      <c r="F127" s="4" t="str">
        <f t="shared" si="2"/>
        <v>PTP200R239152</v>
      </c>
      <c r="G127" s="4">
        <v>1269</v>
      </c>
      <c r="H127" s="4">
        <v>1</v>
      </c>
    </row>
    <row r="128" spans="1:8" ht="30" customHeight="1" x14ac:dyDescent="0.25">
      <c r="A128" s="14">
        <v>45160.600196527776</v>
      </c>
      <c r="B128" s="2" t="s">
        <v>5</v>
      </c>
      <c r="C128" s="22" t="s">
        <v>229</v>
      </c>
      <c r="D128" s="111" t="s">
        <v>95</v>
      </c>
      <c r="E128" s="18" t="s">
        <v>805</v>
      </c>
      <c r="F128" s="4" t="str">
        <f t="shared" si="2"/>
        <v>JAG2N1E701603</v>
      </c>
      <c r="G128" s="4">
        <v>250</v>
      </c>
      <c r="H128" s="4">
        <v>2</v>
      </c>
    </row>
    <row r="129" spans="1:8" ht="30" customHeight="1" x14ac:dyDescent="0.25">
      <c r="A129" s="14">
        <v>45160.598531134259</v>
      </c>
      <c r="B129" s="2" t="s">
        <v>7</v>
      </c>
      <c r="C129" s="22" t="s">
        <v>801</v>
      </c>
      <c r="D129" s="111" t="s">
        <v>95</v>
      </c>
      <c r="E129" s="18" t="s">
        <v>802</v>
      </c>
      <c r="F129" s="4" t="str">
        <f t="shared" si="2"/>
        <v>EUB09D700743</v>
      </c>
      <c r="G129" s="4">
        <v>3246</v>
      </c>
      <c r="H129" s="4">
        <v>7</v>
      </c>
    </row>
    <row r="130" spans="1:8" ht="30" customHeight="1" x14ac:dyDescent="0.25">
      <c r="A130" s="14">
        <v>45154.521157060182</v>
      </c>
      <c r="B130" s="2" t="s">
        <v>80</v>
      </c>
      <c r="C130" s="22" t="s">
        <v>809</v>
      </c>
      <c r="D130" s="111" t="s">
        <v>95</v>
      </c>
      <c r="E130" s="18" t="s">
        <v>808</v>
      </c>
      <c r="F130" s="4" t="str">
        <f t="shared" si="2"/>
        <v>PTP200R239154</v>
      </c>
      <c r="G130" s="4">
        <v>251</v>
      </c>
      <c r="H130" s="4">
        <v>1</v>
      </c>
    </row>
    <row r="131" spans="1:8" ht="30" customHeight="1" x14ac:dyDescent="0.25">
      <c r="A131" s="14">
        <v>45153.514708333336</v>
      </c>
      <c r="B131" s="2" t="s">
        <v>18</v>
      </c>
      <c r="C131" s="22" t="s">
        <v>799</v>
      </c>
      <c r="D131" s="111" t="s">
        <v>95</v>
      </c>
      <c r="E131" s="18" t="s">
        <v>804</v>
      </c>
      <c r="F131" s="4" t="str">
        <f t="shared" si="2"/>
        <v>EUB09D700992</v>
      </c>
      <c r="G131" s="4">
        <v>4215</v>
      </c>
      <c r="H131" s="4">
        <v>3</v>
      </c>
    </row>
    <row r="132" spans="1:8" ht="30" customHeight="1" x14ac:dyDescent="0.25">
      <c r="A132" s="14">
        <v>45153.353288773149</v>
      </c>
      <c r="B132" s="2" t="s">
        <v>13</v>
      </c>
      <c r="C132" s="22" t="s">
        <v>797</v>
      </c>
      <c r="D132" s="111" t="s">
        <v>95</v>
      </c>
      <c r="E132" s="18" t="s">
        <v>803</v>
      </c>
      <c r="F132" s="4" t="str">
        <f t="shared" si="2"/>
        <v>EUB09D700268</v>
      </c>
      <c r="G132" s="4">
        <v>2093</v>
      </c>
      <c r="H132" s="4">
        <v>3</v>
      </c>
    </row>
    <row r="133" spans="1:8" ht="30" customHeight="1" x14ac:dyDescent="0.25">
      <c r="A133" s="14">
        <v>45153.351425578701</v>
      </c>
      <c r="B133" s="2" t="s">
        <v>18</v>
      </c>
      <c r="C133" s="22" t="s">
        <v>792</v>
      </c>
      <c r="D133" s="111" t="s">
        <v>95</v>
      </c>
      <c r="E133" s="18"/>
      <c r="F133" s="4" t="str">
        <f t="shared" si="2"/>
        <v>EUB09D700992</v>
      </c>
      <c r="G133" s="4"/>
      <c r="H133" s="4"/>
    </row>
    <row r="134" spans="1:8" ht="30" customHeight="1" x14ac:dyDescent="0.25">
      <c r="A134" s="14">
        <v>45153.350670717591</v>
      </c>
      <c r="B134" s="2" t="s">
        <v>20</v>
      </c>
      <c r="C134" s="35" t="s">
        <v>790</v>
      </c>
      <c r="D134" s="111" t="s">
        <v>95</v>
      </c>
      <c r="E134" s="18" t="s">
        <v>791</v>
      </c>
      <c r="F134" s="4" t="str">
        <f t="shared" si="2"/>
        <v>EUB09D700832</v>
      </c>
      <c r="G134" s="4">
        <v>2711</v>
      </c>
      <c r="H134" s="4">
        <v>1</v>
      </c>
    </row>
    <row r="135" spans="1:8" ht="30" customHeight="1" x14ac:dyDescent="0.25">
      <c r="A135" s="14">
        <v>45149.645307523147</v>
      </c>
      <c r="B135" s="2" t="s">
        <v>9</v>
      </c>
      <c r="C135" s="22" t="s">
        <v>789</v>
      </c>
      <c r="D135" s="111" t="s">
        <v>95</v>
      </c>
      <c r="E135" s="18" t="s">
        <v>796</v>
      </c>
      <c r="F135" s="4" t="str">
        <f t="shared" si="2"/>
        <v>EUB09D700745</v>
      </c>
      <c r="G135" s="4">
        <v>3568</v>
      </c>
      <c r="H135" s="4">
        <v>1</v>
      </c>
    </row>
    <row r="136" spans="1:8" ht="30" customHeight="1" x14ac:dyDescent="0.25">
      <c r="A136" s="14">
        <v>45149.438372916666</v>
      </c>
      <c r="B136" s="2" t="s">
        <v>7</v>
      </c>
      <c r="C136" s="35" t="s">
        <v>832</v>
      </c>
      <c r="D136" s="111" t="s">
        <v>95</v>
      </c>
      <c r="E136" s="18" t="s">
        <v>794</v>
      </c>
      <c r="F136" s="4" t="str">
        <f t="shared" ref="F136:F199" si="3">IFERROR(VLOOKUP(B136,targlist02,3,0),"Nincs Adat")</f>
        <v>EUB09D700743</v>
      </c>
      <c r="G136" s="4">
        <v>3218</v>
      </c>
      <c r="H136" s="4">
        <v>0</v>
      </c>
    </row>
    <row r="137" spans="1:8" ht="30" customHeight="1" x14ac:dyDescent="0.25">
      <c r="A137" s="14">
        <v>45149.430875925929</v>
      </c>
      <c r="B137" s="2" t="s">
        <v>57</v>
      </c>
      <c r="C137" s="22" t="s">
        <v>788</v>
      </c>
      <c r="D137" s="111" t="s">
        <v>95</v>
      </c>
      <c r="E137" s="18" t="s">
        <v>794</v>
      </c>
      <c r="F137" s="4" t="str">
        <f t="shared" si="3"/>
        <v>Nincs Adat</v>
      </c>
      <c r="G137" s="4">
        <v>3218</v>
      </c>
      <c r="H137" s="4">
        <v>1</v>
      </c>
    </row>
    <row r="138" spans="1:8" ht="30" customHeight="1" x14ac:dyDescent="0.25">
      <c r="A138" s="14">
        <v>45148.378483333334</v>
      </c>
      <c r="B138" s="2" t="s">
        <v>9</v>
      </c>
      <c r="C138" s="22" t="s">
        <v>831</v>
      </c>
      <c r="D138" s="111" t="s">
        <v>95</v>
      </c>
      <c r="E138" s="18"/>
      <c r="F138" s="4" t="str">
        <f t="shared" si="3"/>
        <v>EUB09D700745</v>
      </c>
      <c r="G138" s="4"/>
      <c r="H138" s="4">
        <v>0</v>
      </c>
    </row>
    <row r="139" spans="1:8" ht="30" customHeight="1" x14ac:dyDescent="0.25">
      <c r="A139" s="14">
        <v>45148.339288657407</v>
      </c>
      <c r="B139" s="2" t="s">
        <v>15</v>
      </c>
      <c r="C139" s="22" t="s">
        <v>418</v>
      </c>
      <c r="D139" s="111" t="s">
        <v>96</v>
      </c>
      <c r="E139" s="18"/>
      <c r="F139" s="4" t="str">
        <f t="shared" si="3"/>
        <v>EUB09D700705</v>
      </c>
      <c r="G139" s="4"/>
      <c r="H139" s="4">
        <v>0</v>
      </c>
    </row>
    <row r="140" spans="1:8" ht="30" customHeight="1" x14ac:dyDescent="0.25">
      <c r="A140" s="14">
        <v>45148.338006134261</v>
      </c>
      <c r="B140" s="2" t="s">
        <v>25</v>
      </c>
      <c r="C140" s="22" t="s">
        <v>786</v>
      </c>
      <c r="D140" s="111" t="s">
        <v>95</v>
      </c>
      <c r="E140" s="18" t="s">
        <v>787</v>
      </c>
      <c r="F140" s="4" t="str">
        <f t="shared" si="3"/>
        <v>EUB09D700741</v>
      </c>
      <c r="G140" s="4"/>
      <c r="H140" s="4">
        <v>4</v>
      </c>
    </row>
    <row r="141" spans="1:8" ht="30" customHeight="1" x14ac:dyDescent="0.25">
      <c r="A141" s="14">
        <v>45147.406575231478</v>
      </c>
      <c r="B141" s="2" t="s">
        <v>157</v>
      </c>
      <c r="C141" s="22" t="s">
        <v>800</v>
      </c>
      <c r="D141" s="111" t="s">
        <v>95</v>
      </c>
      <c r="E141" s="18" t="s">
        <v>836</v>
      </c>
      <c r="F141" s="4" t="str">
        <f t="shared" si="3"/>
        <v>F24537B00021</v>
      </c>
      <c r="G141" s="4">
        <v>5545</v>
      </c>
      <c r="H141" s="4">
        <v>2</v>
      </c>
    </row>
    <row r="142" spans="1:8" ht="30" customHeight="1" x14ac:dyDescent="0.25">
      <c r="A142" s="14">
        <v>45147.34500173611</v>
      </c>
      <c r="B142" s="2" t="s">
        <v>24</v>
      </c>
      <c r="C142" s="22" t="s">
        <v>815</v>
      </c>
      <c r="D142" s="111" t="s">
        <v>95</v>
      </c>
      <c r="E142" s="18" t="s">
        <v>816</v>
      </c>
      <c r="F142" s="4" t="str">
        <f t="shared" si="3"/>
        <v>EUB09D700704</v>
      </c>
      <c r="G142" s="4">
        <v>2541</v>
      </c>
      <c r="H142" s="4">
        <v>2</v>
      </c>
    </row>
    <row r="143" spans="1:8" ht="30" customHeight="1" x14ac:dyDescent="0.25">
      <c r="A143" s="14">
        <v>45147.343711458336</v>
      </c>
      <c r="B143" s="2" t="s">
        <v>4</v>
      </c>
      <c r="C143" s="22" t="s">
        <v>626</v>
      </c>
      <c r="D143" s="111" t="s">
        <v>95</v>
      </c>
      <c r="E143" s="18" t="s">
        <v>925</v>
      </c>
      <c r="F143" s="4" t="str">
        <f t="shared" si="3"/>
        <v>JAG2N1E701604</v>
      </c>
      <c r="G143" s="4">
        <v>725</v>
      </c>
      <c r="H143" s="4">
        <v>2</v>
      </c>
    </row>
    <row r="144" spans="1:8" ht="30" customHeight="1" x14ac:dyDescent="0.25">
      <c r="A144" s="14">
        <v>45147.342722222224</v>
      </c>
      <c r="B144" s="2" t="s">
        <v>4</v>
      </c>
      <c r="C144" s="22" t="s">
        <v>781</v>
      </c>
      <c r="D144" s="111" t="s">
        <v>95</v>
      </c>
      <c r="E144" s="18" t="s">
        <v>782</v>
      </c>
      <c r="F144" s="4" t="str">
        <f t="shared" si="3"/>
        <v>JAG2N1E701604</v>
      </c>
      <c r="G144" s="4">
        <v>643</v>
      </c>
      <c r="H144" s="4">
        <v>1</v>
      </c>
    </row>
    <row r="145" spans="1:8" ht="30" customHeight="1" x14ac:dyDescent="0.25">
      <c r="A145" s="14">
        <v>45147.342314351852</v>
      </c>
      <c r="B145" s="2" t="s">
        <v>80</v>
      </c>
      <c r="C145" s="22" t="s">
        <v>779</v>
      </c>
      <c r="D145" s="111" t="s">
        <v>95</v>
      </c>
      <c r="E145" s="18" t="s">
        <v>780</v>
      </c>
      <c r="F145" s="4" t="str">
        <f t="shared" si="3"/>
        <v>PTP200R239154</v>
      </c>
      <c r="G145" s="4">
        <v>223</v>
      </c>
      <c r="H145" s="4">
        <v>1</v>
      </c>
    </row>
    <row r="146" spans="1:8" ht="30" customHeight="1" x14ac:dyDescent="0.25">
      <c r="A146" s="14">
        <v>45147.341551041667</v>
      </c>
      <c r="B146" s="2" t="s">
        <v>19</v>
      </c>
      <c r="C146" s="22" t="s">
        <v>777</v>
      </c>
      <c r="D146" s="111" t="s">
        <v>95</v>
      </c>
      <c r="E146" s="18" t="s">
        <v>778</v>
      </c>
      <c r="F146" s="4" t="str">
        <f t="shared" si="3"/>
        <v>EUB09D700836</v>
      </c>
      <c r="G146" s="4">
        <v>3617</v>
      </c>
      <c r="H146" s="4">
        <v>3</v>
      </c>
    </row>
    <row r="147" spans="1:8" ht="30" customHeight="1" x14ac:dyDescent="0.25">
      <c r="A147" s="14">
        <v>45147.341202546297</v>
      </c>
      <c r="B147" s="2" t="s">
        <v>15</v>
      </c>
      <c r="C147" s="22" t="s">
        <v>775</v>
      </c>
      <c r="D147" s="111" t="s">
        <v>95</v>
      </c>
      <c r="E147" s="18" t="s">
        <v>776</v>
      </c>
      <c r="F147" s="4" t="str">
        <f t="shared" si="3"/>
        <v>EUB09D700705</v>
      </c>
      <c r="G147" s="4">
        <v>1041</v>
      </c>
      <c r="H147" s="4">
        <v>1</v>
      </c>
    </row>
    <row r="148" spans="1:8" ht="30" customHeight="1" x14ac:dyDescent="0.25">
      <c r="A148" s="14">
        <v>45147.340336921297</v>
      </c>
      <c r="B148" s="2" t="s">
        <v>77</v>
      </c>
      <c r="C148" s="22" t="s">
        <v>773</v>
      </c>
      <c r="D148" s="111" t="s">
        <v>95</v>
      </c>
      <c r="E148" s="18" t="s">
        <v>772</v>
      </c>
      <c r="F148" s="4" t="str">
        <f t="shared" si="3"/>
        <v>PTP200R239151</v>
      </c>
      <c r="G148" s="4"/>
      <c r="H148" s="4">
        <v>1</v>
      </c>
    </row>
    <row r="149" spans="1:8" ht="30" customHeight="1" x14ac:dyDescent="0.25">
      <c r="A149" s="14">
        <v>45147.339147453706</v>
      </c>
      <c r="B149" s="2" t="s">
        <v>79</v>
      </c>
      <c r="C149" s="22" t="s">
        <v>771</v>
      </c>
      <c r="D149" s="111" t="s">
        <v>95</v>
      </c>
      <c r="E149" s="18" t="s">
        <v>785</v>
      </c>
      <c r="F149" s="4" t="str">
        <f t="shared" si="3"/>
        <v>PTP200R239153</v>
      </c>
      <c r="G149" s="4">
        <v>973</v>
      </c>
      <c r="H149" s="4">
        <v>2</v>
      </c>
    </row>
    <row r="150" spans="1:8" ht="30" customHeight="1" x14ac:dyDescent="0.25">
      <c r="A150" s="14">
        <v>45147.33881134259</v>
      </c>
      <c r="B150" s="2" t="s">
        <v>44</v>
      </c>
      <c r="C150" s="22" t="s">
        <v>770</v>
      </c>
      <c r="D150" s="111" t="s">
        <v>95</v>
      </c>
      <c r="E150" s="18" t="s">
        <v>784</v>
      </c>
      <c r="F150" s="4" t="str">
        <f t="shared" si="3"/>
        <v>Nincs Adat</v>
      </c>
      <c r="G150" s="4">
        <v>3625</v>
      </c>
      <c r="H150" s="4">
        <v>1</v>
      </c>
    </row>
    <row r="151" spans="1:8" ht="30" customHeight="1" x14ac:dyDescent="0.25">
      <c r="A151" s="14">
        <v>45146.611222916668</v>
      </c>
      <c r="B151" s="2" t="s">
        <v>11</v>
      </c>
      <c r="C151" s="22" t="s">
        <v>769</v>
      </c>
      <c r="D151" s="111" t="s">
        <v>95</v>
      </c>
      <c r="E151" s="18"/>
      <c r="F151" s="4" t="str">
        <f t="shared" si="3"/>
        <v>EUB09D700850</v>
      </c>
      <c r="G151" s="4"/>
      <c r="H151" s="4"/>
    </row>
    <row r="152" spans="1:8" ht="30" customHeight="1" x14ac:dyDescent="0.25">
      <c r="A152" s="14">
        <v>45145.341994560185</v>
      </c>
      <c r="B152" s="2" t="s">
        <v>18</v>
      </c>
      <c r="C152" s="22" t="s">
        <v>764</v>
      </c>
      <c r="D152" s="111" t="s">
        <v>95</v>
      </c>
      <c r="E152" s="18" t="s">
        <v>765</v>
      </c>
      <c r="F152" s="4" t="str">
        <f t="shared" si="3"/>
        <v>EUB09D700992</v>
      </c>
      <c r="G152" s="4">
        <v>4144</v>
      </c>
      <c r="H152" s="4">
        <v>1</v>
      </c>
    </row>
    <row r="153" spans="1:8" ht="30" customHeight="1" x14ac:dyDescent="0.25">
      <c r="A153" s="14">
        <v>45145.340032870372</v>
      </c>
      <c r="B153" s="2" t="s">
        <v>2</v>
      </c>
      <c r="C153" s="22" t="s">
        <v>626</v>
      </c>
      <c r="D153" s="111" t="s">
        <v>95</v>
      </c>
      <c r="E153" s="18" t="s">
        <v>761</v>
      </c>
      <c r="F153" s="4" t="str">
        <f t="shared" si="3"/>
        <v>JA2N1E700427</v>
      </c>
      <c r="G153" s="4">
        <v>1398</v>
      </c>
      <c r="H153" s="4">
        <v>2</v>
      </c>
    </row>
    <row r="154" spans="1:8" ht="30" customHeight="1" x14ac:dyDescent="0.25">
      <c r="A154" s="14">
        <v>45145.339438078707</v>
      </c>
      <c r="B154" s="2" t="s">
        <v>157</v>
      </c>
      <c r="C154" s="22" t="s">
        <v>722</v>
      </c>
      <c r="D154" s="111" t="s">
        <v>95</v>
      </c>
      <c r="E154" s="18" t="s">
        <v>760</v>
      </c>
      <c r="F154" s="4" t="str">
        <f t="shared" si="3"/>
        <v>F24537B00021</v>
      </c>
      <c r="G154" s="4">
        <v>5537</v>
      </c>
      <c r="H154" s="4">
        <v>2</v>
      </c>
    </row>
    <row r="155" spans="1:8" ht="30" customHeight="1" x14ac:dyDescent="0.25">
      <c r="A155" s="14">
        <v>45145.338262962963</v>
      </c>
      <c r="B155" s="2" t="s">
        <v>16</v>
      </c>
      <c r="C155" s="22" t="s">
        <v>759</v>
      </c>
      <c r="D155" s="111" t="s">
        <v>95</v>
      </c>
      <c r="E155" s="18" t="s">
        <v>774</v>
      </c>
      <c r="F155" s="4" t="str">
        <f t="shared" si="3"/>
        <v>EUB09D700851</v>
      </c>
      <c r="G155" s="4">
        <v>3108</v>
      </c>
      <c r="H155" s="4">
        <v>1</v>
      </c>
    </row>
    <row r="156" spans="1:8" ht="30" customHeight="1" x14ac:dyDescent="0.25">
      <c r="A156" s="14">
        <v>45141.49515949074</v>
      </c>
      <c r="B156" s="2" t="s">
        <v>21</v>
      </c>
      <c r="C156" s="22" t="s">
        <v>757</v>
      </c>
      <c r="D156" s="111" t="s">
        <v>95</v>
      </c>
      <c r="E156" s="18" t="s">
        <v>758</v>
      </c>
      <c r="F156" s="4" t="str">
        <f t="shared" si="3"/>
        <v>EUB09D700842</v>
      </c>
      <c r="G156" s="4">
        <v>2655</v>
      </c>
      <c r="H156" s="4">
        <v>2</v>
      </c>
    </row>
    <row r="157" spans="1:8" ht="30" customHeight="1" x14ac:dyDescent="0.25">
      <c r="A157" s="14">
        <v>45141.494731828701</v>
      </c>
      <c r="B157" s="2" t="s">
        <v>24</v>
      </c>
      <c r="C157" s="22" t="s">
        <v>755</v>
      </c>
      <c r="D157" s="111" t="s">
        <v>95</v>
      </c>
      <c r="E157" s="18" t="s">
        <v>756</v>
      </c>
      <c r="F157" s="4" t="str">
        <f t="shared" si="3"/>
        <v>EUB09D700704</v>
      </c>
      <c r="G157" s="4">
        <v>2418</v>
      </c>
      <c r="H157" s="4">
        <v>2</v>
      </c>
    </row>
    <row r="158" spans="1:8" ht="30" customHeight="1" x14ac:dyDescent="0.25">
      <c r="A158" s="14">
        <v>45141.493213773145</v>
      </c>
      <c r="B158" s="2" t="s">
        <v>23</v>
      </c>
      <c r="C158" s="22" t="s">
        <v>753</v>
      </c>
      <c r="D158" s="111" t="s">
        <v>95</v>
      </c>
      <c r="E158" s="18" t="s">
        <v>754</v>
      </c>
      <c r="F158" s="4" t="str">
        <f t="shared" si="3"/>
        <v>EUB09D700740</v>
      </c>
      <c r="G158" s="4">
        <v>1443</v>
      </c>
      <c r="H158" s="4">
        <v>3</v>
      </c>
    </row>
    <row r="159" spans="1:8" ht="30" customHeight="1" x14ac:dyDescent="0.25">
      <c r="A159" s="14">
        <v>45141.492782986112</v>
      </c>
      <c r="B159" s="2" t="s">
        <v>25</v>
      </c>
      <c r="C159" s="22" t="s">
        <v>751</v>
      </c>
      <c r="D159" s="111" t="s">
        <v>95</v>
      </c>
      <c r="E159" s="18" t="s">
        <v>752</v>
      </c>
      <c r="F159" s="4" t="str">
        <f t="shared" si="3"/>
        <v>EUB09D700741</v>
      </c>
      <c r="G159" s="4"/>
      <c r="H159" s="4">
        <v>2</v>
      </c>
    </row>
    <row r="160" spans="1:8" ht="30" customHeight="1" x14ac:dyDescent="0.25">
      <c r="A160" s="14">
        <v>45141.491353703706</v>
      </c>
      <c r="B160" s="2" t="s">
        <v>15</v>
      </c>
      <c r="C160" s="22" t="s">
        <v>748</v>
      </c>
      <c r="D160" s="111" t="s">
        <v>95</v>
      </c>
      <c r="E160" s="18" t="s">
        <v>749</v>
      </c>
      <c r="F160" s="4" t="str">
        <f t="shared" si="3"/>
        <v>EUB09D700705</v>
      </c>
      <c r="G160" s="4">
        <v>982</v>
      </c>
      <c r="H160" s="4">
        <v>1</v>
      </c>
    </row>
    <row r="161" spans="1:8" ht="30" customHeight="1" x14ac:dyDescent="0.25">
      <c r="A161" s="14">
        <v>45141.491012384256</v>
      </c>
      <c r="B161" s="2" t="s">
        <v>9</v>
      </c>
      <c r="C161" s="22" t="s">
        <v>746</v>
      </c>
      <c r="D161" s="111" t="s">
        <v>95</v>
      </c>
      <c r="E161" s="18" t="s">
        <v>747</v>
      </c>
      <c r="F161" s="4" t="str">
        <f t="shared" si="3"/>
        <v>EUB09D700745</v>
      </c>
      <c r="G161" s="4">
        <v>3435</v>
      </c>
      <c r="H161" s="4">
        <v>2</v>
      </c>
    </row>
    <row r="162" spans="1:8" ht="30" customHeight="1" x14ac:dyDescent="0.25">
      <c r="A162" s="14">
        <v>45141.490265972221</v>
      </c>
      <c r="B162" s="2" t="s">
        <v>80</v>
      </c>
      <c r="C162" s="22" t="s">
        <v>744</v>
      </c>
      <c r="D162" s="111" t="s">
        <v>95</v>
      </c>
      <c r="E162" s="18" t="s">
        <v>745</v>
      </c>
      <c r="F162" s="4" t="str">
        <f t="shared" si="3"/>
        <v>PTP200R239154</v>
      </c>
      <c r="G162" s="4">
        <v>198</v>
      </c>
      <c r="H162" s="4">
        <v>3</v>
      </c>
    </row>
    <row r="163" spans="1:8" ht="30" customHeight="1" x14ac:dyDescent="0.25">
      <c r="A163" s="14">
        <v>45141.489372685188</v>
      </c>
      <c r="B163" s="2" t="s">
        <v>25</v>
      </c>
      <c r="C163" s="22" t="s">
        <v>742</v>
      </c>
      <c r="D163" s="111" t="s">
        <v>95</v>
      </c>
      <c r="E163" s="18" t="s">
        <v>743</v>
      </c>
      <c r="F163" s="4" t="str">
        <f t="shared" si="3"/>
        <v>EUB09D700741</v>
      </c>
      <c r="G163" s="4"/>
      <c r="H163" s="4">
        <v>1</v>
      </c>
    </row>
    <row r="164" spans="1:8" ht="30" customHeight="1" x14ac:dyDescent="0.25">
      <c r="A164" s="14">
        <v>45141.488659722221</v>
      </c>
      <c r="B164" s="2" t="s">
        <v>9</v>
      </c>
      <c r="C164" s="22" t="s">
        <v>740</v>
      </c>
      <c r="D164" s="111" t="s">
        <v>95</v>
      </c>
      <c r="E164" s="18" t="s">
        <v>741</v>
      </c>
      <c r="F164" s="4" t="str">
        <f t="shared" si="3"/>
        <v>EUB09D700745</v>
      </c>
      <c r="G164" s="4">
        <v>3421</v>
      </c>
      <c r="H164" s="4">
        <v>1</v>
      </c>
    </row>
    <row r="165" spans="1:8" ht="30" customHeight="1" x14ac:dyDescent="0.25">
      <c r="A165" s="14">
        <v>45140.395340740739</v>
      </c>
      <c r="B165" s="2" t="s">
        <v>79</v>
      </c>
      <c r="C165" s="22" t="s">
        <v>738</v>
      </c>
      <c r="D165" s="111" t="s">
        <v>95</v>
      </c>
      <c r="E165" s="18" t="s">
        <v>750</v>
      </c>
      <c r="F165" s="4" t="str">
        <f t="shared" si="3"/>
        <v>PTP200R239153</v>
      </c>
      <c r="G165" s="4">
        <v>949</v>
      </c>
      <c r="H165" s="4">
        <v>1</v>
      </c>
    </row>
    <row r="166" spans="1:8" ht="30" customHeight="1" x14ac:dyDescent="0.25">
      <c r="A166" s="14">
        <v>45140.395131018522</v>
      </c>
      <c r="B166" s="2" t="s">
        <v>26</v>
      </c>
      <c r="C166" s="22" t="s">
        <v>449</v>
      </c>
      <c r="D166" s="111" t="s">
        <v>95</v>
      </c>
      <c r="E166" s="18"/>
      <c r="F166" s="4" t="str">
        <f t="shared" si="3"/>
        <v>EFC09D60002</v>
      </c>
      <c r="G166" s="4"/>
      <c r="H166" s="4"/>
    </row>
    <row r="167" spans="1:8" ht="30" customHeight="1" x14ac:dyDescent="0.25">
      <c r="A167" s="14">
        <v>45140.394969328707</v>
      </c>
      <c r="B167" s="2" t="s">
        <v>24</v>
      </c>
      <c r="C167" s="22" t="s">
        <v>449</v>
      </c>
      <c r="D167" s="111" t="s">
        <v>95</v>
      </c>
      <c r="E167" s="18" t="s">
        <v>838</v>
      </c>
      <c r="F167" s="4" t="str">
        <f t="shared" si="3"/>
        <v>EUB09D700704</v>
      </c>
      <c r="G167" s="4">
        <v>2544</v>
      </c>
      <c r="H167" s="4">
        <v>4</v>
      </c>
    </row>
    <row r="168" spans="1:8" ht="30" customHeight="1" x14ac:dyDescent="0.25">
      <c r="A168" s="14">
        <v>45140.394784027776</v>
      </c>
      <c r="B168" s="2" t="s">
        <v>21</v>
      </c>
      <c r="C168" s="22" t="s">
        <v>449</v>
      </c>
      <c r="D168" s="111" t="s">
        <v>95</v>
      </c>
      <c r="E168" s="18" t="s">
        <v>837</v>
      </c>
      <c r="F168" s="4" t="str">
        <f t="shared" si="3"/>
        <v>EUB09D700842</v>
      </c>
      <c r="G168" s="4">
        <v>2911</v>
      </c>
      <c r="H168" s="4" t="s">
        <v>1047</v>
      </c>
    </row>
    <row r="169" spans="1:8" ht="30" customHeight="1" x14ac:dyDescent="0.25">
      <c r="A169" s="14">
        <v>45140.394515046297</v>
      </c>
      <c r="B169" s="2" t="s">
        <v>18</v>
      </c>
      <c r="C169" s="22" t="s">
        <v>449</v>
      </c>
      <c r="D169" s="111" t="s">
        <v>95</v>
      </c>
      <c r="E169" s="18" t="s">
        <v>833</v>
      </c>
      <c r="F169" s="4" t="str">
        <f t="shared" si="3"/>
        <v>EUB09D700992</v>
      </c>
      <c r="G169" s="4">
        <v>4215</v>
      </c>
      <c r="H169" s="4">
        <v>3</v>
      </c>
    </row>
    <row r="170" spans="1:8" ht="30" customHeight="1" x14ac:dyDescent="0.25">
      <c r="A170" s="14">
        <v>45140.39441296296</v>
      </c>
      <c r="B170" s="2" t="s">
        <v>17</v>
      </c>
      <c r="C170" s="22" t="s">
        <v>449</v>
      </c>
      <c r="D170" s="111" t="s">
        <v>95</v>
      </c>
      <c r="E170" s="18" t="s">
        <v>865</v>
      </c>
      <c r="F170" s="4" t="str">
        <f t="shared" si="3"/>
        <v>EUB09D700852</v>
      </c>
      <c r="G170" s="4">
        <v>3280</v>
      </c>
      <c r="H170" s="4">
        <v>4</v>
      </c>
    </row>
    <row r="171" spans="1:8" ht="30" customHeight="1" x14ac:dyDescent="0.25">
      <c r="A171" s="14">
        <v>45140.394174074077</v>
      </c>
      <c r="B171" s="2" t="s">
        <v>13</v>
      </c>
      <c r="C171" s="22" t="s">
        <v>449</v>
      </c>
      <c r="D171" s="111" t="s">
        <v>95</v>
      </c>
      <c r="E171" s="18" t="s">
        <v>863</v>
      </c>
      <c r="F171" s="4" t="str">
        <f t="shared" si="3"/>
        <v>EUB09D700268</v>
      </c>
      <c r="G171" s="4">
        <v>2328</v>
      </c>
      <c r="H171" s="4">
        <v>4</v>
      </c>
    </row>
    <row r="172" spans="1:8" ht="30" customHeight="1" x14ac:dyDescent="0.25">
      <c r="A172" s="14">
        <v>45140.393829166664</v>
      </c>
      <c r="B172" s="2" t="s">
        <v>12</v>
      </c>
      <c r="C172" s="22" t="s">
        <v>449</v>
      </c>
      <c r="D172" s="111" t="s">
        <v>95</v>
      </c>
      <c r="E172" s="18" t="s">
        <v>793</v>
      </c>
      <c r="F172" s="4" t="str">
        <f t="shared" si="3"/>
        <v>EUB09D700267</v>
      </c>
      <c r="G172" s="4">
        <v>1988</v>
      </c>
      <c r="H172" s="4">
        <v>4</v>
      </c>
    </row>
    <row r="173" spans="1:8" ht="30" customHeight="1" x14ac:dyDescent="0.25">
      <c r="A173" s="14">
        <v>45140.393641550923</v>
      </c>
      <c r="B173" s="2" t="s">
        <v>32</v>
      </c>
      <c r="C173" s="22" t="s">
        <v>737</v>
      </c>
      <c r="D173" s="111" t="s">
        <v>95</v>
      </c>
      <c r="E173" s="18" t="s">
        <v>762</v>
      </c>
      <c r="F173" s="4" t="str">
        <f t="shared" si="3"/>
        <v>Nincs Adat</v>
      </c>
      <c r="G173" s="4"/>
      <c r="H173" s="4">
        <v>3</v>
      </c>
    </row>
    <row r="174" spans="1:8" ht="30" customHeight="1" x14ac:dyDescent="0.25">
      <c r="A174" s="14">
        <v>45134.396347569447</v>
      </c>
      <c r="B174" s="2" t="s">
        <v>77</v>
      </c>
      <c r="C174" s="22" t="s">
        <v>734</v>
      </c>
      <c r="D174" s="111" t="s">
        <v>95</v>
      </c>
      <c r="E174" s="18" t="s">
        <v>735</v>
      </c>
      <c r="F174" s="4" t="str">
        <f t="shared" si="3"/>
        <v>PTP200R239151</v>
      </c>
      <c r="G174" s="4">
        <v>642</v>
      </c>
      <c r="H174" s="4">
        <v>1</v>
      </c>
    </row>
    <row r="175" spans="1:8" ht="30" customHeight="1" x14ac:dyDescent="0.25">
      <c r="A175" s="14">
        <v>45134.395994907405</v>
      </c>
      <c r="B175" s="2" t="s">
        <v>80</v>
      </c>
      <c r="C175" s="22" t="s">
        <v>736</v>
      </c>
      <c r="D175" s="111" t="s">
        <v>95</v>
      </c>
      <c r="E175" s="18" t="s">
        <v>739</v>
      </c>
      <c r="F175" s="4" t="str">
        <f t="shared" si="3"/>
        <v>PTP200R239154</v>
      </c>
      <c r="G175" s="4">
        <v>198</v>
      </c>
      <c r="H175" s="4">
        <v>5</v>
      </c>
    </row>
    <row r="176" spans="1:8" ht="30" customHeight="1" x14ac:dyDescent="0.25">
      <c r="A176" s="14">
        <v>45134.395494675926</v>
      </c>
      <c r="B176" s="2" t="s">
        <v>11</v>
      </c>
      <c r="C176" s="22" t="s">
        <v>732</v>
      </c>
      <c r="D176" s="111" t="s">
        <v>95</v>
      </c>
      <c r="E176" s="18" t="s">
        <v>733</v>
      </c>
      <c r="F176" s="4" t="str">
        <f t="shared" si="3"/>
        <v>EUB09D700850</v>
      </c>
      <c r="G176" s="4">
        <v>3670</v>
      </c>
      <c r="H176" s="4">
        <v>4</v>
      </c>
    </row>
    <row r="177" spans="1:8" ht="30" customHeight="1" x14ac:dyDescent="0.25">
      <c r="A177" s="14">
        <v>45134.394708217595</v>
      </c>
      <c r="B177" s="2" t="s">
        <v>22</v>
      </c>
      <c r="C177" s="22" t="s">
        <v>730</v>
      </c>
      <c r="D177" s="111" t="s">
        <v>95</v>
      </c>
      <c r="E177" s="18" t="s">
        <v>731</v>
      </c>
      <c r="F177" s="4" t="str">
        <f t="shared" si="3"/>
        <v>EUB09D700838</v>
      </c>
      <c r="G177" s="4">
        <v>1581</v>
      </c>
      <c r="H177" s="4">
        <v>2</v>
      </c>
    </row>
    <row r="178" spans="1:8" ht="30" customHeight="1" x14ac:dyDescent="0.25">
      <c r="A178" s="14">
        <v>45134.394151851855</v>
      </c>
      <c r="B178" s="2" t="s">
        <v>78</v>
      </c>
      <c r="C178" s="22" t="s">
        <v>728</v>
      </c>
      <c r="D178" s="111" t="s">
        <v>95</v>
      </c>
      <c r="E178" s="18" t="s">
        <v>729</v>
      </c>
      <c r="F178" s="4" t="str">
        <f t="shared" si="3"/>
        <v>PTP200R239152</v>
      </c>
      <c r="G178" s="4">
        <v>1182</v>
      </c>
      <c r="H178" s="4">
        <v>3</v>
      </c>
    </row>
    <row r="179" spans="1:8" ht="30" customHeight="1" x14ac:dyDescent="0.25">
      <c r="A179" s="14">
        <v>45134.393507175926</v>
      </c>
      <c r="B179" s="2" t="s">
        <v>79</v>
      </c>
      <c r="C179" s="22" t="s">
        <v>726</v>
      </c>
      <c r="D179" s="111" t="s">
        <v>95</v>
      </c>
      <c r="E179" s="18" t="s">
        <v>727</v>
      </c>
      <c r="F179" s="4" t="str">
        <f t="shared" si="3"/>
        <v>PTP200R239153</v>
      </c>
      <c r="G179" s="4">
        <v>920</v>
      </c>
      <c r="H179" s="4">
        <v>1</v>
      </c>
    </row>
    <row r="180" spans="1:8" ht="30" customHeight="1" x14ac:dyDescent="0.25">
      <c r="A180" s="14">
        <v>45134.392892824071</v>
      </c>
      <c r="B180" s="2" t="s">
        <v>80</v>
      </c>
      <c r="C180" s="22" t="s">
        <v>724</v>
      </c>
      <c r="D180" s="111" t="s">
        <v>95</v>
      </c>
      <c r="E180" s="18" t="s">
        <v>725</v>
      </c>
      <c r="F180" s="4" t="str">
        <f t="shared" si="3"/>
        <v>PTP200R239154</v>
      </c>
      <c r="G180" s="4">
        <v>198</v>
      </c>
      <c r="H180" s="4">
        <v>1</v>
      </c>
    </row>
    <row r="181" spans="1:8" ht="30" customHeight="1" x14ac:dyDescent="0.25">
      <c r="A181" s="14">
        <v>45134.390093981485</v>
      </c>
      <c r="B181" s="2" t="s">
        <v>80</v>
      </c>
      <c r="C181" s="22" t="s">
        <v>722</v>
      </c>
      <c r="D181" s="111" t="s">
        <v>95</v>
      </c>
      <c r="E181" s="18" t="s">
        <v>723</v>
      </c>
      <c r="F181" s="4" t="str">
        <f t="shared" si="3"/>
        <v>PTP200R239154</v>
      </c>
      <c r="G181" s="4">
        <v>178</v>
      </c>
      <c r="H181" s="4">
        <v>1</v>
      </c>
    </row>
    <row r="182" spans="1:8" ht="30" customHeight="1" x14ac:dyDescent="0.25">
      <c r="A182" s="14">
        <v>45134.389164236112</v>
      </c>
      <c r="B182" s="2" t="s">
        <v>16</v>
      </c>
      <c r="C182" s="22" t="s">
        <v>719</v>
      </c>
      <c r="D182" s="111" t="s">
        <v>95</v>
      </c>
      <c r="E182" s="18" t="s">
        <v>720</v>
      </c>
      <c r="F182" s="4" t="str">
        <f t="shared" si="3"/>
        <v>EUB09D700851</v>
      </c>
      <c r="G182" s="4">
        <v>2909</v>
      </c>
      <c r="H182" s="4">
        <v>3</v>
      </c>
    </row>
    <row r="183" spans="1:8" ht="30" customHeight="1" x14ac:dyDescent="0.25">
      <c r="A183" s="14">
        <v>45134.388216087966</v>
      </c>
      <c r="B183" s="2" t="s">
        <v>23</v>
      </c>
      <c r="C183" s="22" t="s">
        <v>717</v>
      </c>
      <c r="D183" s="111" t="s">
        <v>95</v>
      </c>
      <c r="E183" s="18" t="s">
        <v>718</v>
      </c>
      <c r="F183" s="4" t="str">
        <f t="shared" si="3"/>
        <v>EUB09D700740</v>
      </c>
      <c r="G183" s="4">
        <v>1395</v>
      </c>
      <c r="H183" s="4">
        <v>1</v>
      </c>
    </row>
    <row r="184" spans="1:8" ht="30" customHeight="1" x14ac:dyDescent="0.25">
      <c r="A184" s="14">
        <v>45134.387578125003</v>
      </c>
      <c r="B184" s="2" t="s">
        <v>15</v>
      </c>
      <c r="C184" s="22" t="s">
        <v>715</v>
      </c>
      <c r="D184" s="111" t="s">
        <v>95</v>
      </c>
      <c r="E184" s="18" t="s">
        <v>716</v>
      </c>
      <c r="F184" s="4" t="str">
        <f t="shared" si="3"/>
        <v>EUB09D700705</v>
      </c>
      <c r="G184" s="4">
        <v>929</v>
      </c>
      <c r="H184" s="4">
        <v>3</v>
      </c>
    </row>
    <row r="185" spans="1:8" ht="30" customHeight="1" x14ac:dyDescent="0.25">
      <c r="A185" s="14">
        <v>45134.387262384262</v>
      </c>
      <c r="B185" s="2" t="s">
        <v>545</v>
      </c>
      <c r="C185" s="22" t="s">
        <v>542</v>
      </c>
      <c r="D185" s="111" t="s">
        <v>95</v>
      </c>
      <c r="E185" s="18" t="s">
        <v>714</v>
      </c>
      <c r="F185" s="4" t="str">
        <f t="shared" si="3"/>
        <v>G1Q2E710805</v>
      </c>
      <c r="G185" s="4">
        <v>7636</v>
      </c>
      <c r="H185" s="4">
        <v>1</v>
      </c>
    </row>
    <row r="186" spans="1:8" ht="30" customHeight="1" x14ac:dyDescent="0.25">
      <c r="A186" s="14">
        <v>45134.386098958334</v>
      </c>
      <c r="B186" s="2" t="s">
        <v>20</v>
      </c>
      <c r="C186" s="22" t="s">
        <v>712</v>
      </c>
      <c r="D186" s="111" t="s">
        <v>95</v>
      </c>
      <c r="E186" s="18" t="s">
        <v>713</v>
      </c>
      <c r="F186" s="4" t="str">
        <f t="shared" si="3"/>
        <v>EUB09D700832</v>
      </c>
      <c r="G186" s="4">
        <v>2545</v>
      </c>
      <c r="H186" s="4">
        <v>3</v>
      </c>
    </row>
    <row r="187" spans="1:8" ht="30" customHeight="1" x14ac:dyDescent="0.25">
      <c r="A187" s="14">
        <v>45131.516529398148</v>
      </c>
      <c r="B187" s="2" t="s">
        <v>20</v>
      </c>
      <c r="C187" s="22" t="s">
        <v>711</v>
      </c>
      <c r="D187" s="111" t="s">
        <v>95</v>
      </c>
      <c r="E187" s="18" t="s">
        <v>721</v>
      </c>
      <c r="F187" s="4" t="str">
        <f t="shared" si="3"/>
        <v>EUB09D700832</v>
      </c>
      <c r="G187" s="4">
        <v>2546</v>
      </c>
      <c r="H187" s="4">
        <v>2</v>
      </c>
    </row>
    <row r="188" spans="1:8" ht="30" customHeight="1" x14ac:dyDescent="0.25">
      <c r="A188" s="14">
        <v>45131.516265972219</v>
      </c>
      <c r="B188" s="2" t="s">
        <v>25</v>
      </c>
      <c r="C188" s="22" t="s">
        <v>783</v>
      </c>
      <c r="D188" s="111" t="s">
        <v>95</v>
      </c>
      <c r="E188" s="18" t="s">
        <v>795</v>
      </c>
      <c r="F188" s="4" t="str">
        <f t="shared" si="3"/>
        <v>EUB09D700741</v>
      </c>
      <c r="G188" s="4">
        <v>1397</v>
      </c>
      <c r="H188" s="4">
        <v>1</v>
      </c>
    </row>
    <row r="189" spans="1:8" ht="30" customHeight="1" x14ac:dyDescent="0.25">
      <c r="A189" s="14">
        <v>45126.431397106484</v>
      </c>
      <c r="B189" s="2" t="s">
        <v>158</v>
      </c>
      <c r="C189" s="22" t="s">
        <v>708</v>
      </c>
      <c r="D189" s="111" t="s">
        <v>95</v>
      </c>
      <c r="E189" s="18" t="s">
        <v>709</v>
      </c>
      <c r="F189" s="4" t="str">
        <f t="shared" si="3"/>
        <v>F24537B00022</v>
      </c>
      <c r="G189" s="4">
        <v>2793</v>
      </c>
      <c r="H189" s="4">
        <v>3</v>
      </c>
    </row>
    <row r="190" spans="1:8" ht="30" customHeight="1" x14ac:dyDescent="0.25">
      <c r="A190" s="14">
        <v>45126.430310532407</v>
      </c>
      <c r="B190" s="2" t="s">
        <v>17</v>
      </c>
      <c r="C190" s="22" t="s">
        <v>667</v>
      </c>
      <c r="D190" s="111" t="s">
        <v>95</v>
      </c>
      <c r="E190" s="18" t="s">
        <v>707</v>
      </c>
      <c r="F190" s="4" t="str">
        <f t="shared" si="3"/>
        <v>EUB09D700852</v>
      </c>
      <c r="G190" s="4">
        <v>2821</v>
      </c>
      <c r="H190" s="4">
        <v>1</v>
      </c>
    </row>
    <row r="191" spans="1:8" ht="30" customHeight="1" x14ac:dyDescent="0.25">
      <c r="A191" s="14">
        <v>45126.429200231483</v>
      </c>
      <c r="B191" s="2" t="s">
        <v>16</v>
      </c>
      <c r="C191" s="22" t="s">
        <v>705</v>
      </c>
      <c r="D191" s="111" t="s">
        <v>95</v>
      </c>
      <c r="E191" s="18" t="s">
        <v>706</v>
      </c>
      <c r="F191" s="4" t="str">
        <f t="shared" si="3"/>
        <v>EUB09D700851</v>
      </c>
      <c r="G191" s="4">
        <v>2892</v>
      </c>
      <c r="H191" s="4">
        <v>1</v>
      </c>
    </row>
    <row r="192" spans="1:8" ht="30" customHeight="1" x14ac:dyDescent="0.25">
      <c r="A192" s="14">
        <v>45126.42879351852</v>
      </c>
      <c r="B192" s="2" t="s">
        <v>19</v>
      </c>
      <c r="C192" s="22" t="s">
        <v>703</v>
      </c>
      <c r="D192" s="111" t="s">
        <v>95</v>
      </c>
      <c r="E192" s="18" t="s">
        <v>704</v>
      </c>
      <c r="F192" s="4" t="str">
        <f t="shared" si="3"/>
        <v>EUB09D700836</v>
      </c>
      <c r="G192" s="4">
        <v>3375</v>
      </c>
      <c r="H192" s="4">
        <v>1</v>
      </c>
    </row>
    <row r="193" spans="1:8" ht="30" customHeight="1" x14ac:dyDescent="0.25">
      <c r="A193" s="14">
        <v>45126.428090393521</v>
      </c>
      <c r="B193" s="2" t="s">
        <v>17</v>
      </c>
      <c r="C193" s="22" t="s">
        <v>701</v>
      </c>
      <c r="D193" s="111" t="s">
        <v>95</v>
      </c>
      <c r="E193" s="18" t="s">
        <v>702</v>
      </c>
      <c r="F193" s="4" t="str">
        <f t="shared" si="3"/>
        <v>EUB09D700852</v>
      </c>
      <c r="G193" s="4">
        <v>2821</v>
      </c>
      <c r="H193" s="4">
        <v>3</v>
      </c>
    </row>
    <row r="194" spans="1:8" ht="30" customHeight="1" x14ac:dyDescent="0.25">
      <c r="A194" s="14">
        <v>45126.427722453707</v>
      </c>
      <c r="B194" s="2" t="s">
        <v>79</v>
      </c>
      <c r="C194" s="22" t="s">
        <v>767</v>
      </c>
      <c r="D194" s="111" t="s">
        <v>95</v>
      </c>
      <c r="E194" s="18" t="s">
        <v>700</v>
      </c>
      <c r="F194" s="4" t="str">
        <f t="shared" si="3"/>
        <v>PTP200R239153</v>
      </c>
      <c r="G194" s="4">
        <v>909</v>
      </c>
      <c r="H194" s="4">
        <v>5</v>
      </c>
    </row>
    <row r="195" spans="1:8" ht="30" customHeight="1" x14ac:dyDescent="0.25">
      <c r="A195" s="14">
        <v>45126.427245370367</v>
      </c>
      <c r="B195" s="2" t="s">
        <v>80</v>
      </c>
      <c r="C195" s="35" t="s">
        <v>766</v>
      </c>
      <c r="D195" s="111" t="s">
        <v>95</v>
      </c>
      <c r="E195" s="18" t="s">
        <v>699</v>
      </c>
      <c r="F195" s="4" t="str">
        <f t="shared" si="3"/>
        <v>PTP200R239154</v>
      </c>
      <c r="G195" s="4">
        <v>158</v>
      </c>
      <c r="H195" s="4">
        <v>2</v>
      </c>
    </row>
    <row r="196" spans="1:8" ht="30" customHeight="1" x14ac:dyDescent="0.25">
      <c r="A196" s="14">
        <v>45126.426088078704</v>
      </c>
      <c r="B196" s="2" t="s">
        <v>15</v>
      </c>
      <c r="C196" s="22" t="s">
        <v>696</v>
      </c>
      <c r="D196" s="111" t="s">
        <v>95</v>
      </c>
      <c r="E196" s="18" t="s">
        <v>697</v>
      </c>
      <c r="F196" s="4" t="str">
        <f t="shared" si="3"/>
        <v>EUB09D700705</v>
      </c>
      <c r="G196" s="4">
        <v>922</v>
      </c>
      <c r="H196" s="4">
        <v>3</v>
      </c>
    </row>
    <row r="197" spans="1:8" ht="30" customHeight="1" x14ac:dyDescent="0.25">
      <c r="A197" s="14">
        <v>45126.425573958331</v>
      </c>
      <c r="B197" s="2" t="s">
        <v>66</v>
      </c>
      <c r="C197" s="22" t="s">
        <v>284</v>
      </c>
      <c r="D197" s="111" t="s">
        <v>95</v>
      </c>
      <c r="E197" s="18" t="s">
        <v>695</v>
      </c>
      <c r="F197" s="4" t="str">
        <f t="shared" si="3"/>
        <v>Nincs Adat</v>
      </c>
      <c r="G197" s="4"/>
      <c r="H197" s="4">
        <v>1</v>
      </c>
    </row>
    <row r="198" spans="1:8" ht="30" customHeight="1" x14ac:dyDescent="0.25">
      <c r="A198" s="14">
        <v>45120.355618865739</v>
      </c>
      <c r="B198" s="2" t="s">
        <v>78</v>
      </c>
      <c r="C198" s="22" t="s">
        <v>623</v>
      </c>
      <c r="D198" s="111" t="s">
        <v>95</v>
      </c>
      <c r="E198" s="18" t="s">
        <v>694</v>
      </c>
      <c r="F198" s="4" t="str">
        <f t="shared" si="3"/>
        <v>PTP200R239152</v>
      </c>
      <c r="G198" s="4">
        <v>1127</v>
      </c>
      <c r="H198" s="4">
        <v>2</v>
      </c>
    </row>
    <row r="199" spans="1:8" ht="30" customHeight="1" x14ac:dyDescent="0.25">
      <c r="A199" s="14">
        <v>45120.355159837964</v>
      </c>
      <c r="B199" s="2" t="s">
        <v>77</v>
      </c>
      <c r="C199" s="22" t="s">
        <v>692</v>
      </c>
      <c r="D199" s="111" t="s">
        <v>95</v>
      </c>
      <c r="E199" s="18" t="s">
        <v>693</v>
      </c>
      <c r="F199" s="4" t="str">
        <f t="shared" si="3"/>
        <v>PTP200R239151</v>
      </c>
      <c r="G199" s="4">
        <v>590</v>
      </c>
      <c r="H199" s="4">
        <v>4</v>
      </c>
    </row>
    <row r="200" spans="1:8" ht="30" customHeight="1" x14ac:dyDescent="0.25">
      <c r="A200" s="14">
        <v>45120.354825000002</v>
      </c>
      <c r="B200" s="2" t="s">
        <v>25</v>
      </c>
      <c r="C200" s="22" t="s">
        <v>667</v>
      </c>
      <c r="D200" s="111" t="s">
        <v>95</v>
      </c>
      <c r="E200" s="18" t="s">
        <v>691</v>
      </c>
      <c r="F200" s="4" t="str">
        <f t="shared" ref="F200:F263" si="4">IFERROR(VLOOKUP(B200,targlist02,3,0),"Nincs Adat")</f>
        <v>EUB09D700741</v>
      </c>
      <c r="G200" s="4">
        <v>1360</v>
      </c>
      <c r="H200" s="4">
        <v>1</v>
      </c>
    </row>
    <row r="201" spans="1:8" ht="30" customHeight="1" x14ac:dyDescent="0.25">
      <c r="A201" s="14">
        <v>45120.354337962963</v>
      </c>
      <c r="B201" s="2" t="s">
        <v>12</v>
      </c>
      <c r="C201" s="22" t="s">
        <v>667</v>
      </c>
      <c r="D201" s="111" t="s">
        <v>95</v>
      </c>
      <c r="E201" s="18" t="s">
        <v>690</v>
      </c>
      <c r="F201" s="4" t="str">
        <f t="shared" si="4"/>
        <v>EUB09D700267</v>
      </c>
      <c r="G201" s="4">
        <v>1650</v>
      </c>
      <c r="H201" s="4">
        <v>1</v>
      </c>
    </row>
    <row r="202" spans="1:8" ht="30" customHeight="1" x14ac:dyDescent="0.25">
      <c r="A202" s="14">
        <v>45120.353445601853</v>
      </c>
      <c r="B202" s="2" t="s">
        <v>15</v>
      </c>
      <c r="C202" s="22" t="s">
        <v>688</v>
      </c>
      <c r="D202" s="111" t="s">
        <v>95</v>
      </c>
      <c r="E202" s="18" t="s">
        <v>689</v>
      </c>
      <c r="F202" s="4" t="str">
        <f t="shared" si="4"/>
        <v>EUB09D700705</v>
      </c>
      <c r="G202" s="4">
        <v>890</v>
      </c>
      <c r="H202" s="4">
        <v>1</v>
      </c>
    </row>
    <row r="203" spans="1:8" ht="30" customHeight="1" x14ac:dyDescent="0.25">
      <c r="A203" s="14">
        <v>45120.352652314818</v>
      </c>
      <c r="B203" s="2" t="s">
        <v>25</v>
      </c>
      <c r="C203" s="22" t="s">
        <v>686</v>
      </c>
      <c r="D203" s="111" t="s">
        <v>95</v>
      </c>
      <c r="E203" s="18" t="s">
        <v>687</v>
      </c>
      <c r="F203" s="4" t="str">
        <f t="shared" si="4"/>
        <v>EUB09D700741</v>
      </c>
      <c r="G203" s="4">
        <v>1360</v>
      </c>
      <c r="H203" s="4">
        <v>1</v>
      </c>
    </row>
    <row r="204" spans="1:8" ht="30" customHeight="1" x14ac:dyDescent="0.25">
      <c r="A204" s="14">
        <v>45113.341033449076</v>
      </c>
      <c r="B204" s="2" t="s">
        <v>10</v>
      </c>
      <c r="C204" s="22" t="s">
        <v>679</v>
      </c>
      <c r="D204" s="111" t="s">
        <v>95</v>
      </c>
      <c r="E204" s="18" t="s">
        <v>680</v>
      </c>
      <c r="F204" s="4" t="str">
        <f t="shared" si="4"/>
        <v>EUB09D700794</v>
      </c>
      <c r="G204" s="4">
        <v>2947</v>
      </c>
      <c r="H204" s="4">
        <v>3</v>
      </c>
    </row>
    <row r="205" spans="1:8" ht="30" customHeight="1" x14ac:dyDescent="0.25">
      <c r="A205" s="14">
        <v>45112.333208680553</v>
      </c>
      <c r="B205" s="2" t="s">
        <v>78</v>
      </c>
      <c r="C205" s="22" t="s">
        <v>677</v>
      </c>
      <c r="D205" s="111" t="s">
        <v>95</v>
      </c>
      <c r="E205" s="18" t="s">
        <v>683</v>
      </c>
      <c r="F205" s="4" t="str">
        <f t="shared" si="4"/>
        <v>PTP200R239152</v>
      </c>
      <c r="G205" s="4">
        <v>1120</v>
      </c>
      <c r="H205" s="4">
        <v>1</v>
      </c>
    </row>
    <row r="206" spans="1:8" ht="30" customHeight="1" x14ac:dyDescent="0.25">
      <c r="A206" s="14">
        <v>45112.332331134261</v>
      </c>
      <c r="B206" s="2" t="s">
        <v>81</v>
      </c>
      <c r="C206" s="22" t="s">
        <v>676</v>
      </c>
      <c r="D206" s="111" t="s">
        <v>95</v>
      </c>
      <c r="E206" s="18" t="s">
        <v>675</v>
      </c>
      <c r="F206" s="4" t="str">
        <f t="shared" si="4"/>
        <v>PTP200R239155</v>
      </c>
      <c r="G206" s="4">
        <v>111</v>
      </c>
      <c r="H206" s="4">
        <v>1</v>
      </c>
    </row>
    <row r="207" spans="1:8" ht="30" customHeight="1" x14ac:dyDescent="0.25">
      <c r="A207" s="14">
        <v>45112.331656249997</v>
      </c>
      <c r="B207" s="2" t="s">
        <v>78</v>
      </c>
      <c r="C207" s="22" t="s">
        <v>673</v>
      </c>
      <c r="D207" s="111" t="s">
        <v>95</v>
      </c>
      <c r="E207" s="18" t="s">
        <v>674</v>
      </c>
      <c r="F207" s="4" t="str">
        <f t="shared" si="4"/>
        <v>PTP200R239152</v>
      </c>
      <c r="G207" s="4">
        <v>1119</v>
      </c>
      <c r="H207" s="4">
        <v>1</v>
      </c>
    </row>
    <row r="208" spans="1:8" ht="30" customHeight="1" x14ac:dyDescent="0.25">
      <c r="A208" s="14">
        <v>45112.330979861108</v>
      </c>
      <c r="B208" s="2" t="s">
        <v>8</v>
      </c>
      <c r="C208" s="22" t="s">
        <v>671</v>
      </c>
      <c r="D208" s="111" t="s">
        <v>95</v>
      </c>
      <c r="E208" s="18" t="s">
        <v>672</v>
      </c>
      <c r="F208" s="4" t="str">
        <f t="shared" si="4"/>
        <v>EUB09D700744</v>
      </c>
      <c r="G208" s="4">
        <v>2884</v>
      </c>
      <c r="H208" s="4">
        <v>4</v>
      </c>
    </row>
    <row r="209" spans="1:8" ht="30" customHeight="1" x14ac:dyDescent="0.25">
      <c r="A209" s="14">
        <v>45112.329933680558</v>
      </c>
      <c r="B209" s="2" t="s">
        <v>77</v>
      </c>
      <c r="C209" s="22" t="s">
        <v>669</v>
      </c>
      <c r="D209" s="111" t="s">
        <v>95</v>
      </c>
      <c r="E209" s="18" t="s">
        <v>670</v>
      </c>
      <c r="F209" s="4" t="str">
        <f t="shared" si="4"/>
        <v>PTP200R239151</v>
      </c>
      <c r="G209" s="4">
        <v>553</v>
      </c>
      <c r="H209" s="4">
        <v>2</v>
      </c>
    </row>
    <row r="210" spans="1:8" ht="30" customHeight="1" x14ac:dyDescent="0.25">
      <c r="A210" s="14">
        <v>45112.329665972225</v>
      </c>
      <c r="B210" s="2" t="s">
        <v>15</v>
      </c>
      <c r="C210" s="22" t="s">
        <v>667</v>
      </c>
      <c r="D210" s="111" t="s">
        <v>95</v>
      </c>
      <c r="E210" s="18" t="s">
        <v>668</v>
      </c>
      <c r="F210" s="4" t="str">
        <f t="shared" si="4"/>
        <v>EUB09D700705</v>
      </c>
      <c r="G210" s="4">
        <v>889</v>
      </c>
      <c r="H210" s="4">
        <v>1</v>
      </c>
    </row>
    <row r="211" spans="1:8" ht="30" customHeight="1" x14ac:dyDescent="0.25">
      <c r="A211" s="14">
        <v>45112.328954976852</v>
      </c>
      <c r="B211" s="2" t="s">
        <v>7</v>
      </c>
      <c r="C211" s="22" t="s">
        <v>665</v>
      </c>
      <c r="D211" s="111" t="s">
        <v>95</v>
      </c>
      <c r="E211" s="18" t="s">
        <v>666</v>
      </c>
      <c r="F211" s="4" t="str">
        <f t="shared" si="4"/>
        <v>EUB09D700743</v>
      </c>
      <c r="G211" s="4">
        <v>2873</v>
      </c>
      <c r="H211" s="4">
        <v>4</v>
      </c>
    </row>
    <row r="212" spans="1:8" ht="30" customHeight="1" x14ac:dyDescent="0.25">
      <c r="A212" s="14">
        <v>45110.502187500002</v>
      </c>
      <c r="B212" s="2" t="s">
        <v>9</v>
      </c>
      <c r="C212" s="22" t="s">
        <v>663</v>
      </c>
      <c r="D212" s="111" t="s">
        <v>95</v>
      </c>
      <c r="E212" s="18" t="s">
        <v>664</v>
      </c>
      <c r="F212" s="4" t="str">
        <f t="shared" si="4"/>
        <v>EUB09D700745</v>
      </c>
      <c r="G212" s="4">
        <v>3087</v>
      </c>
      <c r="H212" s="4">
        <v>4</v>
      </c>
    </row>
    <row r="213" spans="1:8" ht="30" customHeight="1" x14ac:dyDescent="0.25">
      <c r="A213" s="14">
        <v>45110.501020138887</v>
      </c>
      <c r="B213" s="2" t="s">
        <v>6</v>
      </c>
      <c r="C213" s="22" t="s">
        <v>661</v>
      </c>
      <c r="D213" s="111" t="s">
        <v>95</v>
      </c>
      <c r="E213" s="18" t="s">
        <v>662</v>
      </c>
      <c r="F213" s="4" t="str">
        <f t="shared" si="4"/>
        <v>EUB09D700742</v>
      </c>
      <c r="G213" s="4">
        <v>3143</v>
      </c>
      <c r="H213" s="4">
        <v>3</v>
      </c>
    </row>
    <row r="214" spans="1:8" ht="30" customHeight="1" x14ac:dyDescent="0.25">
      <c r="A214" s="14">
        <v>45110.500594328703</v>
      </c>
      <c r="B214" s="2" t="s">
        <v>16</v>
      </c>
      <c r="C214" s="22" t="s">
        <v>659</v>
      </c>
      <c r="D214" s="111" t="s">
        <v>95</v>
      </c>
      <c r="E214" s="18" t="s">
        <v>660</v>
      </c>
      <c r="F214" s="4" t="str">
        <f t="shared" si="4"/>
        <v>EUB09D700851</v>
      </c>
      <c r="G214" s="4">
        <v>2685</v>
      </c>
      <c r="H214" s="4">
        <v>6</v>
      </c>
    </row>
    <row r="215" spans="1:8" ht="30" customHeight="1" x14ac:dyDescent="0.25">
      <c r="A215" s="14">
        <v>45110.500087499997</v>
      </c>
      <c r="B215" s="2" t="s">
        <v>15</v>
      </c>
      <c r="C215" s="22" t="s">
        <v>657</v>
      </c>
      <c r="D215" s="111" t="s">
        <v>95</v>
      </c>
      <c r="E215" s="18" t="s">
        <v>658</v>
      </c>
      <c r="F215" s="4" t="str">
        <f t="shared" si="4"/>
        <v>EUB09D700705</v>
      </c>
      <c r="G215" s="4">
        <v>889</v>
      </c>
      <c r="H215" s="4">
        <v>1</v>
      </c>
    </row>
    <row r="216" spans="1:8" ht="30" customHeight="1" x14ac:dyDescent="0.25">
      <c r="A216" s="14">
        <v>45110.33869733796</v>
      </c>
      <c r="B216" s="2" t="s">
        <v>25</v>
      </c>
      <c r="C216" s="22" t="s">
        <v>655</v>
      </c>
      <c r="D216" s="111" t="s">
        <v>95</v>
      </c>
      <c r="E216" s="18" t="s">
        <v>698</v>
      </c>
      <c r="F216" s="4" t="str">
        <f t="shared" si="4"/>
        <v>EUB09D700741</v>
      </c>
      <c r="G216" s="4">
        <v>1360</v>
      </c>
      <c r="H216" s="4">
        <v>2</v>
      </c>
    </row>
    <row r="217" spans="1:8" ht="30" customHeight="1" x14ac:dyDescent="0.25">
      <c r="A217" s="14">
        <v>45106.533655439816</v>
      </c>
      <c r="B217" s="2" t="s">
        <v>545</v>
      </c>
      <c r="C217" s="22" t="s">
        <v>652</v>
      </c>
      <c r="D217" s="111" t="s">
        <v>95</v>
      </c>
      <c r="E217" s="18" t="s">
        <v>653</v>
      </c>
      <c r="F217" s="4" t="str">
        <f t="shared" si="4"/>
        <v>G1Q2E710805</v>
      </c>
      <c r="G217" s="4">
        <v>7581</v>
      </c>
      <c r="H217" s="4">
        <v>1</v>
      </c>
    </row>
    <row r="218" spans="1:8" ht="30" customHeight="1" x14ac:dyDescent="0.25">
      <c r="A218" s="14">
        <v>45106.526449305558</v>
      </c>
      <c r="B218" s="2" t="s">
        <v>22</v>
      </c>
      <c r="C218" s="22" t="s">
        <v>651</v>
      </c>
      <c r="D218" s="111" t="s">
        <v>95</v>
      </c>
      <c r="E218" s="18"/>
      <c r="F218" s="4" t="str">
        <f t="shared" si="4"/>
        <v>EUB09D700838</v>
      </c>
      <c r="G218" s="4">
        <v>1481</v>
      </c>
      <c r="H218" s="4">
        <v>0</v>
      </c>
    </row>
    <row r="219" spans="1:8" ht="30" customHeight="1" x14ac:dyDescent="0.25">
      <c r="A219" s="14">
        <v>45106.525942708337</v>
      </c>
      <c r="B219" s="2" t="s">
        <v>7</v>
      </c>
      <c r="C219" s="22" t="s">
        <v>649</v>
      </c>
      <c r="D219" s="111" t="s">
        <v>95</v>
      </c>
      <c r="E219" s="18" t="s">
        <v>650</v>
      </c>
      <c r="F219" s="4" t="str">
        <f t="shared" si="4"/>
        <v>EUB09D700743</v>
      </c>
      <c r="G219" s="4">
        <v>2883</v>
      </c>
      <c r="H219" s="4">
        <v>1</v>
      </c>
    </row>
    <row r="220" spans="1:8" ht="30" customHeight="1" x14ac:dyDescent="0.25">
      <c r="A220" s="14">
        <v>45104.620932291669</v>
      </c>
      <c r="B220" s="2" t="s">
        <v>89</v>
      </c>
      <c r="C220" s="22" t="s">
        <v>648</v>
      </c>
      <c r="D220" s="111" t="s">
        <v>95</v>
      </c>
      <c r="E220" s="18"/>
      <c r="F220" s="4" t="str">
        <f t="shared" si="4"/>
        <v>Nincs Adat</v>
      </c>
      <c r="G220" s="4"/>
      <c r="H220" s="4">
        <v>0</v>
      </c>
    </row>
    <row r="221" spans="1:8" ht="30" customHeight="1" x14ac:dyDescent="0.25">
      <c r="A221" s="14">
        <v>45104.394759143521</v>
      </c>
      <c r="B221" s="4" t="s">
        <v>20</v>
      </c>
      <c r="C221" s="22" t="s">
        <v>616</v>
      </c>
      <c r="D221" s="111" t="s">
        <v>95</v>
      </c>
      <c r="E221" s="18" t="s">
        <v>643</v>
      </c>
      <c r="F221" s="4" t="str">
        <f t="shared" si="4"/>
        <v>EUB09D700832</v>
      </c>
      <c r="G221" s="4">
        <v>2359</v>
      </c>
      <c r="H221" s="4">
        <v>0.5</v>
      </c>
    </row>
    <row r="222" spans="1:8" ht="30" customHeight="1" x14ac:dyDescent="0.25">
      <c r="A222" s="14">
        <v>45104.394084259256</v>
      </c>
      <c r="B222" s="2" t="s">
        <v>16</v>
      </c>
      <c r="C222" s="22" t="s">
        <v>616</v>
      </c>
      <c r="D222" s="111" t="s">
        <v>95</v>
      </c>
      <c r="E222" s="18" t="s">
        <v>642</v>
      </c>
      <c r="F222" s="4" t="str">
        <f t="shared" si="4"/>
        <v>EUB09D700851</v>
      </c>
      <c r="G222" s="4">
        <v>2615</v>
      </c>
      <c r="H222" s="4">
        <v>0.5</v>
      </c>
    </row>
    <row r="223" spans="1:8" ht="30" customHeight="1" x14ac:dyDescent="0.25">
      <c r="A223" s="14">
        <v>45104.39352986111</v>
      </c>
      <c r="B223" s="2" t="s">
        <v>9</v>
      </c>
      <c r="C223" s="22" t="s">
        <v>163</v>
      </c>
      <c r="D223" s="111" t="s">
        <v>95</v>
      </c>
      <c r="E223" s="18" t="s">
        <v>641</v>
      </c>
      <c r="F223" s="4" t="str">
        <f t="shared" si="4"/>
        <v>EUB09D700745</v>
      </c>
      <c r="G223" s="4">
        <v>3040</v>
      </c>
      <c r="H223" s="4">
        <v>1</v>
      </c>
    </row>
    <row r="224" spans="1:8" ht="30" customHeight="1" x14ac:dyDescent="0.25">
      <c r="A224" s="14">
        <v>45104.392637847224</v>
      </c>
      <c r="B224" s="2" t="s">
        <v>10</v>
      </c>
      <c r="C224" s="22" t="s">
        <v>616</v>
      </c>
      <c r="D224" s="111" t="s">
        <v>95</v>
      </c>
      <c r="E224" s="18" t="s">
        <v>639</v>
      </c>
      <c r="F224" s="4" t="str">
        <f t="shared" si="4"/>
        <v>EUB09D700794</v>
      </c>
      <c r="G224" s="43">
        <v>2930</v>
      </c>
      <c r="H224" s="4">
        <v>0.5</v>
      </c>
    </row>
    <row r="225" spans="1:8" ht="30" customHeight="1" x14ac:dyDescent="0.25">
      <c r="A225" s="14">
        <v>45103.608486574078</v>
      </c>
      <c r="B225" s="2" t="s">
        <v>9</v>
      </c>
      <c r="C225" s="22" t="s">
        <v>626</v>
      </c>
      <c r="D225" s="111" t="s">
        <v>95</v>
      </c>
      <c r="E225" s="18" t="s">
        <v>763</v>
      </c>
      <c r="F225" s="4" t="str">
        <f t="shared" si="4"/>
        <v>EUB09D700745</v>
      </c>
      <c r="G225" s="4">
        <v>3478</v>
      </c>
      <c r="H225" s="4">
        <v>4</v>
      </c>
    </row>
    <row r="226" spans="1:8" ht="30" customHeight="1" x14ac:dyDescent="0.25">
      <c r="A226" s="14">
        <v>45100.332334375002</v>
      </c>
      <c r="B226" s="2" t="s">
        <v>80</v>
      </c>
      <c r="C226" s="22" t="s">
        <v>647</v>
      </c>
      <c r="D226" s="111" t="s">
        <v>95</v>
      </c>
      <c r="E226" s="18" t="s">
        <v>646</v>
      </c>
      <c r="F226" s="4" t="str">
        <f t="shared" si="4"/>
        <v>PTP200R239154</v>
      </c>
      <c r="G226" s="4">
        <v>77</v>
      </c>
      <c r="H226" s="4">
        <v>1</v>
      </c>
    </row>
    <row r="227" spans="1:8" ht="30" customHeight="1" x14ac:dyDescent="0.25">
      <c r="A227" s="14">
        <v>45100.332109027775</v>
      </c>
      <c r="B227" s="2" t="s">
        <v>19</v>
      </c>
      <c r="C227" s="22" t="s">
        <v>644</v>
      </c>
      <c r="D227" s="111" t="s">
        <v>95</v>
      </c>
      <c r="E227" s="18" t="s">
        <v>645</v>
      </c>
      <c r="F227" s="4" t="str">
        <f t="shared" si="4"/>
        <v>EUB09D700836</v>
      </c>
      <c r="G227" s="4">
        <v>3153</v>
      </c>
      <c r="H227" s="4">
        <v>1</v>
      </c>
    </row>
    <row r="228" spans="1:8" ht="30" customHeight="1" x14ac:dyDescent="0.25">
      <c r="A228" s="14">
        <v>45100.331880324076</v>
      </c>
      <c r="B228" s="2" t="s">
        <v>17</v>
      </c>
      <c r="C228" s="22" t="s">
        <v>635</v>
      </c>
      <c r="D228" s="111" t="s">
        <v>95</v>
      </c>
      <c r="E228" s="18"/>
      <c r="F228" s="4" t="str">
        <f t="shared" si="4"/>
        <v>EUB09D700852</v>
      </c>
      <c r="G228" s="4"/>
      <c r="H228" s="4"/>
    </row>
    <row r="229" spans="1:8" ht="30" customHeight="1" x14ac:dyDescent="0.25">
      <c r="A229" s="14">
        <v>45100.3303787037</v>
      </c>
      <c r="B229" s="2" t="s">
        <v>13</v>
      </c>
      <c r="C229" s="22" t="s">
        <v>636</v>
      </c>
      <c r="D229" s="111" t="s">
        <v>95</v>
      </c>
      <c r="E229" s="18" t="s">
        <v>633</v>
      </c>
      <c r="F229" s="4" t="str">
        <f t="shared" si="4"/>
        <v>EUB09D700268</v>
      </c>
      <c r="G229" s="4">
        <v>1578</v>
      </c>
      <c r="H229" s="4">
        <v>1</v>
      </c>
    </row>
    <row r="230" spans="1:8" ht="30" customHeight="1" x14ac:dyDescent="0.25">
      <c r="A230" s="14">
        <v>45100.329364699071</v>
      </c>
      <c r="B230" s="2" t="s">
        <v>77</v>
      </c>
      <c r="C230" s="22" t="s">
        <v>630</v>
      </c>
      <c r="D230" s="111" t="s">
        <v>95</v>
      </c>
      <c r="E230" s="18" t="s">
        <v>631</v>
      </c>
      <c r="F230" s="4" t="str">
        <f t="shared" si="4"/>
        <v>PTP200R239151</v>
      </c>
      <c r="G230" s="4">
        <v>516</v>
      </c>
      <c r="H230" s="4">
        <v>1</v>
      </c>
    </row>
    <row r="231" spans="1:8" ht="30" customHeight="1" x14ac:dyDescent="0.25">
      <c r="A231" s="14">
        <v>45100.327714004627</v>
      </c>
      <c r="B231" s="2" t="s">
        <v>19</v>
      </c>
      <c r="C231" s="22" t="s">
        <v>628</v>
      </c>
      <c r="D231" s="111" t="s">
        <v>95</v>
      </c>
      <c r="E231" s="18" t="s">
        <v>629</v>
      </c>
      <c r="F231" s="4" t="str">
        <f t="shared" si="4"/>
        <v>EUB09D700836</v>
      </c>
      <c r="G231" s="43">
        <v>3153</v>
      </c>
      <c r="H231" s="4">
        <v>3</v>
      </c>
    </row>
    <row r="232" spans="1:8" ht="30" customHeight="1" x14ac:dyDescent="0.25">
      <c r="A232" s="14">
        <v>45098.390229629629</v>
      </c>
      <c r="B232" s="2" t="s">
        <v>19</v>
      </c>
      <c r="C232" s="22" t="s">
        <v>637</v>
      </c>
      <c r="D232" s="111" t="s">
        <v>95</v>
      </c>
      <c r="E232" s="18"/>
      <c r="F232" s="4" t="str">
        <f t="shared" si="4"/>
        <v>EUB09D700836</v>
      </c>
      <c r="G232" s="4"/>
      <c r="H232" s="4"/>
    </row>
    <row r="233" spans="1:8" ht="30" customHeight="1" x14ac:dyDescent="0.25">
      <c r="A233" s="14">
        <v>45098.390080324076</v>
      </c>
      <c r="B233" s="2" t="s">
        <v>7</v>
      </c>
      <c r="C233" s="22" t="s">
        <v>626</v>
      </c>
      <c r="D233" s="111" t="s">
        <v>95</v>
      </c>
      <c r="E233" s="18" t="s">
        <v>762</v>
      </c>
      <c r="F233" s="4" t="str">
        <f t="shared" si="4"/>
        <v>EUB09D700743</v>
      </c>
      <c r="G233" s="4">
        <v>3160</v>
      </c>
      <c r="H233" s="4">
        <v>3</v>
      </c>
    </row>
    <row r="234" spans="1:8" ht="30" customHeight="1" x14ac:dyDescent="0.25">
      <c r="A234" s="14">
        <v>45098.389957754633</v>
      </c>
      <c r="B234" s="2" t="s">
        <v>6</v>
      </c>
      <c r="C234" s="22" t="s">
        <v>626</v>
      </c>
      <c r="D234" s="111" t="s">
        <v>95</v>
      </c>
      <c r="E234" s="18" t="s">
        <v>817</v>
      </c>
      <c r="F234" s="4" t="str">
        <f t="shared" si="4"/>
        <v>EUB09D700742</v>
      </c>
      <c r="G234" s="4"/>
      <c r="H234" s="4">
        <v>1</v>
      </c>
    </row>
    <row r="235" spans="1:8" ht="30" customHeight="1" x14ac:dyDescent="0.25">
      <c r="A235" s="14">
        <v>45098.332826041667</v>
      </c>
      <c r="B235" s="2" t="s">
        <v>80</v>
      </c>
      <c r="C235" s="22" t="s">
        <v>623</v>
      </c>
      <c r="D235" s="111" t="s">
        <v>95</v>
      </c>
      <c r="E235" s="18" t="s">
        <v>634</v>
      </c>
      <c r="F235" s="4" t="str">
        <f t="shared" si="4"/>
        <v>PTP200R239154</v>
      </c>
      <c r="G235" s="4">
        <v>70</v>
      </c>
      <c r="H235" s="4">
        <v>2</v>
      </c>
    </row>
    <row r="236" spans="1:8" ht="30" customHeight="1" x14ac:dyDescent="0.25">
      <c r="A236" s="14">
        <v>45098.33067638889</v>
      </c>
      <c r="B236" s="2" t="s">
        <v>24</v>
      </c>
      <c r="C236" s="22" t="s">
        <v>618</v>
      </c>
      <c r="D236" s="111" t="s">
        <v>95</v>
      </c>
      <c r="E236" s="18" t="s">
        <v>619</v>
      </c>
      <c r="F236" s="4" t="str">
        <f t="shared" si="4"/>
        <v>EUB09D700704</v>
      </c>
      <c r="G236" s="4">
        <v>2030</v>
      </c>
      <c r="H236" s="4">
        <v>1</v>
      </c>
    </row>
    <row r="237" spans="1:8" ht="30" customHeight="1" x14ac:dyDescent="0.25">
      <c r="A237" s="14">
        <v>45093.5406806713</v>
      </c>
      <c r="B237" s="2" t="s">
        <v>81</v>
      </c>
      <c r="C237" s="22" t="s">
        <v>617</v>
      </c>
      <c r="D237" s="111" t="s">
        <v>95</v>
      </c>
      <c r="E237" s="18"/>
      <c r="F237" s="4" t="str">
        <f t="shared" si="4"/>
        <v>PTP200R239155</v>
      </c>
      <c r="G237" s="4"/>
      <c r="H237" s="4"/>
    </row>
    <row r="238" spans="1:8" ht="30" customHeight="1" x14ac:dyDescent="0.25">
      <c r="A238" s="14">
        <v>45093.53979328704</v>
      </c>
      <c r="B238" s="2" t="s">
        <v>17</v>
      </c>
      <c r="C238" s="22" t="s">
        <v>616</v>
      </c>
      <c r="D238" s="111" t="s">
        <v>95</v>
      </c>
      <c r="E238" s="18" t="s">
        <v>621</v>
      </c>
      <c r="F238" s="4" t="str">
        <f t="shared" si="4"/>
        <v>EUB09D700852</v>
      </c>
      <c r="G238" s="4">
        <v>2651</v>
      </c>
      <c r="H238" s="4">
        <v>1</v>
      </c>
    </row>
    <row r="239" spans="1:8" ht="30" customHeight="1" x14ac:dyDescent="0.25">
      <c r="A239" s="14">
        <v>45093.539623263889</v>
      </c>
      <c r="B239" s="2" t="s">
        <v>21</v>
      </c>
      <c r="C239" s="22" t="s">
        <v>616</v>
      </c>
      <c r="D239" s="111" t="s">
        <v>95</v>
      </c>
      <c r="E239" s="18" t="s">
        <v>622</v>
      </c>
      <c r="F239" s="4" t="str">
        <f t="shared" si="4"/>
        <v>EUB09D700842</v>
      </c>
      <c r="G239" s="4">
        <v>2152</v>
      </c>
      <c r="H239" s="4">
        <v>1</v>
      </c>
    </row>
    <row r="240" spans="1:8" ht="30" customHeight="1" x14ac:dyDescent="0.25">
      <c r="A240" s="14">
        <v>45092.80885775463</v>
      </c>
      <c r="B240" s="2" t="s">
        <v>25</v>
      </c>
      <c r="C240" s="22" t="s">
        <v>624</v>
      </c>
      <c r="D240" s="111" t="s">
        <v>95</v>
      </c>
      <c r="E240" s="18" t="s">
        <v>752</v>
      </c>
      <c r="F240" s="4" t="str">
        <f t="shared" si="4"/>
        <v>EUB09D700741</v>
      </c>
      <c r="G240" s="4"/>
      <c r="H240" s="4">
        <v>2</v>
      </c>
    </row>
    <row r="241" spans="1:8" ht="30" customHeight="1" x14ac:dyDescent="0.25">
      <c r="A241" s="14">
        <v>45092.806073842592</v>
      </c>
      <c r="B241" s="2" t="s">
        <v>10</v>
      </c>
      <c r="C241" s="22" t="s">
        <v>166</v>
      </c>
      <c r="D241" s="111" t="s">
        <v>95</v>
      </c>
      <c r="E241" s="18" t="s">
        <v>654</v>
      </c>
      <c r="F241" s="4" t="str">
        <f t="shared" si="4"/>
        <v>EUB09D700794</v>
      </c>
      <c r="G241" s="4">
        <v>2930</v>
      </c>
      <c r="H241" s="4">
        <v>4</v>
      </c>
    </row>
    <row r="242" spans="1:8" ht="30" customHeight="1" x14ac:dyDescent="0.25">
      <c r="A242" s="14">
        <v>45092.805470486113</v>
      </c>
      <c r="B242" s="2" t="s">
        <v>12</v>
      </c>
      <c r="C242" s="22" t="s">
        <v>542</v>
      </c>
      <c r="D242" s="111" t="s">
        <v>95</v>
      </c>
      <c r="E242" s="18" t="s">
        <v>640</v>
      </c>
      <c r="F242" s="4" t="str">
        <f t="shared" si="4"/>
        <v>EUB09D700267</v>
      </c>
      <c r="G242" s="4">
        <v>1488</v>
      </c>
      <c r="H242" s="4">
        <v>1</v>
      </c>
    </row>
    <row r="243" spans="1:8" ht="30" customHeight="1" x14ac:dyDescent="0.25">
      <c r="A243" s="14">
        <v>45092.804496874996</v>
      </c>
      <c r="B243" s="2" t="s">
        <v>158</v>
      </c>
      <c r="C243" s="22" t="s">
        <v>613</v>
      </c>
      <c r="D243" s="111" t="s">
        <v>95</v>
      </c>
      <c r="E243" s="18" t="s">
        <v>614</v>
      </c>
      <c r="F243" s="4" t="str">
        <f t="shared" si="4"/>
        <v>F24537B00022</v>
      </c>
      <c r="G243" s="4">
        <v>2779</v>
      </c>
      <c r="H243" s="4">
        <v>3</v>
      </c>
    </row>
    <row r="244" spans="1:8" ht="30" customHeight="1" x14ac:dyDescent="0.25">
      <c r="A244" s="14">
        <v>45092.803660300924</v>
      </c>
      <c r="B244" s="2" t="s">
        <v>13</v>
      </c>
      <c r="C244" s="22" t="s">
        <v>615</v>
      </c>
      <c r="D244" s="111" t="s">
        <v>95</v>
      </c>
      <c r="E244" s="18" t="s">
        <v>611</v>
      </c>
      <c r="F244" s="4" t="str">
        <f t="shared" si="4"/>
        <v>EUB09D700268</v>
      </c>
      <c r="G244" s="4">
        <v>1520</v>
      </c>
      <c r="H244" s="4">
        <v>1</v>
      </c>
    </row>
    <row r="245" spans="1:8" ht="30" customHeight="1" x14ac:dyDescent="0.25">
      <c r="A245" s="14">
        <v>45092.803171990738</v>
      </c>
      <c r="B245" s="2" t="s">
        <v>78</v>
      </c>
      <c r="C245" s="22" t="s">
        <v>609</v>
      </c>
      <c r="D245" s="111" t="s">
        <v>95</v>
      </c>
      <c r="E245" s="18" t="s">
        <v>610</v>
      </c>
      <c r="F245" s="4" t="str">
        <f t="shared" si="4"/>
        <v>PTP200R239152</v>
      </c>
      <c r="G245" s="4">
        <v>1079</v>
      </c>
      <c r="H245" s="4">
        <v>1</v>
      </c>
    </row>
    <row r="246" spans="1:8" ht="30" customHeight="1" x14ac:dyDescent="0.25">
      <c r="A246" s="14">
        <v>45092.612750810185</v>
      </c>
      <c r="B246" s="2" t="s">
        <v>77</v>
      </c>
      <c r="C246" s="35" t="s">
        <v>608</v>
      </c>
      <c r="D246" s="111" t="s">
        <v>95</v>
      </c>
      <c r="E246" s="18" t="s">
        <v>601</v>
      </c>
      <c r="F246" s="4" t="str">
        <f t="shared" si="4"/>
        <v>PTP200R239151</v>
      </c>
      <c r="G246" s="4"/>
      <c r="H246" s="4">
        <v>3</v>
      </c>
    </row>
    <row r="247" spans="1:8" ht="30" customHeight="1" x14ac:dyDescent="0.25">
      <c r="A247" s="14">
        <v>45089.558181712964</v>
      </c>
      <c r="B247" s="2" t="s">
        <v>14</v>
      </c>
      <c r="C247" s="22" t="s">
        <v>597</v>
      </c>
      <c r="D247" s="111" t="s">
        <v>95</v>
      </c>
      <c r="E247" s="18" t="s">
        <v>632</v>
      </c>
      <c r="F247" s="4" t="str">
        <f t="shared" si="4"/>
        <v>EUB09D700269</v>
      </c>
      <c r="G247" s="4">
        <v>1811</v>
      </c>
      <c r="H247" s="4">
        <v>1</v>
      </c>
    </row>
    <row r="248" spans="1:8" ht="30" customHeight="1" x14ac:dyDescent="0.25">
      <c r="A248" s="14">
        <v>45089.498896643519</v>
      </c>
      <c r="B248" s="2" t="s">
        <v>13</v>
      </c>
      <c r="C248" s="22" t="s">
        <v>607</v>
      </c>
      <c r="D248" s="111" t="s">
        <v>95</v>
      </c>
      <c r="E248" s="117">
        <v>45092</v>
      </c>
      <c r="F248" s="4" t="str">
        <f t="shared" si="4"/>
        <v>EUB09D700268</v>
      </c>
      <c r="G248" s="4"/>
      <c r="H248" s="4">
        <v>0</v>
      </c>
    </row>
    <row r="249" spans="1:8" ht="30" customHeight="1" x14ac:dyDescent="0.25">
      <c r="A249" s="14">
        <v>45089.43573125</v>
      </c>
      <c r="B249" s="2" t="s">
        <v>14</v>
      </c>
      <c r="C249" s="22" t="s">
        <v>596</v>
      </c>
      <c r="D249" s="111" t="s">
        <v>95</v>
      </c>
      <c r="E249" s="18" t="s">
        <v>685</v>
      </c>
      <c r="F249" s="4" t="str">
        <f t="shared" si="4"/>
        <v>EUB09D700269</v>
      </c>
      <c r="G249" s="4">
        <v>1971</v>
      </c>
      <c r="H249" s="4">
        <v>5</v>
      </c>
    </row>
    <row r="250" spans="1:8" ht="30" customHeight="1" x14ac:dyDescent="0.25">
      <c r="A250" s="14">
        <v>45089.432907638889</v>
      </c>
      <c r="B250" s="2" t="s">
        <v>79</v>
      </c>
      <c r="C250" s="35" t="s">
        <v>602</v>
      </c>
      <c r="D250" s="111" t="s">
        <v>95</v>
      </c>
      <c r="E250" s="18" t="s">
        <v>603</v>
      </c>
      <c r="F250" s="4" t="str">
        <f t="shared" si="4"/>
        <v>PTP200R239153</v>
      </c>
      <c r="G250" s="4"/>
      <c r="H250" s="4">
        <v>3</v>
      </c>
    </row>
    <row r="251" spans="1:8" ht="30" customHeight="1" x14ac:dyDescent="0.25">
      <c r="A251" s="14">
        <v>45089.33443865741</v>
      </c>
      <c r="B251" s="2" t="s">
        <v>79</v>
      </c>
      <c r="C251" s="22" t="s">
        <v>638</v>
      </c>
      <c r="D251" s="111" t="s">
        <v>95</v>
      </c>
      <c r="E251" s="18" t="s">
        <v>599</v>
      </c>
      <c r="F251" s="4" t="str">
        <f t="shared" si="4"/>
        <v>PTP200R239153</v>
      </c>
      <c r="G251" s="4">
        <v>770</v>
      </c>
      <c r="H251" s="4">
        <v>6</v>
      </c>
    </row>
    <row r="252" spans="1:8" ht="30" customHeight="1" x14ac:dyDescent="0.25">
      <c r="A252" s="14">
        <v>45089.333991550928</v>
      </c>
      <c r="B252" s="2" t="s">
        <v>24</v>
      </c>
      <c r="C252" s="22" t="s">
        <v>578</v>
      </c>
      <c r="D252" s="111" t="s">
        <v>95</v>
      </c>
      <c r="E252" s="18" t="s">
        <v>604</v>
      </c>
      <c r="F252" s="4" t="str">
        <f t="shared" si="4"/>
        <v>EUB09D700704</v>
      </c>
      <c r="G252" s="4">
        <v>1995</v>
      </c>
      <c r="H252" s="4">
        <v>3</v>
      </c>
    </row>
    <row r="253" spans="1:8" ht="30" customHeight="1" x14ac:dyDescent="0.25">
      <c r="A253" s="14">
        <v>45089.333539930558</v>
      </c>
      <c r="B253" s="2" t="s">
        <v>79</v>
      </c>
      <c r="C253" s="22" t="s">
        <v>577</v>
      </c>
      <c r="D253" s="111" t="s">
        <v>95</v>
      </c>
      <c r="E253" s="18"/>
      <c r="F253" s="4" t="str">
        <f t="shared" si="4"/>
        <v>PTP200R239153</v>
      </c>
      <c r="G253" s="4"/>
      <c r="H253" s="4">
        <v>0</v>
      </c>
    </row>
    <row r="254" spans="1:8" ht="30" customHeight="1" x14ac:dyDescent="0.25">
      <c r="A254" s="14">
        <v>45089.332429050926</v>
      </c>
      <c r="B254" s="2" t="s">
        <v>12</v>
      </c>
      <c r="C254" s="35" t="s">
        <v>574</v>
      </c>
      <c r="D254" s="111" t="s">
        <v>95</v>
      </c>
      <c r="E254" s="18" t="s">
        <v>575</v>
      </c>
      <c r="F254" s="4" t="str">
        <f t="shared" si="4"/>
        <v>EUB09D700267</v>
      </c>
      <c r="G254" s="4">
        <v>1304</v>
      </c>
      <c r="H254" s="4">
        <v>2</v>
      </c>
    </row>
    <row r="255" spans="1:8" ht="30" customHeight="1" x14ac:dyDescent="0.25">
      <c r="A255" s="14">
        <v>45089.331425231481</v>
      </c>
      <c r="B255" s="2" t="s">
        <v>8</v>
      </c>
      <c r="C255" s="22" t="s">
        <v>572</v>
      </c>
      <c r="D255" s="111" t="s">
        <v>95</v>
      </c>
      <c r="E255" s="18" t="s">
        <v>600</v>
      </c>
      <c r="F255" s="4" t="str">
        <f t="shared" si="4"/>
        <v>EUB09D700744</v>
      </c>
      <c r="G255" s="4">
        <v>2619</v>
      </c>
      <c r="H255" s="4">
        <v>1</v>
      </c>
    </row>
    <row r="256" spans="1:8" ht="30" customHeight="1" x14ac:dyDescent="0.25">
      <c r="A256" s="14">
        <v>45085.42174085648</v>
      </c>
      <c r="B256" s="2" t="s">
        <v>79</v>
      </c>
      <c r="C256" s="22" t="s">
        <v>570</v>
      </c>
      <c r="D256" s="111" t="s">
        <v>95</v>
      </c>
      <c r="E256" s="18" t="s">
        <v>571</v>
      </c>
      <c r="F256" s="4" t="str">
        <f t="shared" si="4"/>
        <v>PTP200R239153</v>
      </c>
      <c r="G256" s="4"/>
      <c r="H256" s="4">
        <v>2</v>
      </c>
    </row>
    <row r="257" spans="1:8" ht="30" customHeight="1" x14ac:dyDescent="0.25">
      <c r="A257" s="14">
        <v>45085.419661689812</v>
      </c>
      <c r="B257" s="2" t="s">
        <v>78</v>
      </c>
      <c r="C257" s="35" t="s">
        <v>568</v>
      </c>
      <c r="D257" s="111" t="s">
        <v>95</v>
      </c>
      <c r="E257" s="18" t="s">
        <v>569</v>
      </c>
      <c r="F257" s="4" t="str">
        <f t="shared" si="4"/>
        <v>PTP200R239152</v>
      </c>
      <c r="G257" s="4">
        <v>1051</v>
      </c>
      <c r="H257" s="4">
        <v>1</v>
      </c>
    </row>
    <row r="258" spans="1:8" ht="30" customHeight="1" x14ac:dyDescent="0.25">
      <c r="A258" s="14">
        <v>45085.418390393519</v>
      </c>
      <c r="B258" s="2" t="s">
        <v>81</v>
      </c>
      <c r="C258" s="35" t="s">
        <v>566</v>
      </c>
      <c r="D258" s="111" t="s">
        <v>95</v>
      </c>
      <c r="E258" s="18" t="s">
        <v>567</v>
      </c>
      <c r="F258" s="4" t="str">
        <f t="shared" si="4"/>
        <v>PTP200R239155</v>
      </c>
      <c r="G258" s="4">
        <v>12</v>
      </c>
      <c r="H258" s="4">
        <v>5</v>
      </c>
    </row>
    <row r="259" spans="1:8" ht="30" customHeight="1" x14ac:dyDescent="0.25">
      <c r="A259" s="14">
        <v>45084.66795451389</v>
      </c>
      <c r="B259" s="2" t="s">
        <v>81</v>
      </c>
      <c r="C259" s="22" t="s">
        <v>565</v>
      </c>
      <c r="D259" s="111" t="s">
        <v>95</v>
      </c>
      <c r="E259" s="18" t="s">
        <v>605</v>
      </c>
      <c r="F259" s="4" t="str">
        <f t="shared" si="4"/>
        <v>PTP200R239155</v>
      </c>
      <c r="G259" s="4">
        <v>66</v>
      </c>
      <c r="H259" s="4">
        <v>1.5</v>
      </c>
    </row>
    <row r="260" spans="1:8" ht="30" customHeight="1" x14ac:dyDescent="0.25">
      <c r="A260" s="14">
        <v>45084.667863773146</v>
      </c>
      <c r="B260" s="2" t="s">
        <v>79</v>
      </c>
      <c r="C260" s="22" t="s">
        <v>565</v>
      </c>
      <c r="D260" s="111" t="s">
        <v>95</v>
      </c>
      <c r="E260" s="18"/>
      <c r="F260" s="4" t="str">
        <f t="shared" si="4"/>
        <v>PTP200R239153</v>
      </c>
      <c r="G260" s="4"/>
      <c r="H260" s="4">
        <v>0</v>
      </c>
    </row>
    <row r="261" spans="1:8" ht="30" customHeight="1" x14ac:dyDescent="0.25">
      <c r="A261" s="14">
        <v>45084.667749074077</v>
      </c>
      <c r="B261" s="2" t="s">
        <v>78</v>
      </c>
      <c r="C261" s="22" t="s">
        <v>565</v>
      </c>
      <c r="D261" s="111" t="s">
        <v>95</v>
      </c>
      <c r="E261" s="18" t="s">
        <v>606</v>
      </c>
      <c r="F261" s="4" t="str">
        <f t="shared" si="4"/>
        <v>PTP200R239152</v>
      </c>
      <c r="G261" s="4">
        <v>1071</v>
      </c>
      <c r="H261" s="4">
        <v>1.5</v>
      </c>
    </row>
    <row r="262" spans="1:8" ht="30" customHeight="1" x14ac:dyDescent="0.25">
      <c r="A262" s="14">
        <v>45084.66756076389</v>
      </c>
      <c r="B262" s="2" t="s">
        <v>77</v>
      </c>
      <c r="C262" s="22" t="s">
        <v>565</v>
      </c>
      <c r="D262" s="111" t="s">
        <v>95</v>
      </c>
      <c r="E262" s="18" t="s">
        <v>576</v>
      </c>
      <c r="F262" s="4" t="str">
        <f t="shared" si="4"/>
        <v>PTP200R239151</v>
      </c>
      <c r="G262" s="4">
        <v>471</v>
      </c>
      <c r="H262" s="4">
        <v>2</v>
      </c>
    </row>
    <row r="263" spans="1:8" ht="30" customHeight="1" x14ac:dyDescent="0.25">
      <c r="A263" s="14">
        <v>45084.646144791666</v>
      </c>
      <c r="B263" s="2" t="s">
        <v>2</v>
      </c>
      <c r="C263" s="22" t="s">
        <v>564</v>
      </c>
      <c r="D263" s="111" t="s">
        <v>95</v>
      </c>
      <c r="E263" s="18"/>
      <c r="F263" s="4" t="str">
        <f t="shared" si="4"/>
        <v>JA2N1E700427</v>
      </c>
      <c r="G263" s="4"/>
      <c r="H263" s="4">
        <v>0</v>
      </c>
    </row>
    <row r="264" spans="1:8" ht="30" customHeight="1" x14ac:dyDescent="0.25">
      <c r="A264" s="14">
        <v>45084.64491516204</v>
      </c>
      <c r="B264" s="2" t="s">
        <v>142</v>
      </c>
      <c r="C264" s="22" t="s">
        <v>563</v>
      </c>
      <c r="D264" s="111" t="s">
        <v>96</v>
      </c>
      <c r="E264" s="18"/>
      <c r="F264" s="4" t="str">
        <f t="shared" ref="F264:F324" si="5">IFERROR(VLOOKUP(B264,targlist02,3,0),"Nincs Adat")</f>
        <v>LO20N2RCB13B00112</v>
      </c>
      <c r="G264" s="4"/>
      <c r="H264" s="4">
        <v>0</v>
      </c>
    </row>
    <row r="265" spans="1:8" ht="30" customHeight="1" x14ac:dyDescent="0.25">
      <c r="A265" s="14">
        <v>45084.644559837965</v>
      </c>
      <c r="B265" s="2" t="s">
        <v>80</v>
      </c>
      <c r="C265" s="22" t="s">
        <v>562</v>
      </c>
      <c r="D265" s="111" t="s">
        <v>96</v>
      </c>
      <c r="E265" s="18"/>
      <c r="F265" s="4" t="str">
        <f t="shared" si="5"/>
        <v>PTP200R239154</v>
      </c>
      <c r="G265" s="4"/>
      <c r="H265" s="4">
        <v>0</v>
      </c>
    </row>
    <row r="266" spans="1:8" ht="30" customHeight="1" x14ac:dyDescent="0.25">
      <c r="A266" s="14">
        <v>45084.643924305557</v>
      </c>
      <c r="B266" s="2" t="s">
        <v>81</v>
      </c>
      <c r="C266" s="22" t="s">
        <v>562</v>
      </c>
      <c r="D266" s="111" t="s">
        <v>96</v>
      </c>
      <c r="E266" s="18"/>
      <c r="F266" s="4" t="str">
        <f t="shared" si="5"/>
        <v>PTP200R239155</v>
      </c>
      <c r="G266" s="4"/>
      <c r="H266" s="4">
        <v>0</v>
      </c>
    </row>
    <row r="267" spans="1:8" ht="30" customHeight="1" x14ac:dyDescent="0.25">
      <c r="A267" s="14">
        <v>45084.64241782407</v>
      </c>
      <c r="B267" s="2" t="s">
        <v>78</v>
      </c>
      <c r="C267" s="22" t="s">
        <v>552</v>
      </c>
      <c r="D267" s="111" t="s">
        <v>95</v>
      </c>
      <c r="E267" s="117">
        <v>45092</v>
      </c>
      <c r="F267" s="4" t="str">
        <f t="shared" si="5"/>
        <v>PTP200R239152</v>
      </c>
      <c r="G267" s="4"/>
      <c r="H267" s="4">
        <v>0</v>
      </c>
    </row>
    <row r="268" spans="1:8" ht="30" customHeight="1" x14ac:dyDescent="0.25">
      <c r="A268" s="14">
        <v>45084.641204629632</v>
      </c>
      <c r="B268" s="2" t="s">
        <v>24</v>
      </c>
      <c r="C268" s="22" t="s">
        <v>561</v>
      </c>
      <c r="D268" s="111" t="s">
        <v>96</v>
      </c>
      <c r="E268" s="18"/>
      <c r="F268" s="4" t="str">
        <f t="shared" si="5"/>
        <v>EUB09D700704</v>
      </c>
      <c r="G268" s="4"/>
      <c r="H268" s="4">
        <v>0</v>
      </c>
    </row>
    <row r="269" spans="1:8" ht="30" customHeight="1" x14ac:dyDescent="0.25">
      <c r="A269" s="14">
        <v>45084.640625347223</v>
      </c>
      <c r="B269" s="2" t="s">
        <v>24</v>
      </c>
      <c r="C269" s="22" t="s">
        <v>560</v>
      </c>
      <c r="D269" s="111" t="s">
        <v>95</v>
      </c>
      <c r="E269" s="117">
        <v>45092</v>
      </c>
      <c r="F269" s="4" t="str">
        <f t="shared" si="5"/>
        <v>EUB09D700704</v>
      </c>
      <c r="G269" s="4"/>
      <c r="H269" s="4">
        <v>0</v>
      </c>
    </row>
    <row r="270" spans="1:8" ht="30" customHeight="1" x14ac:dyDescent="0.25">
      <c r="A270" s="14">
        <v>45084.63958761574</v>
      </c>
      <c r="B270" s="2" t="s">
        <v>18</v>
      </c>
      <c r="C270" s="22" t="s">
        <v>559</v>
      </c>
      <c r="D270" s="111" t="s">
        <v>95</v>
      </c>
      <c r="E270" s="117">
        <v>45092</v>
      </c>
      <c r="F270" s="4" t="str">
        <f t="shared" si="5"/>
        <v>EUB09D700992</v>
      </c>
      <c r="G270" s="4"/>
      <c r="H270" s="4">
        <v>0</v>
      </c>
    </row>
    <row r="271" spans="1:8" ht="30" customHeight="1" x14ac:dyDescent="0.25">
      <c r="A271" s="14">
        <v>45084.639334259256</v>
      </c>
      <c r="B271" s="2" t="s">
        <v>18</v>
      </c>
      <c r="C271" s="22" t="s">
        <v>558</v>
      </c>
      <c r="D271" s="111" t="s">
        <v>95</v>
      </c>
      <c r="E271" s="18" t="s">
        <v>612</v>
      </c>
      <c r="F271" s="4" t="str">
        <f t="shared" si="5"/>
        <v>EUB09D700992</v>
      </c>
      <c r="G271" s="4">
        <v>3567</v>
      </c>
      <c r="H271" s="4">
        <v>1</v>
      </c>
    </row>
    <row r="272" spans="1:8" ht="30" customHeight="1" x14ac:dyDescent="0.25">
      <c r="A272" s="14">
        <v>45084.639170254632</v>
      </c>
      <c r="B272" s="2" t="s">
        <v>18</v>
      </c>
      <c r="C272" s="22" t="s">
        <v>557</v>
      </c>
      <c r="D272" s="111" t="s">
        <v>95</v>
      </c>
      <c r="E272" s="18" t="s">
        <v>890</v>
      </c>
      <c r="F272" s="4" t="str">
        <f t="shared" si="5"/>
        <v>EUB09D700992</v>
      </c>
      <c r="G272" s="4">
        <v>4216</v>
      </c>
      <c r="H272" s="4">
        <v>1</v>
      </c>
    </row>
    <row r="273" spans="1:8" ht="30" customHeight="1" x14ac:dyDescent="0.25">
      <c r="A273" s="14">
        <v>45084.63865173611</v>
      </c>
      <c r="B273" s="2" t="s">
        <v>18</v>
      </c>
      <c r="C273" s="22" t="s">
        <v>556</v>
      </c>
      <c r="D273" s="111" t="s">
        <v>95</v>
      </c>
      <c r="E273" s="18" t="s">
        <v>627</v>
      </c>
      <c r="F273" s="4" t="str">
        <f t="shared" si="5"/>
        <v>EUB09D700992</v>
      </c>
      <c r="G273" s="4">
        <v>3672</v>
      </c>
      <c r="H273" s="4">
        <v>2</v>
      </c>
    </row>
    <row r="274" spans="1:8" ht="30" customHeight="1" x14ac:dyDescent="0.25">
      <c r="A274" s="14">
        <v>45084.638491666665</v>
      </c>
      <c r="B274" s="2" t="s">
        <v>15</v>
      </c>
      <c r="C274" s="22" t="s">
        <v>555</v>
      </c>
      <c r="D274" s="111" t="s">
        <v>95</v>
      </c>
      <c r="E274" s="18" t="s">
        <v>620</v>
      </c>
      <c r="F274" s="4" t="str">
        <f t="shared" si="5"/>
        <v>EUB09D700705</v>
      </c>
      <c r="G274" s="4">
        <v>851</v>
      </c>
      <c r="H274" s="4">
        <v>1</v>
      </c>
    </row>
    <row r="275" spans="1:8" ht="30" customHeight="1" x14ac:dyDescent="0.25">
      <c r="A275" s="14">
        <v>45084.637909606485</v>
      </c>
      <c r="B275" s="2" t="s">
        <v>10</v>
      </c>
      <c r="C275" s="22" t="s">
        <v>554</v>
      </c>
      <c r="D275" s="111" t="s">
        <v>95</v>
      </c>
      <c r="E275" s="18" t="s">
        <v>573</v>
      </c>
      <c r="F275" s="4" t="str">
        <f t="shared" si="5"/>
        <v>EUB09D700794</v>
      </c>
      <c r="G275" s="4">
        <v>2885</v>
      </c>
      <c r="H275" s="4">
        <v>3</v>
      </c>
    </row>
    <row r="276" spans="1:8" ht="30" customHeight="1" x14ac:dyDescent="0.25">
      <c r="A276" s="14">
        <v>45084.637412731485</v>
      </c>
      <c r="B276" s="2" t="s">
        <v>9</v>
      </c>
      <c r="C276" s="22" t="s">
        <v>553</v>
      </c>
      <c r="D276" s="111" t="s">
        <v>95</v>
      </c>
      <c r="E276" s="18"/>
      <c r="F276" s="4" t="str">
        <f t="shared" si="5"/>
        <v>EUB09D700745</v>
      </c>
      <c r="G276" s="4"/>
      <c r="H276" s="4">
        <v>0</v>
      </c>
    </row>
    <row r="277" spans="1:8" ht="30" customHeight="1" x14ac:dyDescent="0.25">
      <c r="A277" s="14">
        <v>45084.637138541664</v>
      </c>
      <c r="B277" s="2" t="s">
        <v>77</v>
      </c>
      <c r="C277" s="22" t="s">
        <v>552</v>
      </c>
      <c r="D277" s="111" t="s">
        <v>95</v>
      </c>
      <c r="E277" s="18"/>
      <c r="F277" s="4" t="str">
        <f t="shared" si="5"/>
        <v>PTP200R239151</v>
      </c>
      <c r="G277" s="4"/>
      <c r="H277" s="4">
        <v>0</v>
      </c>
    </row>
    <row r="278" spans="1:8" ht="30" customHeight="1" x14ac:dyDescent="0.25">
      <c r="A278" s="14">
        <v>45084.344522569445</v>
      </c>
      <c r="B278" s="2" t="s">
        <v>9</v>
      </c>
      <c r="C278" s="22" t="s">
        <v>550</v>
      </c>
      <c r="D278" s="111" t="s">
        <v>95</v>
      </c>
      <c r="E278" s="18" t="s">
        <v>551</v>
      </c>
      <c r="F278" s="4" t="str">
        <f t="shared" si="5"/>
        <v>EUB09D700745</v>
      </c>
      <c r="G278" s="4">
        <v>2824</v>
      </c>
      <c r="H278" s="4">
        <v>1</v>
      </c>
    </row>
    <row r="279" spans="1:8" ht="30" customHeight="1" x14ac:dyDescent="0.25">
      <c r="A279" s="14">
        <v>45084.343099189813</v>
      </c>
      <c r="B279" s="2" t="s">
        <v>545</v>
      </c>
      <c r="C279" s="35" t="s">
        <v>548</v>
      </c>
      <c r="D279" s="111" t="s">
        <v>95</v>
      </c>
      <c r="E279" s="18" t="s">
        <v>549</v>
      </c>
      <c r="F279" s="4" t="str">
        <f t="shared" si="5"/>
        <v>G1Q2E710805</v>
      </c>
      <c r="G279" s="4">
        <v>7513</v>
      </c>
      <c r="H279" s="4">
        <v>2</v>
      </c>
    </row>
    <row r="280" spans="1:8" ht="30" customHeight="1" x14ac:dyDescent="0.25">
      <c r="A280" s="14">
        <v>45084.342232291667</v>
      </c>
      <c r="B280" s="2" t="s">
        <v>12</v>
      </c>
      <c r="C280" s="22" t="s">
        <v>544</v>
      </c>
      <c r="D280" s="111" t="s">
        <v>95</v>
      </c>
      <c r="E280" s="18" t="s">
        <v>543</v>
      </c>
      <c r="F280" s="4" t="str">
        <f t="shared" si="5"/>
        <v>EUB09D700267</v>
      </c>
      <c r="G280" s="4">
        <v>1984</v>
      </c>
      <c r="H280" s="4">
        <v>1</v>
      </c>
    </row>
    <row r="281" spans="1:8" ht="30" customHeight="1" x14ac:dyDescent="0.25">
      <c r="A281" s="14">
        <v>45084.34184155093</v>
      </c>
      <c r="B281" s="2" t="s">
        <v>24</v>
      </c>
      <c r="C281" s="22" t="s">
        <v>540</v>
      </c>
      <c r="D281" s="111" t="s">
        <v>95</v>
      </c>
      <c r="E281" s="18" t="s">
        <v>541</v>
      </c>
      <c r="F281" s="4" t="str">
        <f t="shared" si="5"/>
        <v>EUB09D700704</v>
      </c>
      <c r="G281" s="4"/>
      <c r="H281" s="4">
        <v>2</v>
      </c>
    </row>
    <row r="282" spans="1:8" ht="30" customHeight="1" x14ac:dyDescent="0.25">
      <c r="A282" s="14">
        <v>45082.510483680555</v>
      </c>
      <c r="B282" s="2" t="s">
        <v>81</v>
      </c>
      <c r="C282" s="35" t="s">
        <v>538</v>
      </c>
      <c r="D282" s="111" t="s">
        <v>95</v>
      </c>
      <c r="E282" s="18" t="s">
        <v>539</v>
      </c>
      <c r="F282" s="4" t="str">
        <f t="shared" si="5"/>
        <v>PTP200R239155</v>
      </c>
      <c r="G282" s="4"/>
      <c r="H282" s="4">
        <v>3.5</v>
      </c>
    </row>
    <row r="283" spans="1:8" ht="30" customHeight="1" x14ac:dyDescent="0.25">
      <c r="A283" s="14">
        <v>45082.495267824073</v>
      </c>
      <c r="B283" s="2" t="s">
        <v>81</v>
      </c>
      <c r="C283" s="22" t="s">
        <v>507</v>
      </c>
      <c r="D283" s="111" t="s">
        <v>95</v>
      </c>
      <c r="E283" s="18" t="s">
        <v>508</v>
      </c>
      <c r="F283" s="4" t="str">
        <f t="shared" si="5"/>
        <v>PTP200R239155</v>
      </c>
      <c r="G283" s="4">
        <v>378</v>
      </c>
      <c r="H283" s="4">
        <v>1</v>
      </c>
    </row>
    <row r="284" spans="1:8" ht="30" customHeight="1" x14ac:dyDescent="0.25">
      <c r="A284" s="14">
        <v>45082.494359490738</v>
      </c>
      <c r="B284" s="2" t="s">
        <v>4</v>
      </c>
      <c r="C284" s="22" t="s">
        <v>505</v>
      </c>
      <c r="D284" s="111" t="s">
        <v>95</v>
      </c>
      <c r="E284" s="18" t="s">
        <v>506</v>
      </c>
      <c r="F284" s="4" t="str">
        <f t="shared" si="5"/>
        <v>JAG2N1E701604</v>
      </c>
      <c r="G284" s="4">
        <v>405</v>
      </c>
      <c r="H284" s="4">
        <v>1</v>
      </c>
    </row>
    <row r="285" spans="1:8" ht="30" customHeight="1" x14ac:dyDescent="0.25">
      <c r="A285" s="14">
        <v>45079.59516261574</v>
      </c>
      <c r="B285" s="2" t="s">
        <v>12</v>
      </c>
      <c r="C285" s="22" t="s">
        <v>542</v>
      </c>
      <c r="D285" s="111" t="s">
        <v>95</v>
      </c>
      <c r="E285" s="18"/>
      <c r="F285" s="4" t="str">
        <f t="shared" si="5"/>
        <v>EUB09D700267</v>
      </c>
      <c r="G285" s="4"/>
      <c r="H285" s="4"/>
    </row>
    <row r="286" spans="1:8" ht="30" customHeight="1" x14ac:dyDescent="0.25">
      <c r="A286" s="14">
        <v>45079.506793981483</v>
      </c>
      <c r="B286" s="2" t="s">
        <v>80</v>
      </c>
      <c r="C286" s="35" t="s">
        <v>533</v>
      </c>
      <c r="D286" s="111" t="s">
        <v>95</v>
      </c>
      <c r="E286" s="18" t="s">
        <v>532</v>
      </c>
      <c r="F286" s="4" t="str">
        <f t="shared" si="5"/>
        <v>PTP200R239154</v>
      </c>
      <c r="G286" s="4"/>
      <c r="H286" s="4">
        <v>3.5</v>
      </c>
    </row>
    <row r="287" spans="1:8" ht="30" customHeight="1" x14ac:dyDescent="0.25">
      <c r="A287" s="14">
        <v>45078.506793981483</v>
      </c>
      <c r="B287" s="2" t="s">
        <v>78</v>
      </c>
      <c r="C287" s="22" t="s">
        <v>537</v>
      </c>
      <c r="D287" s="111" t="s">
        <v>95</v>
      </c>
      <c r="E287" s="18" t="s">
        <v>536</v>
      </c>
      <c r="F287" s="4" t="str">
        <f t="shared" si="5"/>
        <v>PTP200R239152</v>
      </c>
      <c r="G287" s="4">
        <v>1010</v>
      </c>
      <c r="H287" s="4">
        <v>4</v>
      </c>
    </row>
    <row r="288" spans="1:8" ht="30" customHeight="1" x14ac:dyDescent="0.25">
      <c r="A288" s="14">
        <v>45078.506793981483</v>
      </c>
      <c r="B288" s="2" t="s">
        <v>78</v>
      </c>
      <c r="C288" s="35" t="s">
        <v>534</v>
      </c>
      <c r="D288" s="111" t="s">
        <v>95</v>
      </c>
      <c r="E288" s="18" t="s">
        <v>535</v>
      </c>
      <c r="F288" s="4" t="str">
        <f t="shared" si="5"/>
        <v>PTP200R239152</v>
      </c>
      <c r="G288" s="4">
        <v>1047</v>
      </c>
      <c r="H288" s="4">
        <v>2</v>
      </c>
    </row>
    <row r="289" spans="1:8" ht="30" customHeight="1" x14ac:dyDescent="0.25">
      <c r="A289" s="14">
        <v>45078.506793981483</v>
      </c>
      <c r="B289" s="2" t="s">
        <v>81</v>
      </c>
      <c r="C289" s="35" t="s">
        <v>530</v>
      </c>
      <c r="D289" s="111" t="s">
        <v>95</v>
      </c>
      <c r="E289" s="18" t="s">
        <v>531</v>
      </c>
      <c r="F289" s="4" t="str">
        <f t="shared" si="5"/>
        <v>PTP200R239155</v>
      </c>
      <c r="G289" s="4"/>
      <c r="H289" s="4">
        <v>2</v>
      </c>
    </row>
    <row r="290" spans="1:8" ht="30" customHeight="1" x14ac:dyDescent="0.25">
      <c r="A290" s="14">
        <v>45076.500902777778</v>
      </c>
      <c r="B290" s="2" t="s">
        <v>78</v>
      </c>
      <c r="C290" s="22" t="s">
        <v>528</v>
      </c>
      <c r="D290" s="111" t="s">
        <v>95</v>
      </c>
      <c r="E290" s="18" t="s">
        <v>529</v>
      </c>
      <c r="F290" s="4" t="str">
        <f t="shared" si="5"/>
        <v>PTP200R239152</v>
      </c>
      <c r="G290" s="4">
        <v>1010</v>
      </c>
      <c r="H290" s="4">
        <v>4</v>
      </c>
    </row>
    <row r="291" spans="1:8" ht="30" customHeight="1" x14ac:dyDescent="0.25">
      <c r="A291" s="14">
        <v>45076.500902777778</v>
      </c>
      <c r="B291" s="2" t="s">
        <v>81</v>
      </c>
      <c r="C291" s="22" t="s">
        <v>526</v>
      </c>
      <c r="D291" s="111" t="s">
        <v>95</v>
      </c>
      <c r="E291" s="18" t="s">
        <v>527</v>
      </c>
      <c r="F291" s="4" t="str">
        <f t="shared" si="5"/>
        <v>PTP200R239155</v>
      </c>
      <c r="G291" s="4">
        <v>738</v>
      </c>
      <c r="H291" s="4">
        <v>1</v>
      </c>
    </row>
    <row r="292" spans="1:8" ht="30" customHeight="1" x14ac:dyDescent="0.25">
      <c r="A292" s="14">
        <v>45076.500902777778</v>
      </c>
      <c r="B292" s="2" t="s">
        <v>9</v>
      </c>
      <c r="C292" s="22" t="s">
        <v>524</v>
      </c>
      <c r="D292" s="111" t="s">
        <v>95</v>
      </c>
      <c r="E292" s="18" t="s">
        <v>525</v>
      </c>
      <c r="F292" s="4" t="str">
        <f t="shared" si="5"/>
        <v>EUB09D700745</v>
      </c>
      <c r="G292" s="4"/>
      <c r="H292" s="4">
        <v>3</v>
      </c>
    </row>
    <row r="293" spans="1:8" ht="30" customHeight="1" x14ac:dyDescent="0.25">
      <c r="A293" s="14">
        <v>45076.500902777778</v>
      </c>
      <c r="B293" s="2" t="s">
        <v>13</v>
      </c>
      <c r="C293" s="22" t="s">
        <v>523</v>
      </c>
      <c r="D293" s="111" t="s">
        <v>95</v>
      </c>
      <c r="E293" s="18" t="s">
        <v>503</v>
      </c>
      <c r="F293" s="4" t="str">
        <f t="shared" si="5"/>
        <v>EUB09D700268</v>
      </c>
      <c r="G293" s="4">
        <v>1332</v>
      </c>
      <c r="H293" s="4">
        <v>2</v>
      </c>
    </row>
    <row r="294" spans="1:8" ht="30" customHeight="1" x14ac:dyDescent="0.25">
      <c r="A294" s="14">
        <v>45072.467902777775</v>
      </c>
      <c r="B294" s="2" t="s">
        <v>9</v>
      </c>
      <c r="C294" s="22" t="s">
        <v>504</v>
      </c>
      <c r="D294" s="111" t="s">
        <v>95</v>
      </c>
      <c r="E294" s="18" t="s">
        <v>763</v>
      </c>
      <c r="F294" s="4" t="str">
        <f t="shared" si="5"/>
        <v>EUB09D700745</v>
      </c>
      <c r="G294" s="4">
        <v>3478</v>
      </c>
      <c r="H294" s="4">
        <v>4</v>
      </c>
    </row>
    <row r="295" spans="1:8" ht="30" customHeight="1" x14ac:dyDescent="0.25">
      <c r="A295" s="14">
        <v>45070.365509953706</v>
      </c>
      <c r="B295" s="2" t="s">
        <v>13</v>
      </c>
      <c r="C295" s="35" t="s">
        <v>502</v>
      </c>
      <c r="D295" s="111" t="s">
        <v>95</v>
      </c>
      <c r="E295" s="18" t="s">
        <v>503</v>
      </c>
      <c r="F295" s="4" t="str">
        <f t="shared" si="5"/>
        <v>EUB09D700268</v>
      </c>
      <c r="G295" s="4">
        <v>1332</v>
      </c>
      <c r="H295" s="4">
        <v>2</v>
      </c>
    </row>
    <row r="296" spans="1:8" ht="30" customHeight="1" x14ac:dyDescent="0.25">
      <c r="A296" s="14">
        <v>45069.500902777778</v>
      </c>
      <c r="B296" s="2" t="s">
        <v>19</v>
      </c>
      <c r="C296" s="22" t="s">
        <v>522</v>
      </c>
      <c r="D296" s="111" t="s">
        <v>95</v>
      </c>
      <c r="E296" s="18" t="s">
        <v>501</v>
      </c>
      <c r="F296" s="4" t="str">
        <f t="shared" si="5"/>
        <v>EUB09D700836</v>
      </c>
      <c r="G296" s="4">
        <v>2787</v>
      </c>
      <c r="H296" s="4">
        <v>1</v>
      </c>
    </row>
    <row r="297" spans="1:8" ht="30" customHeight="1" x14ac:dyDescent="0.25">
      <c r="A297" s="14">
        <v>45068.500902777778</v>
      </c>
      <c r="B297" s="2" t="s">
        <v>15</v>
      </c>
      <c r="C297" s="22" t="s">
        <v>520</v>
      </c>
      <c r="D297" s="111" t="s">
        <v>95</v>
      </c>
      <c r="E297" s="18" t="s">
        <v>521</v>
      </c>
      <c r="F297" s="4" t="str">
        <f t="shared" si="5"/>
        <v>EUB09D700705</v>
      </c>
      <c r="G297" s="4">
        <v>639</v>
      </c>
      <c r="H297" s="4">
        <v>1</v>
      </c>
    </row>
    <row r="298" spans="1:8" ht="30" customHeight="1" x14ac:dyDescent="0.25">
      <c r="A298" s="14">
        <v>45068.500902777778</v>
      </c>
      <c r="B298" s="2" t="s">
        <v>17</v>
      </c>
      <c r="C298" s="22" t="s">
        <v>518</v>
      </c>
      <c r="D298" s="111" t="s">
        <v>95</v>
      </c>
      <c r="E298" s="18" t="s">
        <v>519</v>
      </c>
      <c r="F298" s="4" t="str">
        <f t="shared" si="5"/>
        <v>EUB09D700852</v>
      </c>
      <c r="G298" s="4">
        <v>2413</v>
      </c>
      <c r="H298" s="4">
        <v>1</v>
      </c>
    </row>
    <row r="299" spans="1:8" ht="30" customHeight="1" x14ac:dyDescent="0.25">
      <c r="A299" s="14">
        <v>45068.500902777778</v>
      </c>
      <c r="B299" s="2" t="s">
        <v>80</v>
      </c>
      <c r="C299" s="35" t="s">
        <v>516</v>
      </c>
      <c r="D299" s="111" t="s">
        <v>95</v>
      </c>
      <c r="E299" s="18" t="s">
        <v>517</v>
      </c>
      <c r="F299" s="4" t="str">
        <f t="shared" si="5"/>
        <v>PTP200R239154</v>
      </c>
      <c r="G299" s="4">
        <v>906</v>
      </c>
      <c r="H299" s="4">
        <v>3</v>
      </c>
    </row>
    <row r="300" spans="1:8" ht="30" customHeight="1" x14ac:dyDescent="0.25">
      <c r="A300" s="14">
        <v>45065.639166666668</v>
      </c>
      <c r="B300" s="2" t="s">
        <v>9</v>
      </c>
      <c r="C300" s="22" t="s">
        <v>598</v>
      </c>
      <c r="D300" s="111" t="s">
        <v>95</v>
      </c>
      <c r="E300" s="18" t="s">
        <v>515</v>
      </c>
      <c r="F300" s="4" t="str">
        <f t="shared" si="5"/>
        <v>EUB09D700745</v>
      </c>
      <c r="G300" s="4">
        <v>2666</v>
      </c>
      <c r="H300" s="4">
        <v>2</v>
      </c>
    </row>
    <row r="301" spans="1:8" ht="30" customHeight="1" x14ac:dyDescent="0.25">
      <c r="A301" s="14">
        <v>45065.606361226855</v>
      </c>
      <c r="B301" s="2" t="s">
        <v>19</v>
      </c>
      <c r="C301" s="22" t="s">
        <v>500</v>
      </c>
      <c r="D301" s="111" t="s">
        <v>95</v>
      </c>
      <c r="E301" s="18" t="s">
        <v>501</v>
      </c>
      <c r="F301" s="4" t="str">
        <f t="shared" si="5"/>
        <v>EUB09D700836</v>
      </c>
      <c r="G301" s="4">
        <v>2787</v>
      </c>
      <c r="H301" s="4">
        <v>1</v>
      </c>
    </row>
    <row r="302" spans="1:8" ht="30" customHeight="1" x14ac:dyDescent="0.25">
      <c r="A302" s="14">
        <v>45065.496111111112</v>
      </c>
      <c r="B302" s="2" t="s">
        <v>79</v>
      </c>
      <c r="C302" s="22" t="s">
        <v>513</v>
      </c>
      <c r="D302" s="111" t="s">
        <v>95</v>
      </c>
      <c r="E302" s="18" t="s">
        <v>514</v>
      </c>
      <c r="F302" s="4" t="str">
        <f t="shared" si="5"/>
        <v>PTP200R239153</v>
      </c>
      <c r="G302" s="4"/>
      <c r="H302" s="4">
        <v>3</v>
      </c>
    </row>
    <row r="303" spans="1:8" ht="30" customHeight="1" x14ac:dyDescent="0.25">
      <c r="A303" s="14">
        <v>45065.496111111112</v>
      </c>
      <c r="B303" s="2" t="s">
        <v>51</v>
      </c>
      <c r="C303" s="22" t="s">
        <v>511</v>
      </c>
      <c r="D303" s="111" t="s">
        <v>95</v>
      </c>
      <c r="E303" s="18" t="s">
        <v>512</v>
      </c>
      <c r="F303" s="4" t="str">
        <f t="shared" si="5"/>
        <v>Nincs Adat</v>
      </c>
      <c r="G303" s="4"/>
      <c r="H303" s="4">
        <v>2</v>
      </c>
    </row>
    <row r="304" spans="1:8" ht="30" customHeight="1" x14ac:dyDescent="0.25">
      <c r="A304" s="14">
        <v>45065.496111111112</v>
      </c>
      <c r="B304" s="2" t="s">
        <v>16</v>
      </c>
      <c r="C304" s="22" t="s">
        <v>510</v>
      </c>
      <c r="D304" s="111" t="s">
        <v>95</v>
      </c>
      <c r="E304" s="18" t="s">
        <v>492</v>
      </c>
      <c r="F304" s="4" t="str">
        <f t="shared" si="5"/>
        <v>EUB09D700851</v>
      </c>
      <c r="G304" s="4">
        <v>2353</v>
      </c>
      <c r="H304" s="4">
        <v>3</v>
      </c>
    </row>
    <row r="305" spans="1:8" ht="30" customHeight="1" x14ac:dyDescent="0.25">
      <c r="A305" s="14">
        <v>45065.325393749998</v>
      </c>
      <c r="B305" s="2" t="s">
        <v>26</v>
      </c>
      <c r="C305" s="35" t="s">
        <v>490</v>
      </c>
      <c r="D305" s="111" t="s">
        <v>95</v>
      </c>
      <c r="E305" s="18" t="s">
        <v>491</v>
      </c>
      <c r="F305" s="4" t="str">
        <f t="shared" si="5"/>
        <v>EFC09D60002</v>
      </c>
      <c r="G305" s="4">
        <v>5565</v>
      </c>
      <c r="H305" s="4">
        <v>0</v>
      </c>
    </row>
    <row r="306" spans="1:8" ht="30" customHeight="1" x14ac:dyDescent="0.25">
      <c r="A306" s="14">
        <v>45065.325271759262</v>
      </c>
      <c r="B306" s="2" t="s">
        <v>24</v>
      </c>
      <c r="C306" s="35" t="s">
        <v>490</v>
      </c>
      <c r="D306" s="111" t="s">
        <v>95</v>
      </c>
      <c r="E306" s="18" t="s">
        <v>491</v>
      </c>
      <c r="F306" s="4" t="str">
        <f t="shared" si="5"/>
        <v>EUB09D700704</v>
      </c>
      <c r="G306" s="4">
        <v>1828</v>
      </c>
      <c r="H306" s="4">
        <v>0</v>
      </c>
    </row>
    <row r="307" spans="1:8" ht="30" customHeight="1" x14ac:dyDescent="0.25">
      <c r="A307" s="14">
        <v>45065.325169560187</v>
      </c>
      <c r="B307" s="2" t="s">
        <v>14</v>
      </c>
      <c r="C307" s="35" t="s">
        <v>490</v>
      </c>
      <c r="D307" s="111" t="s">
        <v>95</v>
      </c>
      <c r="E307" s="18" t="s">
        <v>491</v>
      </c>
      <c r="F307" s="4" t="str">
        <f t="shared" si="5"/>
        <v>EUB09D700269</v>
      </c>
      <c r="G307" s="4">
        <v>1467</v>
      </c>
      <c r="H307" s="4">
        <v>0</v>
      </c>
    </row>
    <row r="308" spans="1:8" ht="30" customHeight="1" x14ac:dyDescent="0.25">
      <c r="A308" s="14">
        <v>45065.324471874999</v>
      </c>
      <c r="B308" s="2" t="s">
        <v>8</v>
      </c>
      <c r="C308" s="35" t="s">
        <v>490</v>
      </c>
      <c r="D308" s="111" t="s">
        <v>95</v>
      </c>
      <c r="E308" s="18" t="s">
        <v>491</v>
      </c>
      <c r="F308" s="4" t="str">
        <f t="shared" si="5"/>
        <v>EUB09D700744</v>
      </c>
      <c r="G308" s="4">
        <v>2390</v>
      </c>
      <c r="H308" s="4">
        <v>1</v>
      </c>
    </row>
    <row r="309" spans="1:8" ht="30" customHeight="1" x14ac:dyDescent="0.25">
      <c r="A309" s="14">
        <v>45063.91815972222</v>
      </c>
      <c r="B309" s="2" t="s">
        <v>77</v>
      </c>
      <c r="C309" s="35" t="s">
        <v>495</v>
      </c>
      <c r="D309" s="111" t="s">
        <v>95</v>
      </c>
      <c r="E309" s="18" t="s">
        <v>496</v>
      </c>
      <c r="F309" s="4" t="str">
        <f t="shared" si="5"/>
        <v>PTP200R239151</v>
      </c>
      <c r="G309" s="4">
        <v>350</v>
      </c>
      <c r="H309" s="4">
        <v>1</v>
      </c>
    </row>
    <row r="310" spans="1:8" ht="30" customHeight="1" x14ac:dyDescent="0.25">
      <c r="A310" s="14">
        <v>45063.91815972222</v>
      </c>
      <c r="B310" s="2" t="s">
        <v>78</v>
      </c>
      <c r="C310" s="35" t="s">
        <v>494</v>
      </c>
      <c r="D310" s="111" t="s">
        <v>95</v>
      </c>
      <c r="E310" s="18" t="s">
        <v>493</v>
      </c>
      <c r="F310" s="4" t="str">
        <f t="shared" si="5"/>
        <v>PTP200R239152</v>
      </c>
      <c r="G310" s="4">
        <v>957</v>
      </c>
      <c r="H310" s="4">
        <v>0</v>
      </c>
    </row>
    <row r="311" spans="1:8" ht="30" customHeight="1" x14ac:dyDescent="0.25">
      <c r="A311" s="14">
        <v>45063.496111111112</v>
      </c>
      <c r="B311" s="2" t="s">
        <v>78</v>
      </c>
      <c r="C311" s="22" t="s">
        <v>509</v>
      </c>
      <c r="D311" s="111" t="s">
        <v>95</v>
      </c>
      <c r="E311" s="18" t="s">
        <v>493</v>
      </c>
      <c r="F311" s="4" t="str">
        <f t="shared" si="5"/>
        <v>PTP200R239152</v>
      </c>
      <c r="G311" s="4">
        <v>957</v>
      </c>
      <c r="H311" s="4">
        <v>1</v>
      </c>
    </row>
    <row r="312" spans="1:8" ht="30" customHeight="1" x14ac:dyDescent="0.25">
      <c r="A312" s="14">
        <v>45062.918161574074</v>
      </c>
      <c r="B312" s="2" t="s">
        <v>16</v>
      </c>
      <c r="C312" s="22" t="s">
        <v>489</v>
      </c>
      <c r="D312" s="111" t="s">
        <v>95</v>
      </c>
      <c r="E312" s="18" t="s">
        <v>492</v>
      </c>
      <c r="F312" s="4" t="str">
        <f t="shared" si="5"/>
        <v>EUB09D700851</v>
      </c>
      <c r="G312" s="4">
        <v>2353</v>
      </c>
      <c r="H312" s="4">
        <v>3</v>
      </c>
    </row>
    <row r="313" spans="1:8" ht="30" customHeight="1" x14ac:dyDescent="0.25">
      <c r="A313" s="14">
        <v>45062.32207962963</v>
      </c>
      <c r="B313" s="2" t="s">
        <v>17</v>
      </c>
      <c r="C313" s="22" t="s">
        <v>484</v>
      </c>
      <c r="D313" s="111" t="s">
        <v>95</v>
      </c>
      <c r="E313" s="18" t="s">
        <v>485</v>
      </c>
      <c r="F313" s="2" t="str">
        <f t="shared" si="5"/>
        <v>EUB09D700852</v>
      </c>
      <c r="G313" s="4">
        <v>2370</v>
      </c>
      <c r="H313" s="4">
        <v>1</v>
      </c>
    </row>
    <row r="314" spans="1:8" ht="30" customHeight="1" x14ac:dyDescent="0.25">
      <c r="A314" s="14">
        <v>45061</v>
      </c>
      <c r="B314" s="2" t="s">
        <v>80</v>
      </c>
      <c r="C314" s="35" t="s">
        <v>498</v>
      </c>
      <c r="D314" s="111" t="s">
        <v>95</v>
      </c>
      <c r="E314" s="18" t="s">
        <v>499</v>
      </c>
      <c r="F314" s="4" t="str">
        <f t="shared" si="5"/>
        <v>PTP200R239154</v>
      </c>
      <c r="G314" s="4">
        <v>1117</v>
      </c>
      <c r="H314" s="4">
        <v>2</v>
      </c>
    </row>
    <row r="315" spans="1:8" ht="30" customHeight="1" x14ac:dyDescent="0.25">
      <c r="A315" s="14">
        <v>45057.566157407404</v>
      </c>
      <c r="B315" s="2" t="s">
        <v>10</v>
      </c>
      <c r="C315" s="22" t="s">
        <v>950</v>
      </c>
      <c r="D315" s="111" t="s">
        <v>95</v>
      </c>
      <c r="E315" s="18" t="s">
        <v>951</v>
      </c>
      <c r="F315" s="4" t="str">
        <f t="shared" si="5"/>
        <v>EUB09D700794</v>
      </c>
      <c r="G315" s="4">
        <v>2884</v>
      </c>
      <c r="H315" s="4">
        <v>5</v>
      </c>
    </row>
    <row r="316" spans="1:8" ht="30" customHeight="1" x14ac:dyDescent="0.25">
      <c r="A316" s="14">
        <v>45056.565246759259</v>
      </c>
      <c r="B316" s="2" t="s">
        <v>10</v>
      </c>
      <c r="C316" s="22" t="s">
        <v>952</v>
      </c>
      <c r="D316" s="111" t="s">
        <v>95</v>
      </c>
      <c r="E316" s="18"/>
      <c r="F316" s="4" t="str">
        <f t="shared" si="5"/>
        <v>EUB09D700794</v>
      </c>
      <c r="G316" s="4"/>
      <c r="H316" s="4"/>
    </row>
    <row r="317" spans="1:8" ht="30" customHeight="1" x14ac:dyDescent="0.25">
      <c r="A317" s="14">
        <v>45056.505549652778</v>
      </c>
      <c r="B317" s="2" t="s">
        <v>78</v>
      </c>
      <c r="C317" s="22" t="s">
        <v>483</v>
      </c>
      <c r="D317" s="111" t="s">
        <v>95</v>
      </c>
      <c r="E317" s="18" t="s">
        <v>488</v>
      </c>
      <c r="F317" s="4" t="str">
        <f t="shared" si="5"/>
        <v>PTP200R239152</v>
      </c>
      <c r="G317" s="4">
        <v>933</v>
      </c>
      <c r="H317" s="4">
        <v>2</v>
      </c>
    </row>
    <row r="318" spans="1:8" ht="30" customHeight="1" x14ac:dyDescent="0.25">
      <c r="A318" s="14">
        <v>45055.455916087965</v>
      </c>
      <c r="B318" s="2" t="s">
        <v>2</v>
      </c>
      <c r="C318" s="22" t="s">
        <v>388</v>
      </c>
      <c r="D318" s="111" t="s">
        <v>95</v>
      </c>
      <c r="E318" s="18" t="s">
        <v>482</v>
      </c>
      <c r="F318" s="4" t="str">
        <f t="shared" si="5"/>
        <v>JA2N1E700427</v>
      </c>
      <c r="G318" s="4">
        <v>1023</v>
      </c>
      <c r="H318" s="4">
        <v>1</v>
      </c>
    </row>
    <row r="319" spans="1:8" ht="30" customHeight="1" x14ac:dyDescent="0.25">
      <c r="A319" s="14">
        <v>45055.455678472223</v>
      </c>
      <c r="B319" s="4" t="s">
        <v>21</v>
      </c>
      <c r="C319" s="22" t="s">
        <v>479</v>
      </c>
      <c r="D319" s="111" t="s">
        <v>95</v>
      </c>
      <c r="E319" s="13" t="s">
        <v>480</v>
      </c>
      <c r="F319" s="2" t="str">
        <f t="shared" si="5"/>
        <v>EUB09D700842</v>
      </c>
      <c r="G319" s="4">
        <v>1811</v>
      </c>
      <c r="H319" s="4">
        <v>1</v>
      </c>
    </row>
    <row r="320" spans="1:8" ht="30" customHeight="1" x14ac:dyDescent="0.25">
      <c r="A320" s="14">
        <v>45055.45482835648</v>
      </c>
      <c r="B320" s="2" t="s">
        <v>77</v>
      </c>
      <c r="C320" s="22" t="s">
        <v>476</v>
      </c>
      <c r="D320" s="111" t="s">
        <v>95</v>
      </c>
      <c r="E320" s="13" t="s">
        <v>477</v>
      </c>
      <c r="F320" s="2" t="str">
        <f t="shared" si="5"/>
        <v>PTP200R239151</v>
      </c>
      <c r="G320" s="4">
        <v>330</v>
      </c>
      <c r="H320" s="4">
        <v>2</v>
      </c>
    </row>
    <row r="321" spans="1:8" ht="30" customHeight="1" x14ac:dyDescent="0.25">
      <c r="A321" s="14">
        <v>45054.322899305553</v>
      </c>
      <c r="B321" s="2" t="s">
        <v>80</v>
      </c>
      <c r="C321" s="22" t="s">
        <v>476</v>
      </c>
      <c r="D321" s="111" t="s">
        <v>95</v>
      </c>
      <c r="E321" s="13" t="s">
        <v>478</v>
      </c>
      <c r="F321" s="2" t="str">
        <f t="shared" si="5"/>
        <v>PTP200R239154</v>
      </c>
      <c r="G321" s="4">
        <v>1092</v>
      </c>
      <c r="H321" s="4">
        <v>2</v>
      </c>
    </row>
    <row r="322" spans="1:8" ht="30" customHeight="1" x14ac:dyDescent="0.25">
      <c r="A322" s="14">
        <v>45054.321689699071</v>
      </c>
      <c r="B322" s="2" t="s">
        <v>25</v>
      </c>
      <c r="C322" s="22" t="s">
        <v>474</v>
      </c>
      <c r="D322" s="111" t="s">
        <v>95</v>
      </c>
      <c r="E322" s="13" t="s">
        <v>481</v>
      </c>
      <c r="F322" s="2" t="str">
        <f t="shared" si="5"/>
        <v>EUB09D700741</v>
      </c>
      <c r="G322" s="4">
        <v>915</v>
      </c>
      <c r="H322" s="4">
        <v>2</v>
      </c>
    </row>
    <row r="323" spans="1:8" ht="30" customHeight="1" x14ac:dyDescent="0.25">
      <c r="A323" s="14">
        <v>45051.575132291669</v>
      </c>
      <c r="B323" s="2" t="s">
        <v>13</v>
      </c>
      <c r="C323" s="22" t="s">
        <v>475</v>
      </c>
      <c r="D323" s="111" t="s">
        <v>95</v>
      </c>
      <c r="E323" s="13"/>
      <c r="F323" s="2" t="str">
        <f t="shared" si="5"/>
        <v>EUB09D700268</v>
      </c>
      <c r="G323" s="4"/>
      <c r="H323" s="4"/>
    </row>
    <row r="324" spans="1:8" ht="30" customHeight="1" x14ac:dyDescent="0.25">
      <c r="A324" s="14">
        <v>45051.572043287037</v>
      </c>
      <c r="B324" s="2" t="s">
        <v>22</v>
      </c>
      <c r="C324" s="22" t="s">
        <v>471</v>
      </c>
      <c r="D324" s="111" t="s">
        <v>95</v>
      </c>
      <c r="E324" s="13" t="s">
        <v>472</v>
      </c>
      <c r="F324" s="2" t="str">
        <f t="shared" si="5"/>
        <v>EUB09D700838</v>
      </c>
      <c r="G324" s="4">
        <v>1255</v>
      </c>
      <c r="H324" s="4">
        <v>1</v>
      </c>
    </row>
    <row r="325" spans="1:8" ht="30" customHeight="1" x14ac:dyDescent="0.25">
      <c r="A325" s="14">
        <v>45050.421422800922</v>
      </c>
      <c r="B325" s="2" t="s">
        <v>144</v>
      </c>
      <c r="C325" s="22" t="s">
        <v>497</v>
      </c>
      <c r="D325" s="111" t="s">
        <v>95</v>
      </c>
      <c r="E325" s="13" t="s">
        <v>473</v>
      </c>
      <c r="F325" s="112"/>
      <c r="G325" s="4">
        <v>2544</v>
      </c>
      <c r="H325" s="4">
        <v>3</v>
      </c>
    </row>
    <row r="326" spans="1:8" ht="30" customHeight="1" x14ac:dyDescent="0.25">
      <c r="A326" s="14">
        <v>45050.421422800922</v>
      </c>
      <c r="B326" s="2" t="s">
        <v>77</v>
      </c>
      <c r="C326" s="22" t="s">
        <v>469</v>
      </c>
      <c r="D326" s="111" t="s">
        <v>95</v>
      </c>
      <c r="E326" s="13" t="s">
        <v>470</v>
      </c>
      <c r="F326" s="2" t="str">
        <f t="shared" ref="F326:F353" si="6">IFERROR(VLOOKUP(B326,targlist02,3,0),"Nincs Adat")</f>
        <v>PTP200R239151</v>
      </c>
      <c r="G326" s="4">
        <v>316</v>
      </c>
      <c r="H326" s="4">
        <v>3</v>
      </c>
    </row>
    <row r="327" spans="1:8" ht="30" customHeight="1" x14ac:dyDescent="0.25">
      <c r="A327" s="14">
        <v>45049.432932060183</v>
      </c>
      <c r="B327" s="2" t="s">
        <v>78</v>
      </c>
      <c r="C327" s="22" t="s">
        <v>467</v>
      </c>
      <c r="D327" s="111" t="s">
        <v>95</v>
      </c>
      <c r="E327" s="13"/>
      <c r="F327" s="2" t="str">
        <f t="shared" si="6"/>
        <v>PTP200R239152</v>
      </c>
      <c r="G327" s="4"/>
      <c r="H327" s="4"/>
    </row>
    <row r="328" spans="1:8" ht="30" customHeight="1" x14ac:dyDescent="0.25">
      <c r="A328" s="14">
        <v>45049.328921527776</v>
      </c>
      <c r="B328" s="2" t="s">
        <v>11</v>
      </c>
      <c r="C328" s="22" t="s">
        <v>464</v>
      </c>
      <c r="D328" s="111" t="s">
        <v>95</v>
      </c>
      <c r="E328" s="18" t="s">
        <v>465</v>
      </c>
      <c r="F328" s="4" t="str">
        <f t="shared" si="6"/>
        <v>EUB09D700850</v>
      </c>
      <c r="G328" s="4"/>
      <c r="H328" s="4">
        <v>1</v>
      </c>
    </row>
    <row r="329" spans="1:8" ht="30" customHeight="1" x14ac:dyDescent="0.25">
      <c r="A329" s="14">
        <v>45044.460249074073</v>
      </c>
      <c r="B329" s="2" t="s">
        <v>78</v>
      </c>
      <c r="C329" s="22" t="s">
        <v>459</v>
      </c>
      <c r="D329" s="111" t="s">
        <v>95</v>
      </c>
      <c r="E329" s="18" t="s">
        <v>462</v>
      </c>
      <c r="F329" s="4" t="str">
        <f t="shared" si="6"/>
        <v>PTP200R239152</v>
      </c>
      <c r="G329" s="4"/>
      <c r="H329" s="4">
        <v>2</v>
      </c>
    </row>
    <row r="330" spans="1:8" ht="30" customHeight="1" x14ac:dyDescent="0.25">
      <c r="A330" s="14">
        <v>45044.330822569442</v>
      </c>
      <c r="B330" s="2" t="s">
        <v>8</v>
      </c>
      <c r="C330" s="22" t="s">
        <v>457</v>
      </c>
      <c r="D330" s="111" t="s">
        <v>95</v>
      </c>
      <c r="E330" s="18" t="s">
        <v>466</v>
      </c>
      <c r="F330" s="4" t="str">
        <f t="shared" si="6"/>
        <v>EUB09D700744</v>
      </c>
      <c r="G330" s="4"/>
      <c r="H330" s="4">
        <v>0</v>
      </c>
    </row>
    <row r="331" spans="1:8" ht="30" customHeight="1" x14ac:dyDescent="0.25">
      <c r="A331" s="14">
        <v>45044.325520370374</v>
      </c>
      <c r="B331" s="2" t="s">
        <v>8</v>
      </c>
      <c r="C331" s="22" t="s">
        <v>458</v>
      </c>
      <c r="D331" s="111" t="s">
        <v>95</v>
      </c>
      <c r="E331" s="18" t="s">
        <v>466</v>
      </c>
      <c r="F331" s="4" t="str">
        <f t="shared" si="6"/>
        <v>EUB09D700744</v>
      </c>
      <c r="G331" s="4"/>
      <c r="H331" s="4">
        <v>2</v>
      </c>
    </row>
    <row r="332" spans="1:8" ht="30" customHeight="1" x14ac:dyDescent="0.25">
      <c r="A332" s="14">
        <v>45044.325292592592</v>
      </c>
      <c r="B332" s="2" t="s">
        <v>33</v>
      </c>
      <c r="C332" s="22" t="s">
        <v>455</v>
      </c>
      <c r="D332" s="111" t="s">
        <v>95</v>
      </c>
      <c r="E332" s="18" t="s">
        <v>461</v>
      </c>
      <c r="F332" s="4" t="str">
        <f t="shared" si="6"/>
        <v>Nincs Adat</v>
      </c>
      <c r="G332" s="4"/>
      <c r="H332" s="4">
        <v>2</v>
      </c>
    </row>
    <row r="333" spans="1:8" ht="30" customHeight="1" x14ac:dyDescent="0.25">
      <c r="A333" s="14">
        <v>45043.397042592595</v>
      </c>
      <c r="B333" s="2" t="s">
        <v>11</v>
      </c>
      <c r="C333" s="22" t="s">
        <v>463</v>
      </c>
      <c r="D333" s="111" t="s">
        <v>95</v>
      </c>
      <c r="E333" s="18" t="s">
        <v>452</v>
      </c>
      <c r="F333" s="4" t="str">
        <f t="shared" si="6"/>
        <v>EUB09D700850</v>
      </c>
      <c r="G333" s="4">
        <v>2587</v>
      </c>
      <c r="H333" s="4">
        <v>1</v>
      </c>
    </row>
    <row r="334" spans="1:8" ht="30" customHeight="1" x14ac:dyDescent="0.25">
      <c r="A334" s="14">
        <v>45041.315931365738</v>
      </c>
      <c r="B334" s="2" t="s">
        <v>8</v>
      </c>
      <c r="C334" s="22" t="s">
        <v>440</v>
      </c>
      <c r="D334" s="111" t="s">
        <v>95</v>
      </c>
      <c r="E334" s="18" t="s">
        <v>448</v>
      </c>
      <c r="F334" s="4" t="str">
        <f t="shared" si="6"/>
        <v>EUB09D700744</v>
      </c>
      <c r="G334" s="43">
        <v>2165</v>
      </c>
      <c r="H334" s="4">
        <v>0</v>
      </c>
    </row>
    <row r="335" spans="1:8" ht="30" customHeight="1" x14ac:dyDescent="0.25">
      <c r="A335" s="14">
        <v>45041.314391782405</v>
      </c>
      <c r="B335" s="2" t="s">
        <v>8</v>
      </c>
      <c r="C335" s="22" t="s">
        <v>449</v>
      </c>
      <c r="D335" s="111" t="s">
        <v>95</v>
      </c>
      <c r="E335" s="18" t="s">
        <v>448</v>
      </c>
      <c r="F335" s="4" t="str">
        <f t="shared" si="6"/>
        <v>EUB09D700744</v>
      </c>
      <c r="G335" s="43">
        <v>2165</v>
      </c>
      <c r="H335" s="4">
        <v>7</v>
      </c>
    </row>
    <row r="336" spans="1:8" ht="30" customHeight="1" x14ac:dyDescent="0.25">
      <c r="A336" s="14">
        <v>45041.313475115741</v>
      </c>
      <c r="B336" s="2" t="s">
        <v>8</v>
      </c>
      <c r="C336" s="22" t="s">
        <v>447</v>
      </c>
      <c r="D336" s="111" t="s">
        <v>95</v>
      </c>
      <c r="E336" s="18" t="s">
        <v>454</v>
      </c>
      <c r="F336" s="4" t="str">
        <f t="shared" si="6"/>
        <v>EUB09D700744</v>
      </c>
      <c r="G336" s="43">
        <v>2170</v>
      </c>
      <c r="H336" s="4">
        <v>3</v>
      </c>
    </row>
    <row r="337" spans="1:8" ht="30" customHeight="1" x14ac:dyDescent="0.25">
      <c r="A337" s="14">
        <v>45037.395752546297</v>
      </c>
      <c r="B337" s="2" t="s">
        <v>20</v>
      </c>
      <c r="C337" s="22" t="s">
        <v>444</v>
      </c>
      <c r="D337" s="111" t="s">
        <v>95</v>
      </c>
      <c r="E337" s="107" t="s">
        <v>450</v>
      </c>
      <c r="F337" s="4" t="str">
        <f t="shared" si="6"/>
        <v>EUB09D700832</v>
      </c>
      <c r="G337" s="4"/>
      <c r="H337" s="4" t="s">
        <v>1047</v>
      </c>
    </row>
    <row r="338" spans="1:8" ht="30" customHeight="1" x14ac:dyDescent="0.25">
      <c r="A338" s="14">
        <v>45037.394459953706</v>
      </c>
      <c r="B338" s="2" t="s">
        <v>19</v>
      </c>
      <c r="C338" s="22" t="s">
        <v>440</v>
      </c>
      <c r="D338" s="111" t="s">
        <v>95</v>
      </c>
      <c r="E338" s="18" t="s">
        <v>443</v>
      </c>
      <c r="F338" s="4" t="str">
        <f t="shared" si="6"/>
        <v>EUB09D700836</v>
      </c>
      <c r="G338" s="4">
        <v>2467</v>
      </c>
      <c r="H338" s="4">
        <v>3</v>
      </c>
    </row>
    <row r="339" spans="1:8" ht="30" customHeight="1" x14ac:dyDescent="0.25">
      <c r="A339" s="14">
        <v>45037.393516319447</v>
      </c>
      <c r="B339" s="2" t="s">
        <v>22</v>
      </c>
      <c r="C339" s="22" t="s">
        <v>440</v>
      </c>
      <c r="D339" s="111" t="s">
        <v>95</v>
      </c>
      <c r="E339" s="18" t="s">
        <v>442</v>
      </c>
      <c r="F339" s="4" t="str">
        <f t="shared" si="6"/>
        <v>EUB09D700838</v>
      </c>
      <c r="G339" s="4">
        <v>1196</v>
      </c>
      <c r="H339" s="4">
        <v>2</v>
      </c>
    </row>
    <row r="340" spans="1:8" ht="30" customHeight="1" x14ac:dyDescent="0.25">
      <c r="A340" s="14">
        <v>45037.392795254629</v>
      </c>
      <c r="B340" s="2" t="s">
        <v>25</v>
      </c>
      <c r="C340" s="22" t="s">
        <v>440</v>
      </c>
      <c r="D340" s="111" t="s">
        <v>95</v>
      </c>
      <c r="E340" s="18" t="s">
        <v>441</v>
      </c>
      <c r="F340" s="4" t="str">
        <f t="shared" si="6"/>
        <v>EUB09D700741</v>
      </c>
      <c r="G340" s="4">
        <v>807</v>
      </c>
      <c r="H340" s="4">
        <v>2</v>
      </c>
    </row>
    <row r="341" spans="1:8" ht="30" customHeight="1" x14ac:dyDescent="0.25">
      <c r="A341" s="14">
        <v>45037.391589120372</v>
      </c>
      <c r="B341" s="2" t="s">
        <v>77</v>
      </c>
      <c r="C341" s="22" t="s">
        <v>436</v>
      </c>
      <c r="D341" s="111" t="s">
        <v>95</v>
      </c>
      <c r="E341" s="18" t="s">
        <v>437</v>
      </c>
      <c r="F341" s="4" t="str">
        <f t="shared" si="6"/>
        <v>PTP200R239151</v>
      </c>
      <c r="G341" s="4">
        <v>259</v>
      </c>
      <c r="H341" s="4">
        <v>3</v>
      </c>
    </row>
    <row r="342" spans="1:8" ht="30" customHeight="1" x14ac:dyDescent="0.25">
      <c r="A342" s="14">
        <v>45037.334097222221</v>
      </c>
      <c r="B342" s="2" t="s">
        <v>6</v>
      </c>
      <c r="C342" s="22" t="s">
        <v>625</v>
      </c>
      <c r="D342" s="111" t="s">
        <v>96</v>
      </c>
      <c r="E342" s="18"/>
      <c r="F342" s="4" t="str">
        <f t="shared" si="6"/>
        <v>EUB09D700742</v>
      </c>
      <c r="G342" s="4"/>
      <c r="H342" s="4"/>
    </row>
    <row r="343" spans="1:8" ht="30" customHeight="1" x14ac:dyDescent="0.25">
      <c r="A343" s="14">
        <v>45036.392083333332</v>
      </c>
      <c r="B343" s="2" t="s">
        <v>81</v>
      </c>
      <c r="C343" s="22" t="s">
        <v>438</v>
      </c>
      <c r="D343" s="111" t="s">
        <v>95</v>
      </c>
      <c r="E343" s="18" t="s">
        <v>439</v>
      </c>
      <c r="F343" s="4" t="str">
        <f t="shared" si="6"/>
        <v>PTP200R239155</v>
      </c>
      <c r="G343" s="4">
        <v>653</v>
      </c>
      <c r="H343" s="4">
        <v>1</v>
      </c>
    </row>
    <row r="344" spans="1:8" ht="30" customHeight="1" x14ac:dyDescent="0.25">
      <c r="A344" s="14">
        <v>45035.489425347223</v>
      </c>
      <c r="B344" s="2" t="s">
        <v>12</v>
      </c>
      <c r="C344" s="22" t="s">
        <v>388</v>
      </c>
      <c r="D344" s="111" t="s">
        <v>95</v>
      </c>
      <c r="E344" s="18" t="s">
        <v>434</v>
      </c>
      <c r="F344" s="4" t="str">
        <f t="shared" si="6"/>
        <v>EUB09D700267</v>
      </c>
      <c r="G344" s="4">
        <v>835</v>
      </c>
      <c r="H344" s="4">
        <v>1</v>
      </c>
    </row>
    <row r="345" spans="1:8" ht="30" customHeight="1" x14ac:dyDescent="0.25">
      <c r="A345" s="14">
        <v>45035.487775810187</v>
      </c>
      <c r="B345" s="2" t="s">
        <v>78</v>
      </c>
      <c r="C345" s="22" t="s">
        <v>445</v>
      </c>
      <c r="D345" s="111" t="s">
        <v>95</v>
      </c>
      <c r="E345" s="18" t="s">
        <v>432</v>
      </c>
      <c r="F345" s="4" t="str">
        <f t="shared" si="6"/>
        <v>PTP200R239152</v>
      </c>
      <c r="G345" s="4">
        <v>856</v>
      </c>
      <c r="H345" s="4">
        <v>0</v>
      </c>
    </row>
    <row r="346" spans="1:8" ht="30" customHeight="1" x14ac:dyDescent="0.25">
      <c r="A346" s="14">
        <v>45035.487775810187</v>
      </c>
      <c r="B346" s="2" t="s">
        <v>78</v>
      </c>
      <c r="C346" s="22" t="s">
        <v>431</v>
      </c>
      <c r="D346" s="111" t="s">
        <v>95</v>
      </c>
      <c r="E346" s="18" t="s">
        <v>432</v>
      </c>
      <c r="F346" s="4" t="str">
        <f t="shared" si="6"/>
        <v>PTP200R239152</v>
      </c>
      <c r="G346" s="4">
        <v>856</v>
      </c>
      <c r="H346" s="4">
        <v>4</v>
      </c>
    </row>
    <row r="347" spans="1:8" ht="30" customHeight="1" x14ac:dyDescent="0.25">
      <c r="A347" s="14">
        <v>45029.628461574073</v>
      </c>
      <c r="B347" s="2" t="s">
        <v>4</v>
      </c>
      <c r="C347" s="22" t="s">
        <v>427</v>
      </c>
      <c r="D347" s="111" t="s">
        <v>95</v>
      </c>
      <c r="E347" s="18" t="s">
        <v>433</v>
      </c>
      <c r="F347" s="4" t="str">
        <f t="shared" si="6"/>
        <v>JAG2N1E701604</v>
      </c>
      <c r="G347" s="4">
        <v>371</v>
      </c>
      <c r="H347" s="4">
        <v>2</v>
      </c>
    </row>
    <row r="348" spans="1:8" ht="30" customHeight="1" x14ac:dyDescent="0.25">
      <c r="A348" s="14">
        <v>45029.62328472222</v>
      </c>
      <c r="B348" s="2" t="s">
        <v>15</v>
      </c>
      <c r="C348" s="22" t="s">
        <v>425</v>
      </c>
      <c r="D348" s="111" t="s">
        <v>95</v>
      </c>
      <c r="E348" s="18" t="s">
        <v>435</v>
      </c>
      <c r="F348" s="4" t="str">
        <f t="shared" si="6"/>
        <v>EUB09D700705</v>
      </c>
      <c r="G348" s="4">
        <v>601</v>
      </c>
      <c r="H348" s="4">
        <v>1</v>
      </c>
    </row>
    <row r="349" spans="1:8" ht="30" customHeight="1" x14ac:dyDescent="0.25">
      <c r="A349" s="14">
        <v>45029.406721064814</v>
      </c>
      <c r="B349" s="2" t="s">
        <v>16</v>
      </c>
      <c r="C349" s="22" t="s">
        <v>424</v>
      </c>
      <c r="D349" s="111" t="s">
        <v>95</v>
      </c>
      <c r="E349" s="18"/>
      <c r="F349" s="4" t="str">
        <f t="shared" si="6"/>
        <v>EUB09D700851</v>
      </c>
      <c r="G349" s="4"/>
      <c r="H349" s="4"/>
    </row>
    <row r="350" spans="1:8" ht="30" customHeight="1" x14ac:dyDescent="0.25">
      <c r="A350" s="14">
        <v>45029.366143402774</v>
      </c>
      <c r="B350" s="2" t="s">
        <v>20</v>
      </c>
      <c r="C350" s="22" t="s">
        <v>425</v>
      </c>
      <c r="D350" s="111" t="s">
        <v>95</v>
      </c>
      <c r="E350" s="18"/>
      <c r="F350" s="4" t="str">
        <f t="shared" si="6"/>
        <v>EUB09D700832</v>
      </c>
      <c r="G350" s="4"/>
      <c r="H350" s="4"/>
    </row>
    <row r="351" spans="1:8" ht="30" customHeight="1" x14ac:dyDescent="0.25">
      <c r="A351" s="14">
        <v>45029.365548726855</v>
      </c>
      <c r="B351" s="2" t="s">
        <v>133</v>
      </c>
      <c r="C351" s="22" t="s">
        <v>426</v>
      </c>
      <c r="D351" s="111" t="s">
        <v>95</v>
      </c>
      <c r="E351" s="18" t="s">
        <v>430</v>
      </c>
      <c r="F351" s="4" t="str">
        <f t="shared" si="6"/>
        <v>Nincs Adat</v>
      </c>
      <c r="G351" s="4"/>
      <c r="H351" s="4">
        <v>1</v>
      </c>
    </row>
    <row r="352" spans="1:8" ht="30" customHeight="1" x14ac:dyDescent="0.25">
      <c r="A352" s="14">
        <v>45028.472005208336</v>
      </c>
      <c r="B352" s="2" t="s">
        <v>79</v>
      </c>
      <c r="C352" s="22" t="s">
        <v>487</v>
      </c>
      <c r="D352" s="111" t="s">
        <v>95</v>
      </c>
      <c r="E352" s="18" t="s">
        <v>486</v>
      </c>
      <c r="F352" s="4" t="str">
        <f t="shared" si="6"/>
        <v>PTP200R239153</v>
      </c>
      <c r="G352" s="4"/>
      <c r="H352" s="4">
        <v>3</v>
      </c>
    </row>
    <row r="353" spans="1:8" ht="30" customHeight="1" x14ac:dyDescent="0.25">
      <c r="A353" s="14">
        <v>45028.446766435183</v>
      </c>
      <c r="B353" s="2" t="s">
        <v>78</v>
      </c>
      <c r="C353" s="22" t="s">
        <v>360</v>
      </c>
      <c r="D353" s="111" t="s">
        <v>95</v>
      </c>
      <c r="E353" s="18" t="s">
        <v>422</v>
      </c>
      <c r="F353" s="4" t="str">
        <f t="shared" si="6"/>
        <v>PTP200R239152</v>
      </c>
      <c r="G353" s="4">
        <v>838</v>
      </c>
      <c r="H353" s="4">
        <v>2</v>
      </c>
    </row>
    <row r="354" spans="1:8" ht="30" customHeight="1" x14ac:dyDescent="0.25">
      <c r="A354" s="14">
        <v>45028.446766435183</v>
      </c>
      <c r="B354" s="2" t="s">
        <v>144</v>
      </c>
      <c r="C354" s="22" t="s">
        <v>446</v>
      </c>
      <c r="D354" s="111" t="s">
        <v>95</v>
      </c>
      <c r="E354" s="18" t="s">
        <v>473</v>
      </c>
      <c r="F354" s="4"/>
      <c r="G354" s="4">
        <v>2544</v>
      </c>
      <c r="H354" s="4">
        <v>3</v>
      </c>
    </row>
    <row r="355" spans="1:8" ht="30" customHeight="1" x14ac:dyDescent="0.25">
      <c r="A355" s="14">
        <v>45028.445755439818</v>
      </c>
      <c r="B355" s="2" t="s">
        <v>80</v>
      </c>
      <c r="C355" s="22" t="s">
        <v>420</v>
      </c>
      <c r="D355" s="111" t="s">
        <v>95</v>
      </c>
      <c r="E355" s="18" t="s">
        <v>429</v>
      </c>
      <c r="F355" s="4" t="str">
        <f t="shared" ref="F355:F418" si="7">IFERROR(VLOOKUP(B355,targlist02,3,0),"Nincs Adat")</f>
        <v>PTP200R239154</v>
      </c>
      <c r="G355" s="4">
        <v>1008</v>
      </c>
      <c r="H355" s="4">
        <v>1</v>
      </c>
    </row>
    <row r="356" spans="1:8" ht="30" customHeight="1" x14ac:dyDescent="0.25">
      <c r="A356" s="14">
        <v>45028.445502430557</v>
      </c>
      <c r="B356" s="2" t="s">
        <v>9</v>
      </c>
      <c r="C356" s="22" t="s">
        <v>419</v>
      </c>
      <c r="D356" s="111" t="s">
        <v>95</v>
      </c>
      <c r="E356" s="18"/>
      <c r="F356" s="4" t="str">
        <f t="shared" si="7"/>
        <v>EUB09D700745</v>
      </c>
      <c r="G356" s="4"/>
      <c r="H356" s="4"/>
    </row>
    <row r="357" spans="1:8" ht="30" customHeight="1" x14ac:dyDescent="0.25">
      <c r="A357" s="14">
        <v>45022.319545370374</v>
      </c>
      <c r="B357" s="2" t="s">
        <v>15</v>
      </c>
      <c r="C357" s="22" t="s">
        <v>418</v>
      </c>
      <c r="D357" s="111" t="s">
        <v>95</v>
      </c>
      <c r="E357" s="18" t="s">
        <v>428</v>
      </c>
      <c r="F357" s="4" t="str">
        <f t="shared" si="7"/>
        <v>EUB09D700705</v>
      </c>
      <c r="G357" s="4">
        <v>593</v>
      </c>
      <c r="H357" s="4">
        <v>2</v>
      </c>
    </row>
    <row r="358" spans="1:8" ht="30" customHeight="1" x14ac:dyDescent="0.25">
      <c r="A358" s="14">
        <v>45021.470342592591</v>
      </c>
      <c r="B358" s="2" t="s">
        <v>11</v>
      </c>
      <c r="C358" s="22" t="s">
        <v>135</v>
      </c>
      <c r="D358" s="111" t="s">
        <v>95</v>
      </c>
      <c r="E358" s="18" t="s">
        <v>417</v>
      </c>
      <c r="F358" s="4" t="str">
        <f t="shared" si="7"/>
        <v>EUB09D700850</v>
      </c>
      <c r="G358" s="4">
        <v>2368</v>
      </c>
      <c r="H358" s="4">
        <v>1</v>
      </c>
    </row>
    <row r="359" spans="1:8" ht="30" customHeight="1" x14ac:dyDescent="0.25">
      <c r="A359" s="14">
        <v>45021.46943715278</v>
      </c>
      <c r="B359" s="2" t="s">
        <v>14</v>
      </c>
      <c r="C359" s="22" t="s">
        <v>415</v>
      </c>
      <c r="D359" s="111" t="s">
        <v>95</v>
      </c>
      <c r="E359" s="18"/>
      <c r="F359" s="4" t="str">
        <f t="shared" si="7"/>
        <v>EUB09D700269</v>
      </c>
      <c r="G359" s="4"/>
      <c r="H359" s="4"/>
    </row>
    <row r="360" spans="1:8" ht="30" customHeight="1" x14ac:dyDescent="0.25">
      <c r="A360" s="14">
        <v>45015.49848159722</v>
      </c>
      <c r="B360" s="2" t="s">
        <v>80</v>
      </c>
      <c r="C360" s="22" t="s">
        <v>412</v>
      </c>
      <c r="D360" s="111" t="s">
        <v>95</v>
      </c>
      <c r="E360" s="18" t="s">
        <v>414</v>
      </c>
      <c r="F360" s="4" t="str">
        <f t="shared" si="7"/>
        <v>PTP200R239154</v>
      </c>
      <c r="G360" s="4">
        <v>981</v>
      </c>
      <c r="H360" s="4">
        <v>5</v>
      </c>
    </row>
    <row r="361" spans="1:8" ht="30" customHeight="1" x14ac:dyDescent="0.25">
      <c r="A361" s="14">
        <v>45015.498198379632</v>
      </c>
      <c r="B361" s="2" t="s">
        <v>80</v>
      </c>
      <c r="C361" s="22" t="s">
        <v>411</v>
      </c>
      <c r="D361" s="111" t="s">
        <v>95</v>
      </c>
      <c r="E361" s="18" t="s">
        <v>414</v>
      </c>
      <c r="F361" s="4" t="str">
        <f t="shared" si="7"/>
        <v>PTP200R239154</v>
      </c>
      <c r="G361" s="4">
        <v>981</v>
      </c>
      <c r="H361" s="4">
        <v>0</v>
      </c>
    </row>
    <row r="362" spans="1:8" ht="30" customHeight="1" x14ac:dyDescent="0.25">
      <c r="A362" s="14">
        <v>45015.497933449071</v>
      </c>
      <c r="B362" s="2" t="s">
        <v>20</v>
      </c>
      <c r="C362" s="22" t="s">
        <v>410</v>
      </c>
      <c r="D362" s="111" t="s">
        <v>95</v>
      </c>
      <c r="E362" s="18"/>
      <c r="F362" s="4" t="str">
        <f t="shared" si="7"/>
        <v>EUB09D700832</v>
      </c>
      <c r="G362" s="4"/>
      <c r="H362" s="4"/>
    </row>
    <row r="363" spans="1:8" ht="30" customHeight="1" x14ac:dyDescent="0.25">
      <c r="A363" s="14">
        <v>45012.631552777777</v>
      </c>
      <c r="B363" s="2" t="s">
        <v>16</v>
      </c>
      <c r="C363" s="22" t="s">
        <v>407</v>
      </c>
      <c r="D363" s="111" t="s">
        <v>95</v>
      </c>
      <c r="E363" s="18"/>
      <c r="F363" s="4" t="str">
        <f t="shared" si="7"/>
        <v>EUB09D700851</v>
      </c>
      <c r="G363" s="4"/>
      <c r="H363" s="4"/>
    </row>
    <row r="364" spans="1:8" ht="30" customHeight="1" x14ac:dyDescent="0.25">
      <c r="A364" s="14">
        <v>45012.512206828702</v>
      </c>
      <c r="B364" s="2" t="s">
        <v>13</v>
      </c>
      <c r="C364" s="22" t="s">
        <v>406</v>
      </c>
      <c r="D364" s="111" t="s">
        <v>95</v>
      </c>
      <c r="E364" s="18" t="s">
        <v>451</v>
      </c>
      <c r="F364" s="4" t="str">
        <f t="shared" si="7"/>
        <v>EUB09D700268</v>
      </c>
      <c r="G364" s="4">
        <v>1169</v>
      </c>
      <c r="H364" s="4">
        <v>1</v>
      </c>
    </row>
    <row r="365" spans="1:8" ht="30" customHeight="1" x14ac:dyDescent="0.25">
      <c r="A365" s="14">
        <v>45012.42378553241</v>
      </c>
      <c r="B365" s="2" t="s">
        <v>21</v>
      </c>
      <c r="C365" s="22" t="s">
        <v>405</v>
      </c>
      <c r="D365" s="111" t="s">
        <v>95</v>
      </c>
      <c r="E365" s="18" t="s">
        <v>408</v>
      </c>
      <c r="F365" s="4" t="str">
        <f t="shared" si="7"/>
        <v>EUB09D700842</v>
      </c>
      <c r="G365" s="4">
        <v>1520</v>
      </c>
      <c r="H365" s="4">
        <v>1</v>
      </c>
    </row>
    <row r="366" spans="1:8" ht="30" customHeight="1" x14ac:dyDescent="0.25">
      <c r="A366" s="14">
        <v>45012.422850115741</v>
      </c>
      <c r="B366" s="2" t="s">
        <v>21</v>
      </c>
      <c r="C366" s="22" t="s">
        <v>403</v>
      </c>
      <c r="D366" s="111" t="s">
        <v>95</v>
      </c>
      <c r="E366" s="18" t="s">
        <v>404</v>
      </c>
      <c r="F366" s="4" t="str">
        <f t="shared" si="7"/>
        <v>EUB09D700842</v>
      </c>
      <c r="G366" s="4">
        <v>1493</v>
      </c>
      <c r="H366" s="4">
        <v>2</v>
      </c>
    </row>
    <row r="367" spans="1:8" ht="30" customHeight="1" x14ac:dyDescent="0.25">
      <c r="A367" s="14">
        <v>45012.421374537036</v>
      </c>
      <c r="B367" s="2" t="s">
        <v>14</v>
      </c>
      <c r="C367" s="22" t="s">
        <v>401</v>
      </c>
      <c r="D367" s="111" t="s">
        <v>95</v>
      </c>
      <c r="E367" s="18" t="s">
        <v>402</v>
      </c>
      <c r="F367" s="4" t="str">
        <f t="shared" si="7"/>
        <v>EUB09D700269</v>
      </c>
      <c r="G367" s="4">
        <v>1150</v>
      </c>
      <c r="H367" s="4">
        <v>1</v>
      </c>
    </row>
    <row r="368" spans="1:8" ht="30" customHeight="1" x14ac:dyDescent="0.25">
      <c r="A368" s="14">
        <v>45012.420793518519</v>
      </c>
      <c r="B368" s="2" t="s">
        <v>80</v>
      </c>
      <c r="C368" s="22" t="s">
        <v>399</v>
      </c>
      <c r="D368" s="111" t="s">
        <v>95</v>
      </c>
      <c r="E368" s="18" t="s">
        <v>400</v>
      </c>
      <c r="F368" s="4" t="str">
        <f t="shared" si="7"/>
        <v>PTP200R239154</v>
      </c>
      <c r="G368" s="4">
        <v>954</v>
      </c>
      <c r="H368" s="4">
        <v>1</v>
      </c>
    </row>
    <row r="369" spans="1:8" ht="30" customHeight="1" x14ac:dyDescent="0.25">
      <c r="A369" s="14">
        <v>45012.419686805559</v>
      </c>
      <c r="B369" s="2" t="s">
        <v>78</v>
      </c>
      <c r="C369" s="22" t="s">
        <v>397</v>
      </c>
      <c r="D369" s="111" t="s">
        <v>95</v>
      </c>
      <c r="E369" s="18" t="s">
        <v>398</v>
      </c>
      <c r="F369" s="4" t="str">
        <f t="shared" si="7"/>
        <v>PTP200R239152</v>
      </c>
      <c r="G369" s="4">
        <v>799</v>
      </c>
      <c r="H369" s="4">
        <v>3</v>
      </c>
    </row>
    <row r="370" spans="1:8" ht="30" customHeight="1" x14ac:dyDescent="0.25">
      <c r="A370" s="14">
        <v>45012.41940648148</v>
      </c>
      <c r="B370" s="2" t="s">
        <v>7</v>
      </c>
      <c r="C370" s="22" t="s">
        <v>135</v>
      </c>
      <c r="D370" s="111" t="s">
        <v>95</v>
      </c>
      <c r="E370" s="18" t="s">
        <v>421</v>
      </c>
      <c r="F370" s="4" t="str">
        <f t="shared" si="7"/>
        <v>EUB09D700743</v>
      </c>
      <c r="G370" s="4">
        <v>2094</v>
      </c>
      <c r="H370" s="4">
        <v>1</v>
      </c>
    </row>
    <row r="371" spans="1:8" ht="30" customHeight="1" x14ac:dyDescent="0.25">
      <c r="A371" s="14">
        <v>45008.5893119213</v>
      </c>
      <c r="B371" s="2" t="s">
        <v>79</v>
      </c>
      <c r="C371" s="22" t="s">
        <v>395</v>
      </c>
      <c r="D371" s="111" t="s">
        <v>95</v>
      </c>
      <c r="E371" s="18" t="s">
        <v>423</v>
      </c>
      <c r="F371" s="4" t="str">
        <f t="shared" si="7"/>
        <v>PTP200R239153</v>
      </c>
      <c r="G371" s="4">
        <v>867</v>
      </c>
      <c r="H371" s="4">
        <v>3</v>
      </c>
    </row>
    <row r="372" spans="1:8" ht="30" customHeight="1" x14ac:dyDescent="0.25">
      <c r="A372" s="14">
        <v>45008.589128125001</v>
      </c>
      <c r="B372" s="2" t="s">
        <v>7</v>
      </c>
      <c r="C372" s="22" t="s">
        <v>396</v>
      </c>
      <c r="D372" s="111" t="s">
        <v>95</v>
      </c>
      <c r="E372" s="18"/>
      <c r="F372" s="4" t="str">
        <f t="shared" si="7"/>
        <v>EUB09D700743</v>
      </c>
      <c r="G372" s="4"/>
      <c r="H372" s="4"/>
    </row>
    <row r="373" spans="1:8" ht="30" customHeight="1" x14ac:dyDescent="0.25">
      <c r="A373" s="14">
        <v>45008.588666435186</v>
      </c>
      <c r="B373" s="2" t="s">
        <v>6</v>
      </c>
      <c r="C373" s="22" t="s">
        <v>396</v>
      </c>
      <c r="D373" s="111" t="s">
        <v>95</v>
      </c>
      <c r="E373" s="18"/>
      <c r="F373" s="4" t="str">
        <f t="shared" si="7"/>
        <v>EUB09D700742</v>
      </c>
      <c r="G373" s="4"/>
      <c r="H373" s="4"/>
    </row>
    <row r="374" spans="1:8" ht="30" customHeight="1" x14ac:dyDescent="0.25">
      <c r="A374" s="14">
        <v>45006</v>
      </c>
      <c r="B374" s="2" t="s">
        <v>78</v>
      </c>
      <c r="C374" s="22" t="s">
        <v>391</v>
      </c>
      <c r="D374" s="111" t="s">
        <v>95</v>
      </c>
      <c r="E374" s="18" t="s">
        <v>392</v>
      </c>
      <c r="F374" s="4" t="str">
        <f t="shared" si="7"/>
        <v>PTP200R239152</v>
      </c>
      <c r="G374" s="4">
        <v>799</v>
      </c>
      <c r="H374" s="4">
        <v>2</v>
      </c>
    </row>
    <row r="375" spans="1:8" ht="30" customHeight="1" x14ac:dyDescent="0.25">
      <c r="A375" s="14">
        <v>45006</v>
      </c>
      <c r="B375" s="2" t="s">
        <v>17</v>
      </c>
      <c r="C375" s="22" t="s">
        <v>388</v>
      </c>
      <c r="D375" s="111" t="s">
        <v>95</v>
      </c>
      <c r="E375" s="18" t="s">
        <v>389</v>
      </c>
      <c r="F375" s="4" t="str">
        <f t="shared" si="7"/>
        <v>EUB09D700852</v>
      </c>
      <c r="G375" s="4">
        <v>2030</v>
      </c>
      <c r="H375" s="4">
        <v>1</v>
      </c>
    </row>
    <row r="376" spans="1:8" ht="30" customHeight="1" x14ac:dyDescent="0.25">
      <c r="A376" s="14">
        <v>45006</v>
      </c>
      <c r="B376" s="2" t="s">
        <v>78</v>
      </c>
      <c r="C376" s="22" t="s">
        <v>387</v>
      </c>
      <c r="D376" s="111" t="s">
        <v>95</v>
      </c>
      <c r="E376" s="18" t="s">
        <v>409</v>
      </c>
      <c r="F376" s="4" t="str">
        <f t="shared" si="7"/>
        <v>PTP200R239152</v>
      </c>
      <c r="G376" s="4">
        <v>799</v>
      </c>
      <c r="H376" s="4">
        <v>1</v>
      </c>
    </row>
    <row r="377" spans="1:8" ht="30" customHeight="1" x14ac:dyDescent="0.25">
      <c r="A377" s="14">
        <v>45006</v>
      </c>
      <c r="B377" s="2" t="s">
        <v>144</v>
      </c>
      <c r="C377" s="22" t="s">
        <v>386</v>
      </c>
      <c r="D377" s="111" t="s">
        <v>95</v>
      </c>
      <c r="E377" s="18" t="s">
        <v>390</v>
      </c>
      <c r="F377" s="4" t="str">
        <f t="shared" si="7"/>
        <v>Nincs Adat</v>
      </c>
      <c r="G377" s="4">
        <v>2472</v>
      </c>
      <c r="H377" s="4">
        <v>1</v>
      </c>
    </row>
    <row r="378" spans="1:8" ht="30" customHeight="1" x14ac:dyDescent="0.25">
      <c r="A378" s="14">
        <v>45006</v>
      </c>
      <c r="B378" s="2" t="s">
        <v>79</v>
      </c>
      <c r="C378" s="22" t="s">
        <v>393</v>
      </c>
      <c r="D378" s="111" t="s">
        <v>95</v>
      </c>
      <c r="E378" s="18" t="s">
        <v>460</v>
      </c>
      <c r="F378" s="4" t="str">
        <f t="shared" si="7"/>
        <v>PTP200R239153</v>
      </c>
      <c r="G378" s="4">
        <v>801</v>
      </c>
      <c r="H378" s="4">
        <v>2</v>
      </c>
    </row>
    <row r="379" spans="1:8" ht="30" customHeight="1" x14ac:dyDescent="0.25">
      <c r="A379" s="14">
        <v>45006</v>
      </c>
      <c r="B379" s="2" t="s">
        <v>80</v>
      </c>
      <c r="C379" s="22" t="s">
        <v>381</v>
      </c>
      <c r="D379" s="111" t="s">
        <v>95</v>
      </c>
      <c r="E379" s="18" t="s">
        <v>382</v>
      </c>
      <c r="F379" s="4" t="str">
        <f t="shared" si="7"/>
        <v>PTP200R239154</v>
      </c>
      <c r="G379" s="4">
        <v>936</v>
      </c>
      <c r="H379" s="4">
        <v>3</v>
      </c>
    </row>
    <row r="380" spans="1:8" ht="30" customHeight="1" x14ac:dyDescent="0.25">
      <c r="A380" s="14">
        <v>45006</v>
      </c>
      <c r="B380" s="2" t="s">
        <v>8</v>
      </c>
      <c r="C380" s="22" t="s">
        <v>379</v>
      </c>
      <c r="D380" s="111" t="s">
        <v>95</v>
      </c>
      <c r="E380" s="18" t="s">
        <v>448</v>
      </c>
      <c r="F380" s="4" t="str">
        <f t="shared" si="7"/>
        <v>EUB09D700744</v>
      </c>
      <c r="G380" s="43">
        <v>2165</v>
      </c>
      <c r="H380" s="4">
        <v>7</v>
      </c>
    </row>
    <row r="381" spans="1:8" ht="30" customHeight="1" x14ac:dyDescent="0.25">
      <c r="A381" s="14">
        <v>45006</v>
      </c>
      <c r="B381" s="2" t="s">
        <v>2</v>
      </c>
      <c r="C381" s="22" t="s">
        <v>377</v>
      </c>
      <c r="D381" s="111" t="s">
        <v>95</v>
      </c>
      <c r="E381" s="18" t="s">
        <v>384</v>
      </c>
      <c r="F381" s="4" t="str">
        <f t="shared" si="7"/>
        <v>JA2N1E700427</v>
      </c>
      <c r="G381" s="4">
        <v>791</v>
      </c>
      <c r="H381" s="4">
        <v>2</v>
      </c>
    </row>
    <row r="382" spans="1:8" ht="30" customHeight="1" x14ac:dyDescent="0.25">
      <c r="A382" s="14">
        <v>45006</v>
      </c>
      <c r="B382" s="2" t="s">
        <v>78</v>
      </c>
      <c r="C382" s="22" t="s">
        <v>376</v>
      </c>
      <c r="D382" s="111" t="s">
        <v>95</v>
      </c>
      <c r="E382" s="18"/>
      <c r="F382" s="4" t="str">
        <f t="shared" si="7"/>
        <v>PTP200R239152</v>
      </c>
      <c r="G382" s="4"/>
      <c r="H382" s="4"/>
    </row>
    <row r="383" spans="1:8" ht="30" customHeight="1" x14ac:dyDescent="0.25">
      <c r="A383" s="14">
        <v>45005</v>
      </c>
      <c r="B383" s="2" t="s">
        <v>142</v>
      </c>
      <c r="C383" s="22" t="s">
        <v>372</v>
      </c>
      <c r="D383" s="111" t="s">
        <v>95</v>
      </c>
      <c r="E383" s="18" t="s">
        <v>380</v>
      </c>
      <c r="F383" s="4" t="str">
        <f t="shared" si="7"/>
        <v>LO20N2RCB13B00112</v>
      </c>
      <c r="G383" s="4">
        <v>832</v>
      </c>
      <c r="H383" s="4">
        <v>2</v>
      </c>
    </row>
    <row r="384" spans="1:8" ht="30" customHeight="1" x14ac:dyDescent="0.25">
      <c r="A384" s="14">
        <v>45002</v>
      </c>
      <c r="B384" s="2" t="s">
        <v>15</v>
      </c>
      <c r="C384" s="22" t="s">
        <v>371</v>
      </c>
      <c r="D384" s="111" t="s">
        <v>95</v>
      </c>
      <c r="E384" s="18" t="s">
        <v>373</v>
      </c>
      <c r="F384" s="4" t="str">
        <f t="shared" si="7"/>
        <v>EUB09D700705</v>
      </c>
      <c r="G384" s="4">
        <v>481</v>
      </c>
      <c r="H384" s="4">
        <v>2</v>
      </c>
    </row>
    <row r="385" spans="1:8" ht="30" customHeight="1" x14ac:dyDescent="0.25">
      <c r="A385" s="14">
        <v>45001</v>
      </c>
      <c r="B385" s="2" t="s">
        <v>80</v>
      </c>
      <c r="C385" s="22" t="s">
        <v>374</v>
      </c>
      <c r="D385" s="111" t="s">
        <v>95</v>
      </c>
      <c r="E385" s="18" t="s">
        <v>375</v>
      </c>
      <c r="F385" s="4" t="str">
        <f t="shared" si="7"/>
        <v>PTP200R239154</v>
      </c>
      <c r="G385" s="4">
        <v>935</v>
      </c>
      <c r="H385" s="4">
        <v>3</v>
      </c>
    </row>
    <row r="386" spans="1:8" ht="30" customHeight="1" x14ac:dyDescent="0.25">
      <c r="A386" s="14">
        <v>44993</v>
      </c>
      <c r="B386" s="2" t="s">
        <v>78</v>
      </c>
      <c r="C386" s="22" t="s">
        <v>229</v>
      </c>
      <c r="D386" s="111" t="s">
        <v>95</v>
      </c>
      <c r="E386" s="18" t="s">
        <v>362</v>
      </c>
      <c r="F386" s="4" t="str">
        <f t="shared" si="7"/>
        <v>PTP200R239152</v>
      </c>
      <c r="G386" s="4">
        <v>799</v>
      </c>
      <c r="H386" s="4">
        <v>3</v>
      </c>
    </row>
    <row r="387" spans="1:8" ht="30" customHeight="1" x14ac:dyDescent="0.25">
      <c r="A387" s="14">
        <v>44993</v>
      </c>
      <c r="B387" s="2" t="s">
        <v>6</v>
      </c>
      <c r="C387" s="22" t="s">
        <v>99</v>
      </c>
      <c r="D387" s="111" t="s">
        <v>95</v>
      </c>
      <c r="E387" s="18" t="s">
        <v>363</v>
      </c>
      <c r="F387" s="4" t="str">
        <f t="shared" si="7"/>
        <v>EUB09D700742</v>
      </c>
      <c r="G387" s="4">
        <v>2022</v>
      </c>
      <c r="H387" s="4">
        <v>4</v>
      </c>
    </row>
    <row r="388" spans="1:8" ht="30" customHeight="1" x14ac:dyDescent="0.25">
      <c r="A388" s="14">
        <v>44993</v>
      </c>
      <c r="B388" s="2" t="s">
        <v>17</v>
      </c>
      <c r="C388" s="22" t="s">
        <v>361</v>
      </c>
      <c r="D388" s="111" t="s">
        <v>95</v>
      </c>
      <c r="E388" s="18"/>
      <c r="F388" s="4" t="str">
        <f t="shared" si="7"/>
        <v>EUB09D700852</v>
      </c>
      <c r="G388" s="4">
        <v>1921</v>
      </c>
      <c r="H388" s="4"/>
    </row>
    <row r="389" spans="1:8" ht="30" customHeight="1" x14ac:dyDescent="0.25">
      <c r="A389" s="14">
        <v>44992.340955324071</v>
      </c>
      <c r="B389" s="2" t="s">
        <v>16</v>
      </c>
      <c r="C389" s="22" t="s">
        <v>298</v>
      </c>
      <c r="D389" s="111" t="s">
        <v>95</v>
      </c>
      <c r="E389" s="18" t="s">
        <v>299</v>
      </c>
      <c r="F389" s="103" t="str">
        <f t="shared" si="7"/>
        <v>EUB09D700851</v>
      </c>
      <c r="G389" s="4">
        <v>1872</v>
      </c>
      <c r="H389" s="4">
        <v>1</v>
      </c>
    </row>
    <row r="390" spans="1:8" ht="30" customHeight="1" x14ac:dyDescent="0.25">
      <c r="A390" s="14">
        <v>44992.340423726855</v>
      </c>
      <c r="B390" s="2" t="s">
        <v>78</v>
      </c>
      <c r="C390" s="22" t="s">
        <v>296</v>
      </c>
      <c r="D390" s="111" t="s">
        <v>95</v>
      </c>
      <c r="E390" s="18" t="s">
        <v>297</v>
      </c>
      <c r="F390" s="103" t="str">
        <f t="shared" si="7"/>
        <v>PTP200R239152</v>
      </c>
      <c r="G390" s="4">
        <v>791</v>
      </c>
      <c r="H390" s="4">
        <v>1</v>
      </c>
    </row>
    <row r="391" spans="1:8" ht="30" customHeight="1" x14ac:dyDescent="0.25">
      <c r="A391" s="14">
        <v>44991.490297337965</v>
      </c>
      <c r="B391" s="2" t="s">
        <v>81</v>
      </c>
      <c r="C391" s="22" t="s">
        <v>293</v>
      </c>
      <c r="D391" s="28" t="s">
        <v>95</v>
      </c>
      <c r="E391" s="18" t="s">
        <v>295</v>
      </c>
      <c r="F391" s="102" t="str">
        <f t="shared" si="7"/>
        <v>PTP200R239155</v>
      </c>
      <c r="G391" s="4">
        <v>548</v>
      </c>
      <c r="H391" s="4">
        <v>3</v>
      </c>
    </row>
    <row r="392" spans="1:8" ht="30" customHeight="1" x14ac:dyDescent="0.25">
      <c r="A392" s="14">
        <v>44991.49014548611</v>
      </c>
      <c r="B392" s="2" t="s">
        <v>79</v>
      </c>
      <c r="C392" s="22" t="s">
        <v>255</v>
      </c>
      <c r="D392" s="28" t="s">
        <v>95</v>
      </c>
      <c r="E392" s="18" t="s">
        <v>294</v>
      </c>
      <c r="F392" s="102" t="str">
        <f t="shared" si="7"/>
        <v>PTP200R239153</v>
      </c>
      <c r="G392" s="4">
        <v>755</v>
      </c>
      <c r="H392" s="4">
        <v>3</v>
      </c>
    </row>
    <row r="393" spans="1:8" ht="30" customHeight="1" x14ac:dyDescent="0.25">
      <c r="A393" s="14">
        <v>44991.340451736112</v>
      </c>
      <c r="B393" s="2" t="s">
        <v>25</v>
      </c>
      <c r="C393" s="22" t="s">
        <v>291</v>
      </c>
      <c r="D393" s="28" t="s">
        <v>95</v>
      </c>
      <c r="E393" s="18" t="s">
        <v>370</v>
      </c>
      <c r="F393" s="102" t="str">
        <f t="shared" si="7"/>
        <v>EUB09D700741</v>
      </c>
      <c r="G393" s="4">
        <v>578</v>
      </c>
      <c r="H393" s="4">
        <v>6</v>
      </c>
    </row>
    <row r="394" spans="1:8" ht="30" customHeight="1" x14ac:dyDescent="0.25">
      <c r="A394" s="14">
        <v>44988.337455555557</v>
      </c>
      <c r="B394" s="2" t="s">
        <v>9</v>
      </c>
      <c r="C394" s="22" t="s">
        <v>385</v>
      </c>
      <c r="D394" s="28" t="s">
        <v>95</v>
      </c>
      <c r="E394" s="18" t="s">
        <v>413</v>
      </c>
      <c r="F394" s="102" t="str">
        <f t="shared" si="7"/>
        <v>EUB09D700745</v>
      </c>
      <c r="G394" s="4">
        <v>2236</v>
      </c>
      <c r="H394" s="4">
        <v>7</v>
      </c>
    </row>
    <row r="395" spans="1:8" ht="30" customHeight="1" x14ac:dyDescent="0.25">
      <c r="A395" s="14">
        <v>44988.337244097223</v>
      </c>
      <c r="B395" s="2" t="s">
        <v>16</v>
      </c>
      <c r="C395" s="22" t="s">
        <v>290</v>
      </c>
      <c r="D395" s="28" t="s">
        <v>95</v>
      </c>
      <c r="E395" s="18" t="s">
        <v>292</v>
      </c>
      <c r="F395" s="102" t="str">
        <f t="shared" si="7"/>
        <v>EUB09D700851</v>
      </c>
      <c r="G395" s="4">
        <v>1869</v>
      </c>
      <c r="H395" s="4">
        <v>1</v>
      </c>
    </row>
    <row r="396" spans="1:8" ht="30" customHeight="1" x14ac:dyDescent="0.25">
      <c r="A396" s="14">
        <v>44988.333024421299</v>
      </c>
      <c r="B396" s="2" t="s">
        <v>20</v>
      </c>
      <c r="C396" s="22" t="s">
        <v>287</v>
      </c>
      <c r="D396" s="28" t="s">
        <v>95</v>
      </c>
      <c r="E396" s="18" t="s">
        <v>286</v>
      </c>
      <c r="F396" s="102" t="str">
        <f t="shared" si="7"/>
        <v>EUB09D700832</v>
      </c>
      <c r="G396" s="4">
        <v>1580</v>
      </c>
      <c r="H396" s="4">
        <v>1</v>
      </c>
    </row>
    <row r="397" spans="1:8" ht="30" customHeight="1" x14ac:dyDescent="0.25">
      <c r="A397" s="14">
        <v>44987.521586226852</v>
      </c>
      <c r="B397" s="2" t="s">
        <v>6</v>
      </c>
      <c r="C397" s="22" t="s">
        <v>1048</v>
      </c>
      <c r="D397" s="28" t="s">
        <v>95</v>
      </c>
      <c r="E397" s="18" t="s">
        <v>1003</v>
      </c>
      <c r="F397" s="102" t="str">
        <f t="shared" si="7"/>
        <v>EUB09D700742</v>
      </c>
      <c r="G397" s="4">
        <v>4068</v>
      </c>
      <c r="H397" s="4">
        <v>2</v>
      </c>
    </row>
    <row r="398" spans="1:8" ht="30" customHeight="1" x14ac:dyDescent="0.25">
      <c r="A398" s="14">
        <v>44987.521586226852</v>
      </c>
      <c r="B398" s="2" t="s">
        <v>7</v>
      </c>
      <c r="C398" s="22" t="s">
        <v>364</v>
      </c>
      <c r="D398" s="28" t="s">
        <v>95</v>
      </c>
      <c r="E398" s="18" t="s">
        <v>468</v>
      </c>
      <c r="F398" s="2" t="str">
        <f t="shared" si="7"/>
        <v>EUB09D700743</v>
      </c>
      <c r="G398" s="4">
        <v>2303</v>
      </c>
      <c r="H398" s="4">
        <v>8</v>
      </c>
    </row>
    <row r="399" spans="1:8" ht="30" customHeight="1" x14ac:dyDescent="0.25">
      <c r="A399" s="14">
        <v>44987.409178240741</v>
      </c>
      <c r="B399" s="2" t="s">
        <v>73</v>
      </c>
      <c r="C399" s="22" t="s">
        <v>284</v>
      </c>
      <c r="D399" s="28" t="s">
        <v>95</v>
      </c>
      <c r="E399" s="18" t="s">
        <v>289</v>
      </c>
      <c r="F399" s="102" t="str">
        <f t="shared" si="7"/>
        <v>Nincs Adat</v>
      </c>
      <c r="G399" s="4">
        <v>871</v>
      </c>
      <c r="H399" s="4">
        <v>2</v>
      </c>
    </row>
    <row r="400" spans="1:8" ht="30" customHeight="1" x14ac:dyDescent="0.25">
      <c r="A400" s="14">
        <v>44987.334230439817</v>
      </c>
      <c r="B400" s="2" t="s">
        <v>80</v>
      </c>
      <c r="C400" s="22" t="s">
        <v>282</v>
      </c>
      <c r="D400" s="28" t="s">
        <v>95</v>
      </c>
      <c r="E400" s="18" t="s">
        <v>283</v>
      </c>
      <c r="F400" s="102" t="str">
        <f t="shared" si="7"/>
        <v>PTP200R239154</v>
      </c>
      <c r="G400" s="4">
        <v>872</v>
      </c>
      <c r="H400" s="4">
        <v>1</v>
      </c>
    </row>
    <row r="401" spans="1:8" ht="30" customHeight="1" x14ac:dyDescent="0.25">
      <c r="A401" s="14">
        <v>44987.332165277781</v>
      </c>
      <c r="B401" s="2" t="s">
        <v>157</v>
      </c>
      <c r="C401" s="22" t="s">
        <v>279</v>
      </c>
      <c r="D401" s="28" t="s">
        <v>95</v>
      </c>
      <c r="E401" s="18" t="s">
        <v>280</v>
      </c>
      <c r="F401" s="102" t="str">
        <f t="shared" si="7"/>
        <v>F24537B00021</v>
      </c>
      <c r="G401" s="43">
        <v>5478</v>
      </c>
      <c r="H401" s="4">
        <v>1</v>
      </c>
    </row>
    <row r="402" spans="1:8" ht="30" customHeight="1" x14ac:dyDescent="0.25">
      <c r="A402" s="14">
        <v>44985.352896180557</v>
      </c>
      <c r="B402" s="2" t="s">
        <v>14</v>
      </c>
      <c r="C402" s="22" t="s">
        <v>275</v>
      </c>
      <c r="D402" s="28" t="s">
        <v>95</v>
      </c>
      <c r="E402" s="18" t="s">
        <v>277</v>
      </c>
      <c r="F402" s="102" t="str">
        <f t="shared" si="7"/>
        <v>EUB09D700269</v>
      </c>
      <c r="G402" s="43">
        <v>1029</v>
      </c>
      <c r="H402" s="4">
        <v>3</v>
      </c>
    </row>
    <row r="403" spans="1:8" ht="30" customHeight="1" x14ac:dyDescent="0.25">
      <c r="A403" s="14">
        <v>44981.641491550923</v>
      </c>
      <c r="B403" s="2" t="s">
        <v>22</v>
      </c>
      <c r="C403" s="22" t="s">
        <v>285</v>
      </c>
      <c r="D403" s="28" t="s">
        <v>95</v>
      </c>
      <c r="E403" s="18"/>
      <c r="F403" s="102" t="str">
        <f t="shared" si="7"/>
        <v>EUB09D700838</v>
      </c>
      <c r="G403" s="4"/>
      <c r="H403" s="4"/>
    </row>
    <row r="404" spans="1:8" ht="30" customHeight="1" x14ac:dyDescent="0.25">
      <c r="A404" s="14">
        <v>44980.483418171294</v>
      </c>
      <c r="B404" s="2" t="s">
        <v>79</v>
      </c>
      <c r="C404" s="22" t="s">
        <v>269</v>
      </c>
      <c r="D404" s="28" t="s">
        <v>95</v>
      </c>
      <c r="E404" s="18" t="s">
        <v>276</v>
      </c>
      <c r="F404" s="102" t="str">
        <f t="shared" si="7"/>
        <v>PTP200R239153</v>
      </c>
      <c r="G404" s="4">
        <v>732</v>
      </c>
      <c r="H404" s="4">
        <v>2</v>
      </c>
    </row>
    <row r="405" spans="1:8" ht="30" customHeight="1" x14ac:dyDescent="0.25">
      <c r="A405" s="14">
        <v>44980.386076041665</v>
      </c>
      <c r="B405" s="2" t="s">
        <v>81</v>
      </c>
      <c r="C405" s="22" t="s">
        <v>273</v>
      </c>
      <c r="D405" s="28" t="s">
        <v>95</v>
      </c>
      <c r="E405" s="18" t="s">
        <v>274</v>
      </c>
      <c r="F405" s="102" t="str">
        <f t="shared" si="7"/>
        <v>PTP200R239155</v>
      </c>
      <c r="G405" s="4">
        <v>527</v>
      </c>
      <c r="H405" s="4">
        <v>3</v>
      </c>
    </row>
    <row r="406" spans="1:8" ht="30" customHeight="1" x14ac:dyDescent="0.25">
      <c r="A406" s="14">
        <v>44980.384665625003</v>
      </c>
      <c r="B406" s="2" t="s">
        <v>14</v>
      </c>
      <c r="C406" s="22" t="s">
        <v>270</v>
      </c>
      <c r="D406" s="28" t="s">
        <v>95</v>
      </c>
      <c r="E406" s="18" t="s">
        <v>271</v>
      </c>
      <c r="F406" s="102" t="str">
        <f t="shared" si="7"/>
        <v>EUB09D700269</v>
      </c>
      <c r="G406" s="4">
        <v>1007</v>
      </c>
      <c r="H406" s="4">
        <v>1</v>
      </c>
    </row>
    <row r="407" spans="1:8" ht="30" customHeight="1" x14ac:dyDescent="0.25">
      <c r="A407" s="14">
        <v>44978.493310185186</v>
      </c>
      <c r="B407" s="2" t="s">
        <v>9</v>
      </c>
      <c r="C407" s="35" t="s">
        <v>365</v>
      </c>
      <c r="D407" s="28" t="s">
        <v>95</v>
      </c>
      <c r="E407" s="18" t="s">
        <v>413</v>
      </c>
      <c r="F407" s="102" t="str">
        <f t="shared" si="7"/>
        <v>EUB09D700745</v>
      </c>
      <c r="G407" s="4">
        <v>2236</v>
      </c>
      <c r="H407" s="4">
        <v>7</v>
      </c>
    </row>
    <row r="408" spans="1:8" ht="30" customHeight="1" x14ac:dyDescent="0.25">
      <c r="A408" s="14">
        <v>44978.492228240742</v>
      </c>
      <c r="B408" s="2" t="s">
        <v>77</v>
      </c>
      <c r="C408" s="22" t="s">
        <v>269</v>
      </c>
      <c r="D408" s="28" t="s">
        <v>95</v>
      </c>
      <c r="E408" s="18" t="s">
        <v>272</v>
      </c>
      <c r="F408" s="102" t="str">
        <f t="shared" si="7"/>
        <v>PTP200R239151</v>
      </c>
      <c r="G408" s="4">
        <v>170</v>
      </c>
      <c r="H408" s="4">
        <v>2</v>
      </c>
    </row>
    <row r="409" spans="1:8" ht="30" customHeight="1" x14ac:dyDescent="0.25">
      <c r="A409" s="14">
        <v>44978.490577083336</v>
      </c>
      <c r="B409" s="2" t="s">
        <v>16</v>
      </c>
      <c r="C409" s="22" t="s">
        <v>264</v>
      </c>
      <c r="D409" s="28" t="s">
        <v>95</v>
      </c>
      <c r="E409" s="13" t="s">
        <v>265</v>
      </c>
      <c r="F409" s="102" t="str">
        <f t="shared" si="7"/>
        <v>EUB09D700851</v>
      </c>
      <c r="G409" s="43">
        <v>1790</v>
      </c>
      <c r="H409" s="4">
        <v>1</v>
      </c>
    </row>
    <row r="410" spans="1:8" ht="30" customHeight="1" x14ac:dyDescent="0.25">
      <c r="A410" s="14">
        <v>44978.489500462965</v>
      </c>
      <c r="B410" s="2" t="s">
        <v>141</v>
      </c>
      <c r="C410" s="35" t="s">
        <v>263</v>
      </c>
      <c r="D410" s="28" t="s">
        <v>95</v>
      </c>
      <c r="E410" s="18" t="s">
        <v>262</v>
      </c>
      <c r="F410" s="102" t="str">
        <f t="shared" si="7"/>
        <v>LO20N2RCB13B00110</v>
      </c>
      <c r="G410" s="4">
        <v>477</v>
      </c>
      <c r="H410" s="4">
        <v>3</v>
      </c>
    </row>
    <row r="411" spans="1:8" ht="30" customHeight="1" x14ac:dyDescent="0.25">
      <c r="A411" s="14">
        <v>44978.487490624997</v>
      </c>
      <c r="B411" s="2" t="s">
        <v>153</v>
      </c>
      <c r="C411" s="22" t="s">
        <v>260</v>
      </c>
      <c r="D411" s="28" t="s">
        <v>95</v>
      </c>
      <c r="E411" s="18" t="s">
        <v>278</v>
      </c>
      <c r="F411" s="102" t="str">
        <f t="shared" si="7"/>
        <v>Nincs Adat</v>
      </c>
      <c r="G411" s="2">
        <v>80</v>
      </c>
      <c r="H411" s="4">
        <v>1</v>
      </c>
    </row>
    <row r="412" spans="1:8" ht="30" customHeight="1" x14ac:dyDescent="0.25">
      <c r="A412" s="14">
        <v>44974.525879745372</v>
      </c>
      <c r="B412" s="2" t="s">
        <v>20</v>
      </c>
      <c r="C412" s="21" t="s">
        <v>258</v>
      </c>
      <c r="D412" s="28" t="s">
        <v>95</v>
      </c>
      <c r="E412" s="13" t="s">
        <v>286</v>
      </c>
      <c r="F412" s="102" t="str">
        <f t="shared" si="7"/>
        <v>EUB09D700832</v>
      </c>
      <c r="G412" s="2"/>
      <c r="H412" s="4">
        <v>1</v>
      </c>
    </row>
    <row r="413" spans="1:8" ht="30" customHeight="1" x14ac:dyDescent="0.25">
      <c r="A413" s="14">
        <v>44974.494924074075</v>
      </c>
      <c r="B413" s="2" t="s">
        <v>8</v>
      </c>
      <c r="C413" s="21" t="s">
        <v>257</v>
      </c>
      <c r="D413" s="28" t="s">
        <v>95</v>
      </c>
      <c r="E413" s="13" t="s">
        <v>267</v>
      </c>
      <c r="F413" s="102" t="str">
        <f t="shared" si="7"/>
        <v>EUB09D700744</v>
      </c>
      <c r="G413" s="2">
        <v>1855</v>
      </c>
      <c r="H413" s="4">
        <v>1</v>
      </c>
    </row>
    <row r="414" spans="1:8" ht="30" customHeight="1" x14ac:dyDescent="0.25">
      <c r="A414" s="14">
        <v>44974.494626041669</v>
      </c>
      <c r="B414" s="2" t="s">
        <v>78</v>
      </c>
      <c r="C414" s="45" t="s">
        <v>256</v>
      </c>
      <c r="D414" s="28" t="s">
        <v>95</v>
      </c>
      <c r="E414" s="13" t="s">
        <v>281</v>
      </c>
      <c r="F414" s="102" t="str">
        <f t="shared" si="7"/>
        <v>PTP200R239152</v>
      </c>
      <c r="G414" s="4"/>
      <c r="H414" s="4">
        <v>1</v>
      </c>
    </row>
    <row r="415" spans="1:8" ht="30" customHeight="1" x14ac:dyDescent="0.25">
      <c r="A415" s="14">
        <v>44974.493424421293</v>
      </c>
      <c r="B415" s="2" t="s">
        <v>142</v>
      </c>
      <c r="C415" s="21" t="s">
        <v>255</v>
      </c>
      <c r="D415" s="28" t="s">
        <v>95</v>
      </c>
      <c r="E415" s="13" t="s">
        <v>266</v>
      </c>
      <c r="F415" s="102" t="str">
        <f t="shared" si="7"/>
        <v>LO20N2RCB13B00112</v>
      </c>
      <c r="G415" s="4">
        <v>773</v>
      </c>
      <c r="H415" s="4">
        <v>2</v>
      </c>
    </row>
    <row r="416" spans="1:8" ht="30" customHeight="1" x14ac:dyDescent="0.25">
      <c r="A416" s="14">
        <v>44974.328156944444</v>
      </c>
      <c r="B416" s="2" t="s">
        <v>79</v>
      </c>
      <c r="C416" s="21" t="s">
        <v>251</v>
      </c>
      <c r="D416" s="28" t="s">
        <v>95</v>
      </c>
      <c r="E416" s="18" t="s">
        <v>242</v>
      </c>
      <c r="F416" s="102" t="str">
        <f t="shared" si="7"/>
        <v>PTP200R239153</v>
      </c>
      <c r="G416" s="4">
        <v>705</v>
      </c>
      <c r="H416" s="4">
        <v>1</v>
      </c>
    </row>
    <row r="417" spans="1:8" ht="30" customHeight="1" x14ac:dyDescent="0.25">
      <c r="A417" s="14">
        <v>44974.328156944444</v>
      </c>
      <c r="B417" s="2" t="s">
        <v>79</v>
      </c>
      <c r="C417" s="22" t="s">
        <v>251</v>
      </c>
      <c r="D417" s="28" t="s">
        <v>95</v>
      </c>
      <c r="E417" s="18" t="s">
        <v>252</v>
      </c>
      <c r="F417" s="102" t="str">
        <f t="shared" si="7"/>
        <v>PTP200R239153</v>
      </c>
      <c r="G417" s="2">
        <v>697</v>
      </c>
      <c r="H417" s="2">
        <v>1</v>
      </c>
    </row>
    <row r="418" spans="1:8" ht="30" customHeight="1" x14ac:dyDescent="0.25">
      <c r="A418" s="14">
        <v>44974.328156944444</v>
      </c>
      <c r="B418" s="2" t="s">
        <v>77</v>
      </c>
      <c r="C418" s="22" t="s">
        <v>251</v>
      </c>
      <c r="D418" s="28" t="s">
        <v>95</v>
      </c>
      <c r="E418" s="18" t="s">
        <v>253</v>
      </c>
      <c r="F418" s="102" t="str">
        <f t="shared" si="7"/>
        <v>PTP200R239151</v>
      </c>
      <c r="G418" s="2">
        <v>113</v>
      </c>
      <c r="H418" s="2">
        <v>1</v>
      </c>
    </row>
    <row r="419" spans="1:8" ht="30" customHeight="1" x14ac:dyDescent="0.25">
      <c r="A419" s="14">
        <v>44974.328156944444</v>
      </c>
      <c r="B419" s="2" t="s">
        <v>25</v>
      </c>
      <c r="C419" s="22" t="s">
        <v>249</v>
      </c>
      <c r="D419" s="28" t="s">
        <v>95</v>
      </c>
      <c r="E419" s="18" t="s">
        <v>250</v>
      </c>
      <c r="F419" s="102" t="str">
        <f t="shared" ref="F419:F482" si="8">IFERROR(VLOOKUP(B419,targlist02,3,0),"Nincs Adat")</f>
        <v>EUB09D700741</v>
      </c>
      <c r="G419" s="2">
        <v>458</v>
      </c>
      <c r="H419" s="2">
        <v>2</v>
      </c>
    </row>
    <row r="420" spans="1:8" ht="30" customHeight="1" x14ac:dyDescent="0.25">
      <c r="A420" s="14">
        <v>44974.328156944444</v>
      </c>
      <c r="B420" s="2" t="s">
        <v>17</v>
      </c>
      <c r="C420" s="22" t="s">
        <v>247</v>
      </c>
      <c r="D420" s="28" t="s">
        <v>95</v>
      </c>
      <c r="E420" s="18" t="s">
        <v>248</v>
      </c>
      <c r="F420" s="102" t="str">
        <f t="shared" si="8"/>
        <v>EUB09D700852</v>
      </c>
      <c r="G420" s="22">
        <v>1748</v>
      </c>
      <c r="H420" s="2">
        <v>1</v>
      </c>
    </row>
    <row r="421" spans="1:8" ht="30" customHeight="1" x14ac:dyDescent="0.25">
      <c r="A421" s="14">
        <v>44971.591657523146</v>
      </c>
      <c r="B421" s="2" t="s">
        <v>80</v>
      </c>
      <c r="C421" s="22" t="s">
        <v>301</v>
      </c>
      <c r="D421" s="28" t="s">
        <v>95</v>
      </c>
      <c r="E421" s="18" t="s">
        <v>246</v>
      </c>
      <c r="F421" s="102" t="str">
        <f t="shared" si="8"/>
        <v>PTP200R239154</v>
      </c>
      <c r="G421" s="22">
        <v>837</v>
      </c>
      <c r="H421" s="2">
        <v>3</v>
      </c>
    </row>
    <row r="422" spans="1:8" ht="30" customHeight="1" x14ac:dyDescent="0.25">
      <c r="A422" s="14">
        <v>44971.58869571759</v>
      </c>
      <c r="B422" s="2" t="s">
        <v>66</v>
      </c>
      <c r="C422" s="35" t="s">
        <v>241</v>
      </c>
      <c r="D422" s="28" t="s">
        <v>95</v>
      </c>
      <c r="E422" s="13" t="s">
        <v>240</v>
      </c>
      <c r="F422" s="102" t="str">
        <f t="shared" si="8"/>
        <v>Nincs Adat</v>
      </c>
      <c r="G422" s="2"/>
      <c r="H422" s="2">
        <v>1</v>
      </c>
    </row>
    <row r="423" spans="1:8" ht="30" customHeight="1" x14ac:dyDescent="0.25">
      <c r="A423" s="14">
        <v>44970</v>
      </c>
      <c r="B423" s="2" t="s">
        <v>20</v>
      </c>
      <c r="C423" s="22" t="s">
        <v>368</v>
      </c>
      <c r="D423" s="28" t="s">
        <v>95</v>
      </c>
      <c r="E423" s="13" t="s">
        <v>369</v>
      </c>
      <c r="F423" s="2" t="str">
        <f t="shared" si="8"/>
        <v>EUB09D700832</v>
      </c>
      <c r="G423" s="2">
        <v>1644</v>
      </c>
      <c r="H423" s="2">
        <v>1</v>
      </c>
    </row>
    <row r="424" spans="1:8" ht="30" customHeight="1" x14ac:dyDescent="0.25">
      <c r="A424" s="14">
        <v>44965.609234953707</v>
      </c>
      <c r="B424" s="2" t="s">
        <v>153</v>
      </c>
      <c r="C424" s="21" t="s">
        <v>238</v>
      </c>
      <c r="D424" s="28" t="s">
        <v>95</v>
      </c>
      <c r="E424" s="13" t="s">
        <v>259</v>
      </c>
      <c r="F424" s="102" t="str">
        <f t="shared" si="8"/>
        <v>Nincs Adat</v>
      </c>
      <c r="G424" s="2">
        <v>80</v>
      </c>
      <c r="H424" s="2">
        <v>1</v>
      </c>
    </row>
    <row r="425" spans="1:8" ht="30" customHeight="1" x14ac:dyDescent="0.25">
      <c r="A425" s="14">
        <v>44965.414004166669</v>
      </c>
      <c r="B425" s="2" t="s">
        <v>80</v>
      </c>
      <c r="C425" s="36" t="s">
        <v>244</v>
      </c>
      <c r="D425" s="28" t="s">
        <v>95</v>
      </c>
      <c r="E425" s="13" t="s">
        <v>245</v>
      </c>
      <c r="F425" s="102" t="str">
        <f t="shared" si="8"/>
        <v>PTP200R239154</v>
      </c>
      <c r="G425" s="2">
        <v>835</v>
      </c>
      <c r="H425" s="2">
        <v>1</v>
      </c>
    </row>
    <row r="426" spans="1:8" ht="30" customHeight="1" x14ac:dyDescent="0.25">
      <c r="A426" s="14">
        <v>44965.414004166669</v>
      </c>
      <c r="B426" s="2" t="s">
        <v>79</v>
      </c>
      <c r="C426" s="21" t="s">
        <v>237</v>
      </c>
      <c r="D426" s="28" t="s">
        <v>95</v>
      </c>
      <c r="E426" s="18" t="s">
        <v>242</v>
      </c>
      <c r="F426" s="102" t="str">
        <f t="shared" si="8"/>
        <v>PTP200R239153</v>
      </c>
      <c r="G426" s="22">
        <v>705</v>
      </c>
      <c r="H426" s="2">
        <v>1</v>
      </c>
    </row>
    <row r="427" spans="1:8" ht="30" customHeight="1" x14ac:dyDescent="0.25">
      <c r="A427" s="14">
        <v>44964.453621412038</v>
      </c>
      <c r="B427" s="2" t="s">
        <v>77</v>
      </c>
      <c r="C427" s="21" t="s">
        <v>360</v>
      </c>
      <c r="D427" s="28" t="s">
        <v>95</v>
      </c>
      <c r="E427" s="1" t="s">
        <v>243</v>
      </c>
      <c r="F427" s="102" t="str">
        <f t="shared" si="8"/>
        <v>PTP200R239151</v>
      </c>
      <c r="G427" s="22">
        <v>113</v>
      </c>
      <c r="H427" s="2">
        <v>2</v>
      </c>
    </row>
    <row r="428" spans="1:8" ht="30" customHeight="1" x14ac:dyDescent="0.25">
      <c r="A428" s="14">
        <v>44964.446020254632</v>
      </c>
      <c r="B428" s="2" t="s">
        <v>19</v>
      </c>
      <c r="C428" s="21" t="s">
        <v>239</v>
      </c>
      <c r="D428" s="28" t="s">
        <v>95</v>
      </c>
      <c r="E428" s="13"/>
      <c r="F428" s="102" t="str">
        <f t="shared" si="8"/>
        <v>EUB09D700836</v>
      </c>
      <c r="G428" s="22"/>
      <c r="H428" s="2">
        <v>0</v>
      </c>
    </row>
    <row r="429" spans="1:8" ht="30" customHeight="1" x14ac:dyDescent="0.25">
      <c r="A429" s="14">
        <v>44964.333238888888</v>
      </c>
      <c r="B429" s="2" t="s">
        <v>79</v>
      </c>
      <c r="C429" s="22" t="s">
        <v>231</v>
      </c>
      <c r="D429" s="28" t="s">
        <v>95</v>
      </c>
      <c r="E429" s="18" t="s">
        <v>232</v>
      </c>
      <c r="F429" s="102" t="str">
        <f t="shared" si="8"/>
        <v>PTP200R239153</v>
      </c>
      <c r="G429" s="22">
        <v>690</v>
      </c>
      <c r="H429" s="2">
        <v>2</v>
      </c>
    </row>
    <row r="430" spans="1:8" ht="30" customHeight="1" x14ac:dyDescent="0.25">
      <c r="A430" s="14">
        <v>44964.333238888888</v>
      </c>
      <c r="B430" s="2" t="s">
        <v>78</v>
      </c>
      <c r="C430" s="22" t="s">
        <v>229</v>
      </c>
      <c r="D430" s="28" t="s">
        <v>95</v>
      </c>
      <c r="E430" s="18" t="s">
        <v>230</v>
      </c>
      <c r="F430" s="102" t="str">
        <f t="shared" si="8"/>
        <v>PTP200R239152</v>
      </c>
      <c r="G430" s="22">
        <v>710</v>
      </c>
      <c r="H430" s="2">
        <v>1</v>
      </c>
    </row>
    <row r="431" spans="1:8" ht="30" customHeight="1" x14ac:dyDescent="0.25">
      <c r="A431" s="14">
        <v>44964.333238888888</v>
      </c>
      <c r="B431" s="2" t="s">
        <v>49</v>
      </c>
      <c r="C431" s="22" t="s">
        <v>149</v>
      </c>
      <c r="D431" s="28" t="s">
        <v>95</v>
      </c>
      <c r="E431" s="18" t="s">
        <v>228</v>
      </c>
      <c r="F431" s="102" t="str">
        <f t="shared" si="8"/>
        <v>Nincs Adat</v>
      </c>
      <c r="G431" s="22"/>
      <c r="H431" s="2">
        <v>0</v>
      </c>
    </row>
    <row r="432" spans="1:8" ht="30" customHeight="1" x14ac:dyDescent="0.25">
      <c r="A432" s="14">
        <v>44964.333238888888</v>
      </c>
      <c r="B432" s="2" t="s">
        <v>71</v>
      </c>
      <c r="C432" s="22" t="s">
        <v>149</v>
      </c>
      <c r="D432" s="28" t="s">
        <v>95</v>
      </c>
      <c r="E432" s="18" t="s">
        <v>228</v>
      </c>
      <c r="F432" s="102" t="str">
        <f t="shared" si="8"/>
        <v>Nincs Adat</v>
      </c>
      <c r="G432" s="22"/>
      <c r="H432" s="2">
        <v>0</v>
      </c>
    </row>
    <row r="433" spans="1:8" ht="30" customHeight="1" x14ac:dyDescent="0.25">
      <c r="A433" s="14">
        <v>44964.333238888888</v>
      </c>
      <c r="B433" s="2" t="s">
        <v>53</v>
      </c>
      <c r="C433" s="22" t="s">
        <v>149</v>
      </c>
      <c r="D433" s="28" t="s">
        <v>95</v>
      </c>
      <c r="E433" s="18" t="s">
        <v>228</v>
      </c>
      <c r="F433" s="102" t="str">
        <f t="shared" si="8"/>
        <v>Nincs Adat</v>
      </c>
      <c r="G433" s="22"/>
      <c r="H433" s="2">
        <v>0</v>
      </c>
    </row>
    <row r="434" spans="1:8" ht="30" customHeight="1" x14ac:dyDescent="0.25">
      <c r="A434" s="14">
        <v>44964.333238888888</v>
      </c>
      <c r="B434" s="2" t="s">
        <v>30</v>
      </c>
      <c r="C434" s="22" t="s">
        <v>149</v>
      </c>
      <c r="D434" s="28" t="s">
        <v>95</v>
      </c>
      <c r="E434" s="18" t="s">
        <v>228</v>
      </c>
      <c r="F434" s="102" t="str">
        <f t="shared" si="8"/>
        <v>Nincs Adat</v>
      </c>
      <c r="G434" s="22"/>
      <c r="H434" s="2">
        <v>0</v>
      </c>
    </row>
    <row r="435" spans="1:8" ht="30" customHeight="1" x14ac:dyDescent="0.25">
      <c r="A435" s="14">
        <v>44964.333238888888</v>
      </c>
      <c r="B435" s="2" t="s">
        <v>34</v>
      </c>
      <c r="C435" s="22" t="s">
        <v>149</v>
      </c>
      <c r="D435" s="28" t="s">
        <v>95</v>
      </c>
      <c r="E435" s="18" t="s">
        <v>228</v>
      </c>
      <c r="F435" s="102" t="str">
        <f t="shared" si="8"/>
        <v>Nincs Adat</v>
      </c>
      <c r="G435" s="22"/>
      <c r="H435" s="2">
        <v>0</v>
      </c>
    </row>
    <row r="436" spans="1:8" ht="30" customHeight="1" x14ac:dyDescent="0.25">
      <c r="A436" s="14">
        <v>44964.333238888888</v>
      </c>
      <c r="B436" s="2" t="s">
        <v>60</v>
      </c>
      <c r="C436" s="22" t="s">
        <v>149</v>
      </c>
      <c r="D436" s="28" t="s">
        <v>95</v>
      </c>
      <c r="E436" s="18" t="s">
        <v>228</v>
      </c>
      <c r="F436" s="102" t="str">
        <f t="shared" si="8"/>
        <v>Nincs Adat</v>
      </c>
      <c r="G436" s="22"/>
      <c r="H436" s="2">
        <v>0</v>
      </c>
    </row>
    <row r="437" spans="1:8" ht="30" customHeight="1" x14ac:dyDescent="0.25">
      <c r="A437" s="14">
        <v>44964.333238888888</v>
      </c>
      <c r="B437" s="2" t="s">
        <v>56</v>
      </c>
      <c r="C437" s="22" t="s">
        <v>149</v>
      </c>
      <c r="D437" s="28" t="s">
        <v>95</v>
      </c>
      <c r="E437" s="18" t="s">
        <v>228</v>
      </c>
      <c r="F437" s="102" t="str">
        <f t="shared" si="8"/>
        <v>Nincs Adat</v>
      </c>
      <c r="G437" s="22"/>
      <c r="H437" s="2">
        <v>7</v>
      </c>
    </row>
    <row r="438" spans="1:8" ht="30" customHeight="1" x14ac:dyDescent="0.25">
      <c r="A438" s="14">
        <v>44964.333238888888</v>
      </c>
      <c r="B438" s="2" t="s">
        <v>12</v>
      </c>
      <c r="C438" s="22" t="s">
        <v>226</v>
      </c>
      <c r="D438" s="28" t="s">
        <v>95</v>
      </c>
      <c r="E438" s="18" t="s">
        <v>227</v>
      </c>
      <c r="F438" s="102" t="str">
        <f t="shared" si="8"/>
        <v>EUB09D700267</v>
      </c>
      <c r="G438" s="22">
        <v>507</v>
      </c>
      <c r="H438" s="213">
        <v>1</v>
      </c>
    </row>
    <row r="439" spans="1:8" ht="30" customHeight="1" x14ac:dyDescent="0.25">
      <c r="A439" s="14">
        <v>44964.333238888888</v>
      </c>
      <c r="B439" s="2" t="s">
        <v>25</v>
      </c>
      <c r="C439" s="22" t="s">
        <v>224</v>
      </c>
      <c r="D439" s="28" t="s">
        <v>95</v>
      </c>
      <c r="E439" s="18" t="s">
        <v>225</v>
      </c>
      <c r="F439" s="102" t="str">
        <f t="shared" si="8"/>
        <v>EUB09D700741</v>
      </c>
      <c r="G439" s="22">
        <v>378</v>
      </c>
      <c r="H439" s="2">
        <v>1</v>
      </c>
    </row>
    <row r="440" spans="1:8" x14ac:dyDescent="0.25">
      <c r="A440" s="29">
        <v>44958.493484953702</v>
      </c>
      <c r="B440" s="4" t="s">
        <v>158</v>
      </c>
      <c r="C440" s="22" t="s">
        <v>219</v>
      </c>
      <c r="D440" s="28" t="s">
        <v>95</v>
      </c>
      <c r="E440" s="19" t="s">
        <v>221</v>
      </c>
      <c r="F440" s="102" t="str">
        <f t="shared" si="8"/>
        <v>F24537B00022</v>
      </c>
      <c r="G440" s="22">
        <v>2725</v>
      </c>
      <c r="H440" s="2">
        <v>2</v>
      </c>
    </row>
    <row r="441" spans="1:8" ht="75" x14ac:dyDescent="0.25">
      <c r="A441" s="3">
        <v>44958.493331712962</v>
      </c>
      <c r="B441" s="2" t="s">
        <v>157</v>
      </c>
      <c r="C441" s="21" t="s">
        <v>218</v>
      </c>
      <c r="D441" s="28" t="s">
        <v>95</v>
      </c>
      <c r="E441" s="39" t="s">
        <v>233</v>
      </c>
      <c r="F441" s="102" t="str">
        <f t="shared" si="8"/>
        <v>F24537B00021</v>
      </c>
      <c r="G441" s="21"/>
      <c r="H441" s="2"/>
    </row>
    <row r="442" spans="1:8" x14ac:dyDescent="0.25">
      <c r="A442" s="3">
        <v>44957.607435185186</v>
      </c>
      <c r="B442" s="2" t="s">
        <v>21</v>
      </c>
      <c r="C442" s="21" t="s">
        <v>173</v>
      </c>
      <c r="D442" s="28" t="s">
        <v>95</v>
      </c>
      <c r="E442" s="13" t="s">
        <v>223</v>
      </c>
      <c r="F442" s="102" t="str">
        <f t="shared" si="8"/>
        <v>EUB09D700842</v>
      </c>
      <c r="G442" s="21">
        <v>1155</v>
      </c>
      <c r="H442" s="2">
        <v>2</v>
      </c>
    </row>
    <row r="443" spans="1:8" x14ac:dyDescent="0.25">
      <c r="A443" s="14">
        <v>44956.426960416669</v>
      </c>
      <c r="B443" s="2" t="s">
        <v>6</v>
      </c>
      <c r="C443" s="22" t="s">
        <v>216</v>
      </c>
      <c r="D443" s="28" t="s">
        <v>95</v>
      </c>
      <c r="E443" s="18" t="s">
        <v>235</v>
      </c>
      <c r="F443" s="102" t="str">
        <f t="shared" si="8"/>
        <v>EUB09D700742</v>
      </c>
      <c r="G443" s="22"/>
      <c r="H443" s="2"/>
    </row>
    <row r="444" spans="1:8" x14ac:dyDescent="0.25">
      <c r="A444" s="14">
        <v>44956.356326388886</v>
      </c>
      <c r="B444" s="2" t="s">
        <v>77</v>
      </c>
      <c r="C444" s="22" t="s">
        <v>217</v>
      </c>
      <c r="D444" s="28" t="s">
        <v>95</v>
      </c>
      <c r="E444" s="18" t="s">
        <v>222</v>
      </c>
      <c r="F444" s="102" t="str">
        <f t="shared" si="8"/>
        <v>PTP200R239151</v>
      </c>
      <c r="G444" s="22">
        <v>109</v>
      </c>
      <c r="H444" s="2">
        <v>1</v>
      </c>
    </row>
    <row r="445" spans="1:8" x14ac:dyDescent="0.25">
      <c r="A445" s="14">
        <v>44955.608960879632</v>
      </c>
      <c r="B445" s="2" t="s">
        <v>157</v>
      </c>
      <c r="C445" s="35" t="s">
        <v>300</v>
      </c>
      <c r="D445" s="28" t="s">
        <v>95</v>
      </c>
      <c r="E445" s="18" t="s">
        <v>215</v>
      </c>
      <c r="F445" s="102" t="str">
        <f t="shared" si="8"/>
        <v>F24537B00021</v>
      </c>
      <c r="G445" s="22">
        <v>5462</v>
      </c>
      <c r="H445" s="2">
        <v>2</v>
      </c>
    </row>
    <row r="446" spans="1:8" x14ac:dyDescent="0.25">
      <c r="A446" s="14">
        <v>44955.607833101851</v>
      </c>
      <c r="B446" s="2" t="s">
        <v>212</v>
      </c>
      <c r="C446" s="22" t="s">
        <v>213</v>
      </c>
      <c r="D446" s="28" t="s">
        <v>95</v>
      </c>
      <c r="E446" s="18" t="s">
        <v>214</v>
      </c>
      <c r="F446" s="102" t="str">
        <f t="shared" si="8"/>
        <v>Nincs Adat</v>
      </c>
      <c r="G446" s="22"/>
      <c r="H446" s="2">
        <v>3</v>
      </c>
    </row>
    <row r="447" spans="1:8" x14ac:dyDescent="0.25">
      <c r="A447" s="14">
        <v>44955.605423958332</v>
      </c>
      <c r="B447" s="2" t="s">
        <v>18</v>
      </c>
      <c r="C447" s="22" t="s">
        <v>209</v>
      </c>
      <c r="D447" s="28" t="s">
        <v>95</v>
      </c>
      <c r="E447" s="18" t="s">
        <v>208</v>
      </c>
      <c r="F447" s="102" t="str">
        <f t="shared" si="8"/>
        <v>EUB09D700992</v>
      </c>
      <c r="G447" s="22">
        <v>1963</v>
      </c>
      <c r="H447" s="2">
        <v>2</v>
      </c>
    </row>
    <row r="448" spans="1:8" x14ac:dyDescent="0.25">
      <c r="A448" s="14">
        <v>44951.341099537036</v>
      </c>
      <c r="B448" s="2" t="s">
        <v>17</v>
      </c>
      <c r="C448" s="22" t="s">
        <v>202</v>
      </c>
      <c r="D448" s="28" t="s">
        <v>95</v>
      </c>
      <c r="E448" s="18" t="s">
        <v>203</v>
      </c>
      <c r="F448" s="102" t="str">
        <f t="shared" si="8"/>
        <v>EUB09D700852</v>
      </c>
      <c r="G448" s="42">
        <v>1563</v>
      </c>
      <c r="H448" s="2">
        <v>2</v>
      </c>
    </row>
    <row r="449" spans="1:8" x14ac:dyDescent="0.25">
      <c r="A449" s="14">
        <v>44950.55785138889</v>
      </c>
      <c r="B449" s="2" t="s">
        <v>18</v>
      </c>
      <c r="C449" s="22" t="s">
        <v>211</v>
      </c>
      <c r="D449" s="28" t="s">
        <v>95</v>
      </c>
      <c r="E449" s="18" t="s">
        <v>206</v>
      </c>
      <c r="F449" s="102" t="str">
        <f t="shared" si="8"/>
        <v>EUB09D700992</v>
      </c>
      <c r="G449" s="22">
        <v>1994</v>
      </c>
      <c r="H449" s="2">
        <v>1</v>
      </c>
    </row>
    <row r="450" spans="1:8" x14ac:dyDescent="0.25">
      <c r="A450" s="14">
        <v>44949.612853935185</v>
      </c>
      <c r="B450" s="2" t="s">
        <v>9</v>
      </c>
      <c r="C450" s="22" t="s">
        <v>200</v>
      </c>
      <c r="D450" s="28" t="s">
        <v>95</v>
      </c>
      <c r="E450" s="18" t="s">
        <v>234</v>
      </c>
      <c r="F450" s="102" t="str">
        <f t="shared" si="8"/>
        <v>EUB09D700745</v>
      </c>
      <c r="G450" s="22"/>
      <c r="H450" s="2"/>
    </row>
    <row r="451" spans="1:8" x14ac:dyDescent="0.25">
      <c r="A451" s="14">
        <v>44949.445166898149</v>
      </c>
      <c r="B451" s="2" t="s">
        <v>11</v>
      </c>
      <c r="C451" s="22" t="s">
        <v>205</v>
      </c>
      <c r="D451" s="28" t="s">
        <v>95</v>
      </c>
      <c r="E451" s="18" t="s">
        <v>204</v>
      </c>
      <c r="F451" s="102" t="str">
        <f t="shared" si="8"/>
        <v>EUB09D700850</v>
      </c>
      <c r="G451" s="22">
        <v>1664</v>
      </c>
      <c r="H451" s="2">
        <v>3</v>
      </c>
    </row>
    <row r="452" spans="1:8" x14ac:dyDescent="0.25">
      <c r="A452" s="14">
        <v>44946.582812384258</v>
      </c>
      <c r="B452" s="2" t="s">
        <v>80</v>
      </c>
      <c r="C452" s="22" t="s">
        <v>197</v>
      </c>
      <c r="D452" s="28" t="s">
        <v>95</v>
      </c>
      <c r="E452" s="18" t="s">
        <v>210</v>
      </c>
      <c r="F452" s="102" t="str">
        <f t="shared" si="8"/>
        <v>PTP200R239154</v>
      </c>
      <c r="G452" s="22">
        <v>782</v>
      </c>
      <c r="H452" s="2">
        <v>1</v>
      </c>
    </row>
    <row r="453" spans="1:8" x14ac:dyDescent="0.25">
      <c r="A453" s="14">
        <v>44946.456085300924</v>
      </c>
      <c r="B453" s="2" t="s">
        <v>194</v>
      </c>
      <c r="C453" s="22" t="s">
        <v>195</v>
      </c>
      <c r="D453" s="28" t="s">
        <v>95</v>
      </c>
      <c r="E453" s="18" t="s">
        <v>201</v>
      </c>
      <c r="F453" s="102" t="str">
        <f t="shared" si="8"/>
        <v>PDP-242697</v>
      </c>
      <c r="G453" s="22"/>
      <c r="H453" s="2">
        <v>1</v>
      </c>
    </row>
    <row r="454" spans="1:8" x14ac:dyDescent="0.25">
      <c r="A454" s="14">
        <v>44944</v>
      </c>
      <c r="B454" s="2" t="s">
        <v>157</v>
      </c>
      <c r="C454" s="22" t="s">
        <v>192</v>
      </c>
      <c r="D454" s="28" t="s">
        <v>95</v>
      </c>
      <c r="E454" s="18" t="s">
        <v>193</v>
      </c>
      <c r="F454" s="102" t="str">
        <f t="shared" si="8"/>
        <v>F24537B00021</v>
      </c>
      <c r="G454" s="22">
        <v>5455</v>
      </c>
      <c r="H454" s="2">
        <v>1</v>
      </c>
    </row>
    <row r="455" spans="1:8" x14ac:dyDescent="0.25">
      <c r="A455" s="14">
        <v>44944</v>
      </c>
      <c r="B455" s="4" t="s">
        <v>18</v>
      </c>
      <c r="C455" s="22" t="s">
        <v>189</v>
      </c>
      <c r="D455" s="28" t="s">
        <v>95</v>
      </c>
      <c r="E455" s="18" t="s">
        <v>198</v>
      </c>
      <c r="F455" s="102" t="str">
        <f t="shared" si="8"/>
        <v>EUB09D700992</v>
      </c>
      <c r="G455" s="22">
        <v>1963</v>
      </c>
      <c r="H455" s="2">
        <v>2</v>
      </c>
    </row>
    <row r="456" spans="1:8" x14ac:dyDescent="0.25">
      <c r="A456" s="14">
        <v>44942</v>
      </c>
      <c r="B456" s="4" t="s">
        <v>184</v>
      </c>
      <c r="C456" s="22" t="s">
        <v>185</v>
      </c>
      <c r="D456" s="28" t="s">
        <v>95</v>
      </c>
      <c r="E456" s="18" t="s">
        <v>196</v>
      </c>
      <c r="F456" s="102" t="str">
        <f t="shared" si="8"/>
        <v>Nincs Adat</v>
      </c>
      <c r="G456" s="22"/>
      <c r="H456" s="2">
        <v>1</v>
      </c>
    </row>
    <row r="457" spans="1:8" x14ac:dyDescent="0.25">
      <c r="A457" s="15">
        <v>44942</v>
      </c>
      <c r="B457" s="2" t="s">
        <v>77</v>
      </c>
      <c r="C457" s="22" t="s">
        <v>188</v>
      </c>
      <c r="D457" s="28" t="s">
        <v>95</v>
      </c>
      <c r="E457" s="10" t="s">
        <v>187</v>
      </c>
      <c r="F457" s="102" t="str">
        <f t="shared" si="8"/>
        <v>PTP200R239151</v>
      </c>
      <c r="G457" s="22">
        <v>93</v>
      </c>
      <c r="H457" s="2">
        <v>0.5</v>
      </c>
    </row>
    <row r="458" spans="1:8" x14ac:dyDescent="0.25">
      <c r="A458" s="15">
        <v>44942</v>
      </c>
      <c r="B458" s="2" t="s">
        <v>77</v>
      </c>
      <c r="C458" s="21" t="s">
        <v>179</v>
      </c>
      <c r="D458" s="28" t="s">
        <v>95</v>
      </c>
      <c r="E458" s="10" t="s">
        <v>187</v>
      </c>
      <c r="F458" s="102" t="str">
        <f t="shared" si="8"/>
        <v>PTP200R239151</v>
      </c>
      <c r="G458" s="21">
        <v>93</v>
      </c>
      <c r="H458" s="2">
        <v>0.5</v>
      </c>
    </row>
    <row r="459" spans="1:8" x14ac:dyDescent="0.25">
      <c r="A459" s="15">
        <v>44942</v>
      </c>
      <c r="B459" s="2" t="s">
        <v>21</v>
      </c>
      <c r="C459" s="21" t="s">
        <v>186</v>
      </c>
      <c r="D459" s="28" t="s">
        <v>95</v>
      </c>
      <c r="E459" s="10" t="s">
        <v>191</v>
      </c>
      <c r="F459" s="102" t="str">
        <f t="shared" si="8"/>
        <v>EUB09D700842</v>
      </c>
      <c r="G459" s="21"/>
      <c r="H459" s="2"/>
    </row>
    <row r="460" spans="1:8" x14ac:dyDescent="0.25">
      <c r="A460" s="15">
        <v>44939</v>
      </c>
      <c r="B460" s="2" t="s">
        <v>78</v>
      </c>
      <c r="C460" s="21" t="s">
        <v>179</v>
      </c>
      <c r="D460" s="28" t="s">
        <v>95</v>
      </c>
      <c r="E460" s="10" t="s">
        <v>182</v>
      </c>
      <c r="F460" s="102" t="str">
        <f t="shared" si="8"/>
        <v>PTP200R239152</v>
      </c>
      <c r="G460" s="21">
        <v>665</v>
      </c>
      <c r="H460" s="2">
        <v>2</v>
      </c>
    </row>
    <row r="461" spans="1:8" ht="30" x14ac:dyDescent="0.25">
      <c r="A461" s="15">
        <v>44939</v>
      </c>
      <c r="B461" s="2" t="s">
        <v>2</v>
      </c>
      <c r="C461" s="21" t="s">
        <v>180</v>
      </c>
      <c r="D461" s="28" t="s">
        <v>95</v>
      </c>
      <c r="E461" s="20" t="s">
        <v>183</v>
      </c>
      <c r="F461" s="102" t="str">
        <f t="shared" si="8"/>
        <v>JA2N1E700427</v>
      </c>
      <c r="G461" s="21"/>
      <c r="H461" s="2"/>
    </row>
    <row r="462" spans="1:8" x14ac:dyDescent="0.25">
      <c r="A462" s="15">
        <v>44939</v>
      </c>
      <c r="B462" s="2" t="s">
        <v>58</v>
      </c>
      <c r="C462" s="21" t="s">
        <v>181</v>
      </c>
      <c r="D462" s="28" t="s">
        <v>95</v>
      </c>
      <c r="E462" s="10" t="s">
        <v>268</v>
      </c>
      <c r="F462" s="102" t="str">
        <f t="shared" si="8"/>
        <v>Nincs Adat</v>
      </c>
      <c r="G462" s="21"/>
      <c r="H462" s="2"/>
    </row>
    <row r="463" spans="1:8" x14ac:dyDescent="0.25">
      <c r="A463" s="15">
        <v>44938</v>
      </c>
      <c r="B463" s="2" t="s">
        <v>7</v>
      </c>
      <c r="C463" s="21" t="s">
        <v>178</v>
      </c>
      <c r="D463" s="28" t="s">
        <v>95</v>
      </c>
      <c r="E463" s="10"/>
      <c r="F463" s="102" t="str">
        <f t="shared" si="8"/>
        <v>EUB09D700743</v>
      </c>
      <c r="G463" s="23"/>
      <c r="H463" s="2"/>
    </row>
    <row r="464" spans="1:8" x14ac:dyDescent="0.25">
      <c r="A464" s="15">
        <v>44938</v>
      </c>
      <c r="B464" s="2" t="s">
        <v>157</v>
      </c>
      <c r="C464" s="21" t="s">
        <v>177</v>
      </c>
      <c r="D464" s="28" t="s">
        <v>95</v>
      </c>
      <c r="E464" s="10" t="s">
        <v>199</v>
      </c>
      <c r="F464" s="102" t="str">
        <f t="shared" si="8"/>
        <v>F24537B00021</v>
      </c>
      <c r="G464" s="21">
        <v>1240</v>
      </c>
      <c r="H464" s="2" t="s">
        <v>1047</v>
      </c>
    </row>
    <row r="465" spans="1:8" x14ac:dyDescent="0.25">
      <c r="A465" s="15">
        <v>44935</v>
      </c>
      <c r="B465" s="2" t="s">
        <v>110</v>
      </c>
      <c r="C465" s="21" t="s">
        <v>167</v>
      </c>
      <c r="D465" s="28" t="s">
        <v>95</v>
      </c>
      <c r="E465" s="10" t="s">
        <v>236</v>
      </c>
      <c r="F465" s="102" t="str">
        <f t="shared" si="8"/>
        <v>Nincs Adat</v>
      </c>
      <c r="G465" s="21"/>
      <c r="H465" s="2"/>
    </row>
    <row r="466" spans="1:8" ht="30" x14ac:dyDescent="0.25">
      <c r="A466" s="15">
        <v>44935</v>
      </c>
      <c r="B466" s="2" t="s">
        <v>20</v>
      </c>
      <c r="C466" s="36" t="s">
        <v>168</v>
      </c>
      <c r="D466" s="28" t="s">
        <v>95</v>
      </c>
      <c r="E466" s="10" t="s">
        <v>169</v>
      </c>
      <c r="F466" s="102" t="str">
        <f t="shared" si="8"/>
        <v>EUB09D700832</v>
      </c>
      <c r="G466" s="21">
        <v>1240</v>
      </c>
      <c r="H466" s="2">
        <v>2</v>
      </c>
    </row>
    <row r="467" spans="1:8" x14ac:dyDescent="0.25">
      <c r="A467" s="3">
        <v>44935</v>
      </c>
      <c r="B467" s="2" t="s">
        <v>24</v>
      </c>
      <c r="C467" s="21" t="s">
        <v>170</v>
      </c>
      <c r="D467" s="28" t="s">
        <v>95</v>
      </c>
      <c r="E467" s="13" t="s">
        <v>172</v>
      </c>
      <c r="F467" s="102" t="str">
        <f t="shared" si="8"/>
        <v>EUB09D700704</v>
      </c>
      <c r="G467" s="21">
        <v>851</v>
      </c>
      <c r="H467" s="2">
        <v>0</v>
      </c>
    </row>
    <row r="468" spans="1:8" x14ac:dyDescent="0.25">
      <c r="A468" s="14">
        <v>44935</v>
      </c>
      <c r="B468" s="4" t="s">
        <v>25</v>
      </c>
      <c r="C468" s="22" t="s">
        <v>171</v>
      </c>
      <c r="D468" s="28" t="s">
        <v>95</v>
      </c>
      <c r="E468" s="18" t="s">
        <v>172</v>
      </c>
      <c r="F468" s="102" t="str">
        <f t="shared" si="8"/>
        <v>EUB09D700741</v>
      </c>
      <c r="G468" s="22">
        <v>851</v>
      </c>
      <c r="H468" s="2">
        <v>3</v>
      </c>
    </row>
    <row r="469" spans="1:8" x14ac:dyDescent="0.25">
      <c r="A469" s="15">
        <v>44935</v>
      </c>
      <c r="B469" s="2" t="s">
        <v>25</v>
      </c>
      <c r="C469" s="21" t="s">
        <v>173</v>
      </c>
      <c r="D469" s="28" t="s">
        <v>95</v>
      </c>
      <c r="E469" s="10" t="s">
        <v>174</v>
      </c>
      <c r="F469" s="102" t="str">
        <f t="shared" si="8"/>
        <v>EUB09D700741</v>
      </c>
      <c r="G469" s="21">
        <v>231</v>
      </c>
      <c r="H469" s="2">
        <v>1</v>
      </c>
    </row>
    <row r="470" spans="1:8" x14ac:dyDescent="0.25">
      <c r="A470" s="15">
        <v>44935</v>
      </c>
      <c r="B470" s="2" t="s">
        <v>19</v>
      </c>
      <c r="C470" s="21" t="s">
        <v>175</v>
      </c>
      <c r="D470" s="28" t="s">
        <v>95</v>
      </c>
      <c r="E470" s="12" t="s">
        <v>176</v>
      </c>
      <c r="F470" s="102" t="str">
        <f t="shared" si="8"/>
        <v>EUB09D700836</v>
      </c>
      <c r="G470" s="2">
        <v>1535</v>
      </c>
      <c r="H470" s="2">
        <v>2</v>
      </c>
    </row>
    <row r="471" spans="1:8" x14ac:dyDescent="0.25">
      <c r="A471" s="15">
        <v>44932</v>
      </c>
      <c r="B471" s="2" t="s">
        <v>18</v>
      </c>
      <c r="C471" s="21" t="s">
        <v>166</v>
      </c>
      <c r="D471" s="28" t="s">
        <v>95</v>
      </c>
      <c r="E471" s="13" t="s">
        <v>190</v>
      </c>
      <c r="F471" s="102" t="str">
        <f t="shared" si="8"/>
        <v>EUB09D700992</v>
      </c>
      <c r="G471" s="2">
        <v>1928</v>
      </c>
      <c r="H471" s="2">
        <v>14</v>
      </c>
    </row>
    <row r="472" spans="1:8" x14ac:dyDescent="0.25">
      <c r="A472" s="15">
        <v>44931</v>
      </c>
      <c r="B472" s="2" t="s">
        <v>18</v>
      </c>
      <c r="C472" s="21" t="s">
        <v>151</v>
      </c>
      <c r="D472" s="28" t="s">
        <v>95</v>
      </c>
      <c r="E472" s="18" t="s">
        <v>152</v>
      </c>
      <c r="F472" s="102" t="str">
        <f t="shared" si="8"/>
        <v>EUB09D700992</v>
      </c>
      <c r="G472" s="2"/>
      <c r="H472" s="2">
        <v>1</v>
      </c>
    </row>
    <row r="473" spans="1:8" x14ac:dyDescent="0.25">
      <c r="A473" s="15">
        <v>44931</v>
      </c>
      <c r="B473" s="2" t="s">
        <v>153</v>
      </c>
      <c r="C473" s="36" t="s">
        <v>154</v>
      </c>
      <c r="D473" s="28" t="s">
        <v>95</v>
      </c>
      <c r="E473" s="10" t="s">
        <v>155</v>
      </c>
      <c r="F473" s="102" t="str">
        <f t="shared" si="8"/>
        <v>Nincs Adat</v>
      </c>
      <c r="G473" s="21"/>
      <c r="H473" s="2">
        <v>2</v>
      </c>
    </row>
    <row r="474" spans="1:8" x14ac:dyDescent="0.25">
      <c r="A474" s="15">
        <v>44931</v>
      </c>
      <c r="B474" s="2" t="s">
        <v>157</v>
      </c>
      <c r="C474" s="37" t="s">
        <v>159</v>
      </c>
      <c r="D474" s="28" t="s">
        <v>95</v>
      </c>
      <c r="E474" s="12" t="s">
        <v>160</v>
      </c>
      <c r="F474" s="102" t="str">
        <f t="shared" si="8"/>
        <v>F24537B00021</v>
      </c>
      <c r="G474" s="21">
        <v>5449</v>
      </c>
      <c r="H474" s="2">
        <v>2</v>
      </c>
    </row>
    <row r="475" spans="1:8" ht="30" x14ac:dyDescent="0.25">
      <c r="A475" s="15">
        <v>44931</v>
      </c>
      <c r="B475" s="2" t="s">
        <v>162</v>
      </c>
      <c r="C475" s="36" t="s">
        <v>164</v>
      </c>
      <c r="D475" s="28" t="s">
        <v>95</v>
      </c>
      <c r="E475" s="13"/>
      <c r="F475" s="102" t="str">
        <f t="shared" si="8"/>
        <v>Nincs Adat</v>
      </c>
      <c r="G475" s="21"/>
      <c r="H475" s="2"/>
    </row>
    <row r="476" spans="1:8" x14ac:dyDescent="0.25">
      <c r="A476" s="15">
        <v>44931</v>
      </c>
      <c r="B476" s="2" t="s">
        <v>144</v>
      </c>
      <c r="C476" s="22" t="s">
        <v>163</v>
      </c>
      <c r="D476" s="28" t="s">
        <v>95</v>
      </c>
      <c r="E476" s="18" t="s">
        <v>261</v>
      </c>
      <c r="F476" s="102" t="str">
        <f t="shared" si="8"/>
        <v>Nincs Adat</v>
      </c>
      <c r="G476" s="44">
        <v>2418</v>
      </c>
      <c r="H476" s="2">
        <v>2</v>
      </c>
    </row>
    <row r="477" spans="1:8" x14ac:dyDescent="0.25">
      <c r="A477" s="3">
        <v>44931</v>
      </c>
      <c r="B477" s="2" t="s">
        <v>24</v>
      </c>
      <c r="C477" s="21" t="s">
        <v>165</v>
      </c>
      <c r="D477" s="28" t="s">
        <v>95</v>
      </c>
      <c r="E477" s="13" t="s">
        <v>172</v>
      </c>
      <c r="F477" s="102" t="str">
        <f t="shared" si="8"/>
        <v>EUB09D700704</v>
      </c>
      <c r="G477" s="21">
        <v>851</v>
      </c>
      <c r="H477" s="2">
        <v>3</v>
      </c>
    </row>
    <row r="478" spans="1:8" x14ac:dyDescent="0.25">
      <c r="A478" s="14">
        <v>44930</v>
      </c>
      <c r="B478" s="4" t="s">
        <v>74</v>
      </c>
      <c r="C478" s="35" t="s">
        <v>149</v>
      </c>
      <c r="D478" s="28" t="s">
        <v>95</v>
      </c>
      <c r="E478" s="18" t="s">
        <v>150</v>
      </c>
      <c r="F478" s="102" t="str">
        <f t="shared" si="8"/>
        <v>Nincs Adat</v>
      </c>
      <c r="G478" s="22"/>
      <c r="H478" s="2">
        <v>0.5</v>
      </c>
    </row>
    <row r="479" spans="1:8" x14ac:dyDescent="0.25">
      <c r="A479" s="15">
        <v>44930</v>
      </c>
      <c r="B479" s="2" t="s">
        <v>69</v>
      </c>
      <c r="C479" s="36" t="s">
        <v>149</v>
      </c>
      <c r="D479" s="28" t="s">
        <v>95</v>
      </c>
      <c r="E479" s="10" t="s">
        <v>150</v>
      </c>
      <c r="F479" s="102" t="str">
        <f t="shared" si="8"/>
        <v>Nincs Adat</v>
      </c>
      <c r="G479" s="21"/>
      <c r="H479" s="2">
        <v>0.5</v>
      </c>
    </row>
    <row r="480" spans="1:8" x14ac:dyDescent="0.25">
      <c r="A480" s="3">
        <v>44930</v>
      </c>
      <c r="B480" s="2" t="s">
        <v>41</v>
      </c>
      <c r="C480" s="36" t="s">
        <v>149</v>
      </c>
      <c r="D480" s="28" t="s">
        <v>95</v>
      </c>
      <c r="E480" s="13" t="s">
        <v>150</v>
      </c>
      <c r="F480" s="102" t="str">
        <f t="shared" si="8"/>
        <v>Nincs Adat</v>
      </c>
      <c r="G480" s="21"/>
      <c r="H480" s="2">
        <v>0.5</v>
      </c>
    </row>
    <row r="481" spans="1:8" x14ac:dyDescent="0.25">
      <c r="A481" s="14">
        <v>44930</v>
      </c>
      <c r="B481" s="4" t="s">
        <v>71</v>
      </c>
      <c r="C481" s="35" t="s">
        <v>149</v>
      </c>
      <c r="D481" s="28" t="s">
        <v>95</v>
      </c>
      <c r="E481" s="18" t="s">
        <v>150</v>
      </c>
      <c r="F481" s="102" t="str">
        <f t="shared" si="8"/>
        <v>Nincs Adat</v>
      </c>
      <c r="G481" s="22"/>
      <c r="H481" s="2">
        <v>0.5</v>
      </c>
    </row>
    <row r="482" spans="1:8" x14ac:dyDescent="0.25">
      <c r="A482" s="15">
        <v>44930</v>
      </c>
      <c r="B482" s="2" t="s">
        <v>72</v>
      </c>
      <c r="C482" s="36" t="s">
        <v>149</v>
      </c>
      <c r="D482" s="28" t="s">
        <v>95</v>
      </c>
      <c r="E482" s="10" t="s">
        <v>150</v>
      </c>
      <c r="F482" s="102" t="str">
        <f t="shared" si="8"/>
        <v>Nincs Adat</v>
      </c>
      <c r="G482" s="21"/>
      <c r="H482" s="2">
        <v>0.5</v>
      </c>
    </row>
    <row r="483" spans="1:8" x14ac:dyDescent="0.25">
      <c r="A483" s="15">
        <v>44930</v>
      </c>
      <c r="B483" s="2" t="s">
        <v>45</v>
      </c>
      <c r="C483" s="36" t="s">
        <v>149</v>
      </c>
      <c r="D483" s="28" t="s">
        <v>95</v>
      </c>
      <c r="E483" s="10" t="s">
        <v>150</v>
      </c>
      <c r="F483" s="102" t="str">
        <f t="shared" ref="F483:F532" si="9">IFERROR(VLOOKUP(B483,targlist02,3,0),"Nincs Adat")</f>
        <v>Nincs Adat</v>
      </c>
      <c r="G483" s="21"/>
      <c r="H483" s="2">
        <v>0.5</v>
      </c>
    </row>
    <row r="484" spans="1:8" x14ac:dyDescent="0.25">
      <c r="A484" s="16">
        <v>44930</v>
      </c>
      <c r="B484" s="8" t="s">
        <v>48</v>
      </c>
      <c r="C484" s="37" t="s">
        <v>149</v>
      </c>
      <c r="D484" s="28" t="s">
        <v>95</v>
      </c>
      <c r="E484" s="12" t="s">
        <v>150</v>
      </c>
      <c r="F484" s="102" t="str">
        <f t="shared" si="9"/>
        <v>Nincs Adat</v>
      </c>
      <c r="G484" s="21"/>
      <c r="H484" s="2">
        <v>0.5</v>
      </c>
    </row>
    <row r="485" spans="1:8" x14ac:dyDescent="0.25">
      <c r="A485" s="15">
        <v>44930</v>
      </c>
      <c r="B485" s="2" t="s">
        <v>42</v>
      </c>
      <c r="C485" s="36" t="s">
        <v>149</v>
      </c>
      <c r="D485" s="28" t="s">
        <v>95</v>
      </c>
      <c r="E485" s="10" t="s">
        <v>150</v>
      </c>
      <c r="F485" s="102" t="str">
        <f t="shared" si="9"/>
        <v>Nincs Adat</v>
      </c>
      <c r="G485" s="21"/>
      <c r="H485" s="2">
        <v>0.5</v>
      </c>
    </row>
    <row r="486" spans="1:8" x14ac:dyDescent="0.25">
      <c r="A486" s="15">
        <v>44930</v>
      </c>
      <c r="B486" s="2" t="s">
        <v>75</v>
      </c>
      <c r="C486" s="36" t="s">
        <v>149</v>
      </c>
      <c r="D486" s="28" t="s">
        <v>95</v>
      </c>
      <c r="E486" s="10" t="s">
        <v>150</v>
      </c>
      <c r="F486" s="102" t="str">
        <f t="shared" si="9"/>
        <v>Nincs Adat</v>
      </c>
      <c r="G486" s="21"/>
      <c r="H486" s="2">
        <v>0.5</v>
      </c>
    </row>
    <row r="487" spans="1:8" x14ac:dyDescent="0.25">
      <c r="A487" s="15">
        <v>44930</v>
      </c>
      <c r="B487" s="2" t="s">
        <v>68</v>
      </c>
      <c r="C487" s="36" t="s">
        <v>149</v>
      </c>
      <c r="D487" s="28" t="s">
        <v>95</v>
      </c>
      <c r="E487" s="10" t="s">
        <v>150</v>
      </c>
      <c r="F487" s="102" t="str">
        <f t="shared" si="9"/>
        <v>Nincs Adat</v>
      </c>
      <c r="G487" s="21"/>
      <c r="H487" s="2">
        <v>0.5</v>
      </c>
    </row>
    <row r="488" spans="1:8" x14ac:dyDescent="0.25">
      <c r="A488" s="15">
        <v>44930</v>
      </c>
      <c r="B488" s="2" t="s">
        <v>29</v>
      </c>
      <c r="C488" s="37" t="s">
        <v>149</v>
      </c>
      <c r="D488" s="28" t="s">
        <v>95</v>
      </c>
      <c r="E488" s="12" t="s">
        <v>150</v>
      </c>
      <c r="F488" s="102" t="str">
        <f t="shared" si="9"/>
        <v>Nincs Adat</v>
      </c>
      <c r="G488" s="21"/>
      <c r="H488" s="2">
        <v>0.5</v>
      </c>
    </row>
    <row r="489" spans="1:8" x14ac:dyDescent="0.25">
      <c r="A489" s="15">
        <v>44922</v>
      </c>
      <c r="B489" s="2" t="s">
        <v>5</v>
      </c>
      <c r="C489" s="21" t="s">
        <v>102</v>
      </c>
      <c r="D489" s="28" t="s">
        <v>95</v>
      </c>
      <c r="E489" s="13" t="s">
        <v>383</v>
      </c>
      <c r="F489" s="102" t="str">
        <f t="shared" si="9"/>
        <v>JAG2N1E701603</v>
      </c>
      <c r="G489" s="21">
        <v>272</v>
      </c>
      <c r="H489" s="2">
        <v>1</v>
      </c>
    </row>
    <row r="490" spans="1:8" x14ac:dyDescent="0.25">
      <c r="A490" s="3">
        <v>44922</v>
      </c>
      <c r="B490" s="2" t="s">
        <v>14</v>
      </c>
      <c r="C490" s="22" t="s">
        <v>102</v>
      </c>
      <c r="D490" s="28" t="s">
        <v>95</v>
      </c>
      <c r="E490" s="19" t="s">
        <v>288</v>
      </c>
      <c r="F490" s="102" t="str">
        <f t="shared" si="9"/>
        <v>EUB09D700269</v>
      </c>
      <c r="G490" s="21"/>
      <c r="H490" s="2">
        <v>1</v>
      </c>
    </row>
    <row r="491" spans="1:8" x14ac:dyDescent="0.25">
      <c r="A491" s="14">
        <v>44922</v>
      </c>
      <c r="B491" s="4" t="s">
        <v>20</v>
      </c>
      <c r="C491" s="22" t="s">
        <v>102</v>
      </c>
      <c r="D491" s="28" t="s">
        <v>95</v>
      </c>
      <c r="E491" s="18" t="s">
        <v>286</v>
      </c>
      <c r="F491" s="102" t="str">
        <f t="shared" si="9"/>
        <v>EUB09D700832</v>
      </c>
      <c r="G491" s="22"/>
      <c r="H491" s="2">
        <v>1</v>
      </c>
    </row>
    <row r="492" spans="1:8" x14ac:dyDescent="0.25">
      <c r="A492" s="3">
        <v>44922</v>
      </c>
      <c r="B492" s="2" t="s">
        <v>15</v>
      </c>
      <c r="C492" s="21" t="s">
        <v>102</v>
      </c>
      <c r="D492" s="28" t="s">
        <v>95</v>
      </c>
      <c r="E492" s="13" t="s">
        <v>367</v>
      </c>
      <c r="F492" s="102" t="str">
        <f t="shared" si="9"/>
        <v>EUB09D700705</v>
      </c>
      <c r="G492" s="22">
        <v>479</v>
      </c>
      <c r="H492" s="2">
        <v>1</v>
      </c>
    </row>
    <row r="493" spans="1:8" x14ac:dyDescent="0.25">
      <c r="A493" s="14">
        <v>44922</v>
      </c>
      <c r="B493" s="4" t="s">
        <v>77</v>
      </c>
      <c r="C493" s="22" t="s">
        <v>147</v>
      </c>
      <c r="D493" s="28" t="s">
        <v>95</v>
      </c>
      <c r="E493" s="18" t="s">
        <v>161</v>
      </c>
      <c r="F493" s="102" t="str">
        <f t="shared" si="9"/>
        <v>PTP200R239151</v>
      </c>
      <c r="G493" s="2">
        <v>73</v>
      </c>
      <c r="H493" s="2">
        <v>2</v>
      </c>
    </row>
    <row r="494" spans="1:8" x14ac:dyDescent="0.25">
      <c r="A494" s="3">
        <v>44922</v>
      </c>
      <c r="B494" s="2" t="s">
        <v>144</v>
      </c>
      <c r="C494" s="21" t="s">
        <v>146</v>
      </c>
      <c r="D494" s="28" t="s">
        <v>95</v>
      </c>
      <c r="E494" s="13" t="s">
        <v>156</v>
      </c>
      <c r="F494" s="102" t="str">
        <f t="shared" si="9"/>
        <v>Nincs Adat</v>
      </c>
      <c r="G494" s="21"/>
      <c r="H494" s="2">
        <v>1</v>
      </c>
    </row>
    <row r="495" spans="1:8" x14ac:dyDescent="0.25">
      <c r="A495" s="3">
        <v>44915</v>
      </c>
      <c r="B495" s="2" t="s">
        <v>61</v>
      </c>
      <c r="C495" s="21" t="s">
        <v>128</v>
      </c>
      <c r="D495" s="28" t="s">
        <v>95</v>
      </c>
      <c r="E495" s="13"/>
      <c r="F495" s="102" t="str">
        <f t="shared" si="9"/>
        <v>Nincs Adat</v>
      </c>
      <c r="G495" s="21"/>
      <c r="H495" s="2"/>
    </row>
    <row r="496" spans="1:8" x14ac:dyDescent="0.25">
      <c r="A496" s="3">
        <v>44915</v>
      </c>
      <c r="B496" s="2" t="s">
        <v>19</v>
      </c>
      <c r="C496" s="21" t="s">
        <v>129</v>
      </c>
      <c r="D496" s="28" t="s">
        <v>95</v>
      </c>
      <c r="E496" s="13"/>
      <c r="F496" s="102" t="str">
        <f t="shared" si="9"/>
        <v>EUB09D700836</v>
      </c>
      <c r="G496" s="21"/>
      <c r="H496" s="2"/>
    </row>
    <row r="497" spans="1:8" x14ac:dyDescent="0.25">
      <c r="A497" s="3">
        <v>44915</v>
      </c>
      <c r="B497" s="2" t="s">
        <v>80</v>
      </c>
      <c r="C497" s="21" t="s">
        <v>130</v>
      </c>
      <c r="D497" s="28" t="s">
        <v>95</v>
      </c>
      <c r="E497" s="13" t="s">
        <v>139</v>
      </c>
      <c r="F497" s="102" t="str">
        <f t="shared" si="9"/>
        <v>PTP200R239154</v>
      </c>
      <c r="G497" s="21"/>
      <c r="H497" s="2">
        <v>2</v>
      </c>
    </row>
    <row r="498" spans="1:8" x14ac:dyDescent="0.25">
      <c r="A498" s="3">
        <v>44915</v>
      </c>
      <c r="B498" s="2" t="s">
        <v>81</v>
      </c>
      <c r="C498" s="21" t="s">
        <v>130</v>
      </c>
      <c r="D498" s="28" t="s">
        <v>95</v>
      </c>
      <c r="E498" s="40" t="s">
        <v>140</v>
      </c>
      <c r="F498" s="102" t="str">
        <f t="shared" si="9"/>
        <v>PTP200R239155</v>
      </c>
      <c r="G498" s="24"/>
      <c r="H498" s="2">
        <v>2</v>
      </c>
    </row>
    <row r="499" spans="1:8" x14ac:dyDescent="0.25">
      <c r="A499" s="14">
        <v>44915</v>
      </c>
      <c r="B499" s="4" t="s">
        <v>142</v>
      </c>
      <c r="C499" s="22" t="s">
        <v>130</v>
      </c>
      <c r="D499" s="28" t="s">
        <v>95</v>
      </c>
      <c r="E499" s="19" t="s">
        <v>143</v>
      </c>
      <c r="F499" s="102" t="str">
        <f t="shared" si="9"/>
        <v>LO20N2RCB13B00112</v>
      </c>
      <c r="G499" s="22"/>
      <c r="H499" s="2">
        <v>1</v>
      </c>
    </row>
    <row r="500" spans="1:8" x14ac:dyDescent="0.25">
      <c r="A500" s="16">
        <v>44915</v>
      </c>
      <c r="B500" s="8" t="s">
        <v>11</v>
      </c>
      <c r="C500" s="21" t="s">
        <v>131</v>
      </c>
      <c r="D500" s="28" t="s">
        <v>95</v>
      </c>
      <c r="E500" s="13"/>
      <c r="F500" s="102" t="str">
        <f t="shared" si="9"/>
        <v>EUB09D700850</v>
      </c>
      <c r="G500" s="21"/>
      <c r="H500" s="2"/>
    </row>
    <row r="501" spans="1:8" x14ac:dyDescent="0.25">
      <c r="A501" s="15">
        <v>44909</v>
      </c>
      <c r="B501" s="2" t="s">
        <v>25</v>
      </c>
      <c r="C501" s="36" t="s">
        <v>120</v>
      </c>
      <c r="D501" s="28" t="s">
        <v>95</v>
      </c>
      <c r="E501" s="13" t="s">
        <v>121</v>
      </c>
      <c r="F501" s="102" t="str">
        <f t="shared" si="9"/>
        <v>EUB09D700741</v>
      </c>
      <c r="G501" s="21">
        <v>114</v>
      </c>
      <c r="H501" s="2">
        <v>1</v>
      </c>
    </row>
    <row r="502" spans="1:8" ht="30" x14ac:dyDescent="0.25">
      <c r="A502" s="15">
        <v>44909</v>
      </c>
      <c r="B502" s="2" t="s">
        <v>78</v>
      </c>
      <c r="C502" s="36" t="s">
        <v>122</v>
      </c>
      <c r="D502" s="28" t="s">
        <v>95</v>
      </c>
      <c r="E502" s="13" t="s">
        <v>123</v>
      </c>
      <c r="F502" s="102" t="str">
        <f t="shared" si="9"/>
        <v>PTP200R239152</v>
      </c>
      <c r="G502" s="21">
        <v>611</v>
      </c>
      <c r="H502" s="2">
        <v>1</v>
      </c>
    </row>
    <row r="503" spans="1:8" x14ac:dyDescent="0.25">
      <c r="A503" s="15">
        <v>44908</v>
      </c>
      <c r="B503" s="2" t="s">
        <v>16</v>
      </c>
      <c r="C503" s="36" t="s">
        <v>118</v>
      </c>
      <c r="D503" s="28" t="s">
        <v>95</v>
      </c>
      <c r="E503" s="13"/>
      <c r="F503" s="102" t="str">
        <f t="shared" si="9"/>
        <v>EUB09D700851</v>
      </c>
      <c r="G503" s="21"/>
      <c r="H503" s="2"/>
    </row>
    <row r="504" spans="1:8" x14ac:dyDescent="0.25">
      <c r="A504" s="15">
        <v>44904</v>
      </c>
      <c r="B504" s="2" t="s">
        <v>21</v>
      </c>
      <c r="C504" s="21" t="s">
        <v>124</v>
      </c>
      <c r="D504" s="28" t="s">
        <v>95</v>
      </c>
      <c r="E504" s="13" t="s">
        <v>125</v>
      </c>
      <c r="F504" s="102" t="str">
        <f t="shared" si="9"/>
        <v>EUB09D700842</v>
      </c>
      <c r="G504" s="21">
        <v>839</v>
      </c>
      <c r="H504" s="2">
        <v>2</v>
      </c>
    </row>
    <row r="505" spans="1:8" x14ac:dyDescent="0.25">
      <c r="A505" s="15">
        <v>44900</v>
      </c>
      <c r="B505" s="2" t="s">
        <v>110</v>
      </c>
      <c r="C505" s="36" t="s">
        <v>116</v>
      </c>
      <c r="D505" s="28" t="s">
        <v>95</v>
      </c>
      <c r="E505" s="13"/>
      <c r="F505" s="102" t="str">
        <f t="shared" si="9"/>
        <v>Nincs Adat</v>
      </c>
      <c r="G505" s="21"/>
      <c r="H505" s="2"/>
    </row>
    <row r="506" spans="1:8" ht="30" x14ac:dyDescent="0.25">
      <c r="A506" s="15">
        <v>44895</v>
      </c>
      <c r="B506" s="2" t="s">
        <v>11</v>
      </c>
      <c r="C506" s="36" t="s">
        <v>113</v>
      </c>
      <c r="D506" s="28" t="s">
        <v>95</v>
      </c>
      <c r="E506" s="11" t="s">
        <v>127</v>
      </c>
      <c r="F506" s="102" t="str">
        <f t="shared" si="9"/>
        <v>EUB09D700850</v>
      </c>
      <c r="G506" s="21"/>
      <c r="H506" s="2">
        <v>1</v>
      </c>
    </row>
    <row r="507" spans="1:8" x14ac:dyDescent="0.25">
      <c r="A507" s="15">
        <v>44895</v>
      </c>
      <c r="B507" s="2" t="s">
        <v>7</v>
      </c>
      <c r="C507" s="36" t="s">
        <v>108</v>
      </c>
      <c r="D507" s="28" t="s">
        <v>95</v>
      </c>
      <c r="E507" s="11" t="s">
        <v>126</v>
      </c>
      <c r="F507" s="102" t="str">
        <f t="shared" si="9"/>
        <v>EUB09D700743</v>
      </c>
      <c r="G507" s="25"/>
      <c r="H507" s="2">
        <v>2</v>
      </c>
    </row>
    <row r="508" spans="1:8" ht="30" x14ac:dyDescent="0.25">
      <c r="A508" s="15">
        <v>44895</v>
      </c>
      <c r="B508" s="2" t="s">
        <v>18</v>
      </c>
      <c r="C508" s="36" t="s">
        <v>114</v>
      </c>
      <c r="D508" s="28" t="s">
        <v>95</v>
      </c>
      <c r="E508" s="11"/>
      <c r="F508" s="102" t="str">
        <f t="shared" si="9"/>
        <v>EUB09D700992</v>
      </c>
      <c r="G508" s="25"/>
      <c r="H508" s="2"/>
    </row>
    <row r="509" spans="1:8" x14ac:dyDescent="0.25">
      <c r="A509" s="15">
        <v>44895</v>
      </c>
      <c r="B509" s="2" t="s">
        <v>78</v>
      </c>
      <c r="C509" s="36" t="s">
        <v>115</v>
      </c>
      <c r="D509" s="28" t="s">
        <v>95</v>
      </c>
      <c r="E509" s="11"/>
      <c r="F509" s="102" t="str">
        <f t="shared" si="9"/>
        <v>PTP200R239152</v>
      </c>
      <c r="G509" s="25"/>
      <c r="H509" s="2"/>
    </row>
    <row r="510" spans="1:8" x14ac:dyDescent="0.25">
      <c r="A510" s="15">
        <v>44895</v>
      </c>
      <c r="B510" s="2" t="s">
        <v>20</v>
      </c>
      <c r="C510" s="36" t="s">
        <v>366</v>
      </c>
      <c r="D510" s="28" t="s">
        <v>95</v>
      </c>
      <c r="E510" s="10" t="s">
        <v>453</v>
      </c>
      <c r="F510" s="102" t="str">
        <f t="shared" si="9"/>
        <v>EUB09D700832</v>
      </c>
      <c r="G510" s="21">
        <v>1922</v>
      </c>
      <c r="H510" s="2">
        <v>2</v>
      </c>
    </row>
    <row r="511" spans="1:8" x14ac:dyDescent="0.25">
      <c r="A511" s="15">
        <v>44895</v>
      </c>
      <c r="B511" s="2" t="s">
        <v>9</v>
      </c>
      <c r="C511" s="36" t="s">
        <v>117</v>
      </c>
      <c r="D511" s="28" t="s">
        <v>95</v>
      </c>
      <c r="E511" s="10"/>
      <c r="F511" s="102" t="str">
        <f t="shared" si="9"/>
        <v>EUB09D700745</v>
      </c>
      <c r="G511" s="21"/>
      <c r="H511" s="2"/>
    </row>
    <row r="512" spans="1:8" x14ac:dyDescent="0.25">
      <c r="A512" s="15">
        <v>44895</v>
      </c>
      <c r="B512" s="2" t="s">
        <v>109</v>
      </c>
      <c r="C512" s="36" t="s">
        <v>112</v>
      </c>
      <c r="D512" s="28" t="s">
        <v>95</v>
      </c>
      <c r="E512" s="10"/>
      <c r="F512" s="102" t="str">
        <f t="shared" si="9"/>
        <v>Nincs Adat</v>
      </c>
      <c r="G512" s="21"/>
      <c r="H512" s="2"/>
    </row>
    <row r="513" spans="1:8" x14ac:dyDescent="0.25">
      <c r="A513" s="15">
        <v>44890</v>
      </c>
      <c r="B513" s="2" t="s">
        <v>25</v>
      </c>
      <c r="C513" s="36" t="s">
        <v>101</v>
      </c>
      <c r="D513" s="28" t="s">
        <v>95</v>
      </c>
      <c r="E513" s="10"/>
      <c r="F513" s="102" t="str">
        <f t="shared" si="9"/>
        <v>EUB09D700741</v>
      </c>
      <c r="G513" s="21"/>
      <c r="H513" s="2"/>
    </row>
    <row r="514" spans="1:8" x14ac:dyDescent="0.25">
      <c r="A514" s="16">
        <v>44890</v>
      </c>
      <c r="B514" s="8" t="s">
        <v>7</v>
      </c>
      <c r="C514" s="37" t="s">
        <v>102</v>
      </c>
      <c r="D514" s="28" t="s">
        <v>95</v>
      </c>
      <c r="E514" s="12"/>
      <c r="F514" s="102" t="str">
        <f t="shared" si="9"/>
        <v>EUB09D700743</v>
      </c>
      <c r="G514" s="26"/>
      <c r="H514" s="2"/>
    </row>
    <row r="515" spans="1:8" x14ac:dyDescent="0.25">
      <c r="A515" s="3">
        <v>44890</v>
      </c>
      <c r="B515" s="2" t="s">
        <v>13</v>
      </c>
      <c r="C515" s="36" t="s">
        <v>103</v>
      </c>
      <c r="D515" s="28" t="s">
        <v>95</v>
      </c>
      <c r="E515" s="13" t="s">
        <v>451</v>
      </c>
      <c r="F515" s="102" t="str">
        <f t="shared" si="9"/>
        <v>EUB09D700268</v>
      </c>
      <c r="G515" s="21"/>
      <c r="H515" s="2">
        <v>1</v>
      </c>
    </row>
    <row r="516" spans="1:8" x14ac:dyDescent="0.25">
      <c r="A516" s="3">
        <v>44890</v>
      </c>
      <c r="B516" s="2" t="s">
        <v>26</v>
      </c>
      <c r="C516" s="36" t="s">
        <v>104</v>
      </c>
      <c r="D516" s="28" t="s">
        <v>95</v>
      </c>
      <c r="E516" s="13"/>
      <c r="F516" s="102" t="str">
        <f t="shared" si="9"/>
        <v>EFC09D60002</v>
      </c>
      <c r="G516" s="21"/>
      <c r="H516" s="2"/>
    </row>
    <row r="517" spans="1:8" x14ac:dyDescent="0.25">
      <c r="A517" s="3">
        <v>44890</v>
      </c>
      <c r="B517" s="4" t="s">
        <v>46</v>
      </c>
      <c r="C517" s="36" t="s">
        <v>105</v>
      </c>
      <c r="D517" s="28" t="s">
        <v>95</v>
      </c>
      <c r="E517" s="13"/>
      <c r="F517" s="102" t="str">
        <f t="shared" si="9"/>
        <v>Nincs Adat</v>
      </c>
      <c r="G517" s="21"/>
      <c r="H517" s="2"/>
    </row>
    <row r="518" spans="1:8" x14ac:dyDescent="0.25">
      <c r="A518" s="3">
        <v>44890</v>
      </c>
      <c r="B518" s="2" t="s">
        <v>85</v>
      </c>
      <c r="C518" s="36" t="s">
        <v>106</v>
      </c>
      <c r="D518" s="28" t="s">
        <v>95</v>
      </c>
      <c r="E518" s="13"/>
      <c r="F518" s="102" t="str">
        <f t="shared" si="9"/>
        <v>Nincs Adat</v>
      </c>
      <c r="G518" s="21"/>
      <c r="H518" s="30"/>
    </row>
    <row r="519" spans="1:8" x14ac:dyDescent="0.25">
      <c r="A519" s="3">
        <v>44890</v>
      </c>
      <c r="B519" s="2" t="s">
        <v>9</v>
      </c>
      <c r="C519" s="36" t="s">
        <v>107</v>
      </c>
      <c r="D519" s="28" t="s">
        <v>95</v>
      </c>
      <c r="E519" s="40" t="s">
        <v>138</v>
      </c>
      <c r="F519" s="102" t="str">
        <f t="shared" si="9"/>
        <v>EUB09D700745</v>
      </c>
      <c r="G519" s="21">
        <v>1818</v>
      </c>
      <c r="H519" s="2">
        <v>2</v>
      </c>
    </row>
    <row r="520" spans="1:8" x14ac:dyDescent="0.25">
      <c r="A520" s="3">
        <v>44890</v>
      </c>
      <c r="B520" s="2" t="s">
        <v>18</v>
      </c>
      <c r="C520" s="36" t="s">
        <v>107</v>
      </c>
      <c r="D520" s="28" t="s">
        <v>95</v>
      </c>
      <c r="E520" s="41"/>
      <c r="F520" s="102" t="str">
        <f t="shared" si="9"/>
        <v>EUB09D700992</v>
      </c>
      <c r="G520" s="25"/>
      <c r="H520" s="2"/>
    </row>
    <row r="521" spans="1:8" x14ac:dyDescent="0.25">
      <c r="A521" s="3">
        <v>44854</v>
      </c>
      <c r="B521" s="2" t="s">
        <v>133</v>
      </c>
      <c r="C521" s="21" t="s">
        <v>134</v>
      </c>
      <c r="D521" s="28" t="s">
        <v>95</v>
      </c>
      <c r="E521" s="13" t="s">
        <v>994</v>
      </c>
      <c r="F521" s="102" t="str">
        <f t="shared" si="9"/>
        <v>Nincs Adat</v>
      </c>
      <c r="G521" s="21"/>
      <c r="H521" s="2">
        <v>6</v>
      </c>
    </row>
    <row r="522" spans="1:8" x14ac:dyDescent="0.25">
      <c r="A522" s="3">
        <v>44854</v>
      </c>
      <c r="B522" s="2" t="s">
        <v>25</v>
      </c>
      <c r="C522" s="21" t="s">
        <v>135</v>
      </c>
      <c r="D522" s="28" t="s">
        <v>95</v>
      </c>
      <c r="E522" s="13"/>
      <c r="F522" s="102" t="str">
        <f t="shared" si="9"/>
        <v>EUB09D700741</v>
      </c>
      <c r="G522" s="21"/>
      <c r="H522" s="2"/>
    </row>
    <row r="523" spans="1:8" x14ac:dyDescent="0.25">
      <c r="A523" s="3">
        <v>44854</v>
      </c>
      <c r="B523" s="2" t="s">
        <v>52</v>
      </c>
      <c r="C523" s="21" t="s">
        <v>145</v>
      </c>
      <c r="D523" s="28" t="s">
        <v>95</v>
      </c>
      <c r="E523" s="13" t="s">
        <v>220</v>
      </c>
      <c r="F523" s="102" t="str">
        <f t="shared" si="9"/>
        <v>Nincs Adat</v>
      </c>
      <c r="G523" s="27"/>
      <c r="H523" s="2">
        <v>6</v>
      </c>
    </row>
    <row r="524" spans="1:8" x14ac:dyDescent="0.25">
      <c r="A524" s="3">
        <v>44854</v>
      </c>
      <c r="B524" s="2" t="s">
        <v>21</v>
      </c>
      <c r="C524" s="21" t="s">
        <v>136</v>
      </c>
      <c r="D524" s="28" t="s">
        <v>95</v>
      </c>
      <c r="E524" s="13" t="s">
        <v>137</v>
      </c>
      <c r="F524" s="102" t="str">
        <f t="shared" si="9"/>
        <v>EUB09D700842</v>
      </c>
      <c r="G524" s="21">
        <v>896</v>
      </c>
      <c r="H524" s="2">
        <v>1</v>
      </c>
    </row>
    <row r="525" spans="1:8" x14ac:dyDescent="0.25">
      <c r="A525" s="3">
        <v>44845</v>
      </c>
      <c r="B525" s="2" t="s">
        <v>36</v>
      </c>
      <c r="C525" s="36" t="s">
        <v>100</v>
      </c>
      <c r="D525" s="28" t="s">
        <v>95</v>
      </c>
      <c r="E525" s="13"/>
      <c r="F525" s="102" t="str">
        <f t="shared" si="9"/>
        <v>Nincs Adat</v>
      </c>
      <c r="G525" s="21"/>
      <c r="H525" s="2"/>
    </row>
    <row r="526" spans="1:8" x14ac:dyDescent="0.25">
      <c r="A526" s="3">
        <v>44806</v>
      </c>
      <c r="B526" s="2" t="s">
        <v>8</v>
      </c>
      <c r="C526" s="36" t="s">
        <v>94</v>
      </c>
      <c r="D526" s="28" t="s">
        <v>95</v>
      </c>
      <c r="E526" s="13"/>
      <c r="F526" s="102" t="str">
        <f t="shared" si="9"/>
        <v>EUB09D700744</v>
      </c>
      <c r="G526" s="21"/>
      <c r="H526" s="2"/>
    </row>
    <row r="527" spans="1:8" x14ac:dyDescent="0.25">
      <c r="A527" s="3">
        <v>44806</v>
      </c>
      <c r="B527" s="2" t="s">
        <v>89</v>
      </c>
      <c r="C527" s="36" t="s">
        <v>97</v>
      </c>
      <c r="D527" s="28" t="s">
        <v>95</v>
      </c>
      <c r="E527" s="13"/>
      <c r="F527" s="102" t="str">
        <f t="shared" si="9"/>
        <v>Nincs Adat</v>
      </c>
      <c r="G527" s="21"/>
      <c r="H527" s="2"/>
    </row>
    <row r="528" spans="1:8" x14ac:dyDescent="0.25">
      <c r="A528" s="3">
        <v>44806</v>
      </c>
      <c r="B528" s="2" t="s">
        <v>6</v>
      </c>
      <c r="C528" s="36" t="s">
        <v>98</v>
      </c>
      <c r="D528" s="28" t="s">
        <v>95</v>
      </c>
      <c r="E528" s="13"/>
      <c r="F528" s="102" t="str">
        <f t="shared" si="9"/>
        <v>EUB09D700742</v>
      </c>
      <c r="G528" s="2"/>
      <c r="H528" s="2"/>
    </row>
    <row r="529" spans="1:8" x14ac:dyDescent="0.25">
      <c r="A529" s="3">
        <v>44806</v>
      </c>
      <c r="B529" s="2" t="s">
        <v>12</v>
      </c>
      <c r="C529" s="36" t="s">
        <v>99</v>
      </c>
      <c r="D529" s="28" t="s">
        <v>95</v>
      </c>
      <c r="E529" s="13"/>
      <c r="F529" s="102" t="str">
        <f t="shared" si="9"/>
        <v>EUB09D700267</v>
      </c>
      <c r="G529" s="2"/>
      <c r="H529" s="2"/>
    </row>
    <row r="530" spans="1:8" x14ac:dyDescent="0.25">
      <c r="A530" s="3">
        <v>44806</v>
      </c>
      <c r="B530" s="2" t="s">
        <v>57</v>
      </c>
      <c r="C530" s="36" t="s">
        <v>97</v>
      </c>
      <c r="D530" s="28" t="s">
        <v>95</v>
      </c>
      <c r="E530" s="13"/>
      <c r="F530" s="102" t="str">
        <f t="shared" si="9"/>
        <v>Nincs Adat</v>
      </c>
      <c r="G530" s="2"/>
      <c r="H530" s="2"/>
    </row>
    <row r="531" spans="1:8" x14ac:dyDescent="0.25">
      <c r="A531" s="3">
        <v>44806</v>
      </c>
      <c r="B531" s="2" t="s">
        <v>36</v>
      </c>
      <c r="C531" s="36" t="s">
        <v>97</v>
      </c>
      <c r="D531" s="28" t="s">
        <v>95</v>
      </c>
      <c r="E531" s="13"/>
      <c r="F531" s="102" t="str">
        <f t="shared" si="9"/>
        <v>Nincs Adat</v>
      </c>
      <c r="G531" s="2"/>
      <c r="H531" s="2"/>
    </row>
    <row r="532" spans="1:8" x14ac:dyDescent="0.25">
      <c r="A532" s="3">
        <v>44806</v>
      </c>
      <c r="B532" s="2" t="s">
        <v>61</v>
      </c>
      <c r="C532" s="36" t="s">
        <v>97</v>
      </c>
      <c r="D532" s="28" t="s">
        <v>95</v>
      </c>
      <c r="E532" s="13"/>
      <c r="F532" s="102" t="str">
        <f t="shared" si="9"/>
        <v>Nincs Adat</v>
      </c>
      <c r="G532" s="2"/>
      <c r="H532" s="2"/>
    </row>
    <row r="533" spans="1:8" x14ac:dyDescent="0.25">
      <c r="H533" s="1"/>
    </row>
    <row r="534" spans="1:8" x14ac:dyDescent="0.25">
      <c r="H534" s="1"/>
    </row>
    <row r="535" spans="1:8" x14ac:dyDescent="0.25">
      <c r="H535" s="1"/>
    </row>
    <row r="536" spans="1:8" x14ac:dyDescent="0.25">
      <c r="H536" s="1"/>
    </row>
    <row r="537" spans="1:8" x14ac:dyDescent="0.25">
      <c r="H537" s="1"/>
    </row>
    <row r="538" spans="1:8" x14ac:dyDescent="0.25">
      <c r="H538" s="1"/>
    </row>
    <row r="539" spans="1:8" x14ac:dyDescent="0.25">
      <c r="H539" s="1"/>
    </row>
    <row r="540" spans="1:8" x14ac:dyDescent="0.25">
      <c r="H540" s="1"/>
    </row>
    <row r="541" spans="1:8" x14ac:dyDescent="0.25">
      <c r="H541" s="1"/>
    </row>
    <row r="542" spans="1:8" x14ac:dyDescent="0.25">
      <c r="H542" s="1"/>
    </row>
    <row r="543" spans="1:8" x14ac:dyDescent="0.25">
      <c r="H543" s="1"/>
    </row>
    <row r="544" spans="1:8" x14ac:dyDescent="0.25">
      <c r="H544" s="1"/>
    </row>
    <row r="545" spans="8:8" x14ac:dyDescent="0.25">
      <c r="H545" s="1"/>
    </row>
    <row r="546" spans="8:8" x14ac:dyDescent="0.25">
      <c r="H546" s="1"/>
    </row>
    <row r="547" spans="8:8" x14ac:dyDescent="0.25">
      <c r="H547" s="1"/>
    </row>
    <row r="548" spans="8:8" x14ac:dyDescent="0.25">
      <c r="H548" s="1"/>
    </row>
    <row r="549" spans="8:8" x14ac:dyDescent="0.25">
      <c r="H549" s="1"/>
    </row>
    <row r="550" spans="8:8" x14ac:dyDescent="0.25">
      <c r="H550" s="1"/>
    </row>
    <row r="551" spans="8:8" x14ac:dyDescent="0.25">
      <c r="H551" s="1"/>
    </row>
    <row r="552" spans="8:8" x14ac:dyDescent="0.25">
      <c r="H552" s="1"/>
    </row>
    <row r="553" spans="8:8" x14ac:dyDescent="0.25">
      <c r="H553" s="1"/>
    </row>
    <row r="554" spans="8:8" x14ac:dyDescent="0.25">
      <c r="H554" s="1"/>
    </row>
    <row r="555" spans="8:8" x14ac:dyDescent="0.25">
      <c r="H555" s="1"/>
    </row>
    <row r="556" spans="8:8" x14ac:dyDescent="0.25">
      <c r="H556" s="1"/>
    </row>
    <row r="557" spans="8:8" x14ac:dyDescent="0.25">
      <c r="H557" s="1"/>
    </row>
    <row r="558" spans="8:8" x14ac:dyDescent="0.25">
      <c r="H558" s="1"/>
    </row>
    <row r="559" spans="8:8" x14ac:dyDescent="0.25">
      <c r="H559" s="1"/>
    </row>
    <row r="560" spans="8:8" x14ac:dyDescent="0.25">
      <c r="H560" s="1"/>
    </row>
    <row r="561" spans="8:8" x14ac:dyDescent="0.25">
      <c r="H561" s="1"/>
    </row>
    <row r="562" spans="8:8" x14ac:dyDescent="0.25">
      <c r="H562" s="1"/>
    </row>
    <row r="563" spans="8:8" x14ac:dyDescent="0.25">
      <c r="H563" s="1"/>
    </row>
    <row r="564" spans="8:8" x14ac:dyDescent="0.25">
      <c r="H564" s="1"/>
    </row>
    <row r="565" spans="8:8" x14ac:dyDescent="0.25">
      <c r="H565" s="1"/>
    </row>
    <row r="566" spans="8:8" x14ac:dyDescent="0.25">
      <c r="H566" s="1"/>
    </row>
    <row r="567" spans="8:8" x14ac:dyDescent="0.25">
      <c r="H567" s="1"/>
    </row>
    <row r="568" spans="8:8" x14ac:dyDescent="0.25">
      <c r="H568" s="1"/>
    </row>
    <row r="569" spans="8:8" x14ac:dyDescent="0.25">
      <c r="H569" s="1"/>
    </row>
    <row r="570" spans="8:8" x14ac:dyDescent="0.25">
      <c r="H570" s="1"/>
    </row>
    <row r="571" spans="8:8" x14ac:dyDescent="0.25">
      <c r="H571" s="1"/>
    </row>
    <row r="572" spans="8:8" x14ac:dyDescent="0.25">
      <c r="H572" s="1"/>
    </row>
    <row r="573" spans="8:8" x14ac:dyDescent="0.25">
      <c r="H573" s="1"/>
    </row>
    <row r="574" spans="8:8" x14ac:dyDescent="0.25">
      <c r="H574" s="1"/>
    </row>
    <row r="575" spans="8:8" x14ac:dyDescent="0.25">
      <c r="H575" s="1"/>
    </row>
    <row r="576" spans="8:8" x14ac:dyDescent="0.25">
      <c r="H576" s="1"/>
    </row>
    <row r="577" spans="8:8" x14ac:dyDescent="0.25">
      <c r="H577" s="1"/>
    </row>
    <row r="578" spans="8:8" x14ac:dyDescent="0.25">
      <c r="H578" s="1"/>
    </row>
    <row r="579" spans="8:8" x14ac:dyDescent="0.25">
      <c r="H579" s="1"/>
    </row>
    <row r="580" spans="8:8" x14ac:dyDescent="0.25">
      <c r="H580" s="1"/>
    </row>
    <row r="581" spans="8:8" x14ac:dyDescent="0.25">
      <c r="H581" s="1"/>
    </row>
    <row r="582" spans="8:8" x14ac:dyDescent="0.25">
      <c r="H582" s="1"/>
    </row>
    <row r="583" spans="8:8" x14ac:dyDescent="0.25">
      <c r="H583" s="1"/>
    </row>
    <row r="584" spans="8:8" x14ac:dyDescent="0.25">
      <c r="H584" s="1"/>
    </row>
    <row r="585" spans="8:8" x14ac:dyDescent="0.25">
      <c r="H585" s="1"/>
    </row>
    <row r="586" spans="8:8" x14ac:dyDescent="0.25">
      <c r="H586" s="1"/>
    </row>
    <row r="587" spans="8:8" x14ac:dyDescent="0.25">
      <c r="H587" s="1"/>
    </row>
    <row r="588" spans="8:8" x14ac:dyDescent="0.25">
      <c r="H588" s="1"/>
    </row>
    <row r="589" spans="8:8" x14ac:dyDescent="0.25">
      <c r="H589" s="1"/>
    </row>
    <row r="590" spans="8:8" x14ac:dyDescent="0.25">
      <c r="H590" s="1"/>
    </row>
    <row r="591" spans="8:8" x14ac:dyDescent="0.25">
      <c r="H591" s="1"/>
    </row>
    <row r="592" spans="8:8" x14ac:dyDescent="0.25">
      <c r="H592" s="1"/>
    </row>
    <row r="593" spans="8:8" x14ac:dyDescent="0.25">
      <c r="H593" s="1"/>
    </row>
    <row r="594" spans="8:8" x14ac:dyDescent="0.25">
      <c r="H594" s="1"/>
    </row>
    <row r="595" spans="8:8" x14ac:dyDescent="0.25">
      <c r="H595" s="1"/>
    </row>
    <row r="596" spans="8:8" x14ac:dyDescent="0.25">
      <c r="H596" s="1"/>
    </row>
    <row r="597" spans="8:8" x14ac:dyDescent="0.25">
      <c r="H597" s="1"/>
    </row>
    <row r="598" spans="8:8" x14ac:dyDescent="0.25">
      <c r="H598" s="1"/>
    </row>
    <row r="599" spans="8:8" x14ac:dyDescent="0.25">
      <c r="H599" s="1"/>
    </row>
    <row r="600" spans="8:8" x14ac:dyDescent="0.25">
      <c r="H600" s="1"/>
    </row>
    <row r="601" spans="8:8" x14ac:dyDescent="0.25">
      <c r="H601" s="1"/>
    </row>
    <row r="602" spans="8:8" x14ac:dyDescent="0.25">
      <c r="H602" s="1"/>
    </row>
    <row r="603" spans="8:8" x14ac:dyDescent="0.25">
      <c r="H603" s="1"/>
    </row>
    <row r="604" spans="8:8" x14ac:dyDescent="0.25">
      <c r="H604" s="1"/>
    </row>
    <row r="605" spans="8:8" x14ac:dyDescent="0.25">
      <c r="H605" s="1"/>
    </row>
    <row r="606" spans="8:8" x14ac:dyDescent="0.25">
      <c r="H606" s="1"/>
    </row>
    <row r="607" spans="8:8" x14ac:dyDescent="0.25">
      <c r="H607" s="1"/>
    </row>
    <row r="608" spans="8:8" x14ac:dyDescent="0.25">
      <c r="H608" s="1"/>
    </row>
    <row r="609" spans="8:8" x14ac:dyDescent="0.25">
      <c r="H609" s="1"/>
    </row>
    <row r="610" spans="8:8" x14ac:dyDescent="0.25">
      <c r="H610" s="1"/>
    </row>
    <row r="611" spans="8:8" x14ac:dyDescent="0.25">
      <c r="H611" s="1"/>
    </row>
    <row r="612" spans="8:8" x14ac:dyDescent="0.25">
      <c r="H612" s="1"/>
    </row>
    <row r="613" spans="8:8" x14ac:dyDescent="0.25">
      <c r="H613" s="1"/>
    </row>
    <row r="614" spans="8:8" x14ac:dyDescent="0.25">
      <c r="H614" s="1"/>
    </row>
    <row r="615" spans="8:8" x14ac:dyDescent="0.25">
      <c r="H615" s="1"/>
    </row>
    <row r="616" spans="8:8" x14ac:dyDescent="0.25">
      <c r="H616" s="1"/>
    </row>
    <row r="617" spans="8:8" x14ac:dyDescent="0.25">
      <c r="H617" s="1"/>
    </row>
    <row r="618" spans="8:8" x14ac:dyDescent="0.25">
      <c r="H618" s="1"/>
    </row>
    <row r="619" spans="8:8" x14ac:dyDescent="0.25">
      <c r="H619" s="1"/>
    </row>
    <row r="620" spans="8:8" x14ac:dyDescent="0.25">
      <c r="H620" s="1"/>
    </row>
    <row r="621" spans="8:8" x14ac:dyDescent="0.25">
      <c r="H621" s="1"/>
    </row>
    <row r="622" spans="8:8" x14ac:dyDescent="0.25">
      <c r="H622" s="1"/>
    </row>
    <row r="623" spans="8:8" x14ac:dyDescent="0.25">
      <c r="H623" s="1"/>
    </row>
    <row r="624" spans="8:8" x14ac:dyDescent="0.25">
      <c r="H624" s="1"/>
    </row>
    <row r="625" spans="8:8" x14ac:dyDescent="0.25">
      <c r="H625" s="1"/>
    </row>
    <row r="626" spans="8:8" x14ac:dyDescent="0.25">
      <c r="H626" s="1"/>
    </row>
    <row r="627" spans="8:8" x14ac:dyDescent="0.25">
      <c r="H627" s="1"/>
    </row>
    <row r="628" spans="8:8" x14ac:dyDescent="0.25">
      <c r="H628" s="1"/>
    </row>
    <row r="629" spans="8:8" x14ac:dyDescent="0.25">
      <c r="H629" s="1"/>
    </row>
    <row r="630" spans="8:8" x14ac:dyDescent="0.25">
      <c r="H630" s="1"/>
    </row>
    <row r="631" spans="8:8" x14ac:dyDescent="0.25">
      <c r="H631" s="1"/>
    </row>
    <row r="632" spans="8:8" x14ac:dyDescent="0.25">
      <c r="H632" s="1"/>
    </row>
    <row r="633" spans="8:8" x14ac:dyDescent="0.25">
      <c r="H633" s="1"/>
    </row>
    <row r="634" spans="8:8" x14ac:dyDescent="0.25">
      <c r="H634" s="1"/>
    </row>
    <row r="635" spans="8:8" x14ac:dyDescent="0.25">
      <c r="H635" s="1"/>
    </row>
    <row r="636" spans="8:8" x14ac:dyDescent="0.25">
      <c r="H636" s="1"/>
    </row>
    <row r="637" spans="8:8" x14ac:dyDescent="0.25">
      <c r="H637" s="1"/>
    </row>
    <row r="638" spans="8:8" x14ac:dyDescent="0.25">
      <c r="H638" s="1"/>
    </row>
    <row r="639" spans="8:8" x14ac:dyDescent="0.25">
      <c r="H639" s="1"/>
    </row>
    <row r="640" spans="8:8" x14ac:dyDescent="0.25">
      <c r="H640" s="1"/>
    </row>
    <row r="641" spans="8:8" x14ac:dyDescent="0.25">
      <c r="H641" s="1"/>
    </row>
    <row r="642" spans="8:8" x14ac:dyDescent="0.25">
      <c r="H642" s="1"/>
    </row>
    <row r="643" spans="8:8" x14ac:dyDescent="0.25">
      <c r="H643" s="1"/>
    </row>
    <row r="644" spans="8:8" x14ac:dyDescent="0.25">
      <c r="H644" s="1"/>
    </row>
    <row r="645" spans="8:8" x14ac:dyDescent="0.25">
      <c r="H645" s="1"/>
    </row>
    <row r="646" spans="8:8" x14ac:dyDescent="0.25">
      <c r="H646" s="1"/>
    </row>
    <row r="647" spans="8:8" x14ac:dyDescent="0.25">
      <c r="H647" s="1"/>
    </row>
    <row r="648" spans="8:8" x14ac:dyDescent="0.25">
      <c r="H648" s="1"/>
    </row>
    <row r="649" spans="8:8" x14ac:dyDescent="0.25">
      <c r="H649" s="1"/>
    </row>
    <row r="650" spans="8:8" x14ac:dyDescent="0.25">
      <c r="H650" s="1"/>
    </row>
    <row r="651" spans="8:8" x14ac:dyDescent="0.25">
      <c r="H651" s="1"/>
    </row>
    <row r="652" spans="8:8" x14ac:dyDescent="0.25">
      <c r="H652" s="1"/>
    </row>
    <row r="653" spans="8:8" x14ac:dyDescent="0.25">
      <c r="H653" s="1"/>
    </row>
    <row r="654" spans="8:8" x14ac:dyDescent="0.25">
      <c r="H654" s="1"/>
    </row>
    <row r="655" spans="8:8" x14ac:dyDescent="0.25">
      <c r="H655" s="1"/>
    </row>
    <row r="656" spans="8:8" x14ac:dyDescent="0.25">
      <c r="H656" s="1"/>
    </row>
    <row r="657" spans="8:8" x14ac:dyDescent="0.25">
      <c r="H657" s="1"/>
    </row>
    <row r="658" spans="8:8" x14ac:dyDescent="0.25">
      <c r="H658" s="1"/>
    </row>
    <row r="659" spans="8:8" x14ac:dyDescent="0.25">
      <c r="H659" s="1"/>
    </row>
    <row r="660" spans="8:8" x14ac:dyDescent="0.25">
      <c r="H660" s="1"/>
    </row>
    <row r="661" spans="8:8" x14ac:dyDescent="0.25">
      <c r="H661" s="1"/>
    </row>
    <row r="662" spans="8:8" x14ac:dyDescent="0.25">
      <c r="H662" s="1"/>
    </row>
    <row r="663" spans="8:8" x14ac:dyDescent="0.25">
      <c r="H663" s="1"/>
    </row>
    <row r="664" spans="8:8" x14ac:dyDescent="0.25">
      <c r="H664" s="1"/>
    </row>
    <row r="665" spans="8:8" x14ac:dyDescent="0.25">
      <c r="H665" s="1"/>
    </row>
    <row r="666" spans="8:8" x14ac:dyDescent="0.25">
      <c r="H666" s="1"/>
    </row>
    <row r="667" spans="8:8" x14ac:dyDescent="0.25">
      <c r="H667" s="1"/>
    </row>
    <row r="668" spans="8:8" x14ac:dyDescent="0.25">
      <c r="H668" s="1"/>
    </row>
    <row r="669" spans="8:8" x14ac:dyDescent="0.25">
      <c r="H669" s="1"/>
    </row>
    <row r="670" spans="8:8" x14ac:dyDescent="0.25">
      <c r="H670" s="1"/>
    </row>
    <row r="671" spans="8:8" x14ac:dyDescent="0.25">
      <c r="H671" s="1"/>
    </row>
    <row r="672" spans="8:8" x14ac:dyDescent="0.25">
      <c r="H672" s="1"/>
    </row>
    <row r="673" spans="8:8" x14ac:dyDescent="0.25">
      <c r="H673" s="1"/>
    </row>
    <row r="674" spans="8:8" x14ac:dyDescent="0.25">
      <c r="H674" s="1"/>
    </row>
    <row r="675" spans="8:8" x14ac:dyDescent="0.25">
      <c r="H675" s="1"/>
    </row>
    <row r="676" spans="8:8" x14ac:dyDescent="0.25">
      <c r="H676" s="1"/>
    </row>
    <row r="677" spans="8:8" x14ac:dyDescent="0.25">
      <c r="H677" s="1"/>
    </row>
    <row r="678" spans="8:8" x14ac:dyDescent="0.25">
      <c r="H678" s="1"/>
    </row>
    <row r="679" spans="8:8" x14ac:dyDescent="0.25">
      <c r="H679" s="1"/>
    </row>
    <row r="680" spans="8:8" x14ac:dyDescent="0.25">
      <c r="H680" s="1"/>
    </row>
    <row r="681" spans="8:8" x14ac:dyDescent="0.25">
      <c r="H681" s="1"/>
    </row>
    <row r="682" spans="8:8" x14ac:dyDescent="0.25">
      <c r="H682" s="1"/>
    </row>
    <row r="683" spans="8:8" x14ac:dyDescent="0.25">
      <c r="H683" s="1"/>
    </row>
    <row r="684" spans="8:8" x14ac:dyDescent="0.25">
      <c r="H684" s="1"/>
    </row>
    <row r="685" spans="8:8" x14ac:dyDescent="0.25">
      <c r="H685" s="1"/>
    </row>
    <row r="686" spans="8:8" x14ac:dyDescent="0.25">
      <c r="H686" s="1"/>
    </row>
    <row r="687" spans="8:8" x14ac:dyDescent="0.25">
      <c r="H687" s="1"/>
    </row>
    <row r="688" spans="8:8" x14ac:dyDescent="0.25">
      <c r="H688" s="1"/>
    </row>
    <row r="689" spans="8:8" x14ac:dyDescent="0.25">
      <c r="H689" s="1"/>
    </row>
    <row r="690" spans="8:8" x14ac:dyDescent="0.25">
      <c r="H690" s="1"/>
    </row>
    <row r="691" spans="8:8" x14ac:dyDescent="0.25">
      <c r="H691" s="1"/>
    </row>
    <row r="692" spans="8:8" x14ac:dyDescent="0.25">
      <c r="H692" s="1"/>
    </row>
    <row r="693" spans="8:8" x14ac:dyDescent="0.25">
      <c r="H693" s="1"/>
    </row>
    <row r="694" spans="8:8" x14ac:dyDescent="0.25">
      <c r="H694" s="1"/>
    </row>
    <row r="695" spans="8:8" x14ac:dyDescent="0.25">
      <c r="H695" s="1"/>
    </row>
    <row r="696" spans="8:8" x14ac:dyDescent="0.25">
      <c r="H696" s="1"/>
    </row>
    <row r="697" spans="8:8" x14ac:dyDescent="0.25">
      <c r="H697" s="1"/>
    </row>
    <row r="698" spans="8:8" x14ac:dyDescent="0.25">
      <c r="H698" s="1"/>
    </row>
    <row r="699" spans="8:8" x14ac:dyDescent="0.25">
      <c r="H699" s="1"/>
    </row>
    <row r="700" spans="8:8" x14ac:dyDescent="0.25">
      <c r="H700" s="1"/>
    </row>
    <row r="701" spans="8:8" x14ac:dyDescent="0.25">
      <c r="H701" s="1"/>
    </row>
    <row r="702" spans="8:8" x14ac:dyDescent="0.25">
      <c r="H702" s="1"/>
    </row>
    <row r="703" spans="8:8" x14ac:dyDescent="0.25">
      <c r="H703" s="1"/>
    </row>
    <row r="704" spans="8:8" x14ac:dyDescent="0.25">
      <c r="H704" s="1"/>
    </row>
    <row r="705" spans="8:8" x14ac:dyDescent="0.25">
      <c r="H705" s="1"/>
    </row>
    <row r="706" spans="8:8" x14ac:dyDescent="0.25">
      <c r="H706" s="1"/>
    </row>
    <row r="707" spans="8:8" x14ac:dyDescent="0.25">
      <c r="H707" s="1"/>
    </row>
    <row r="708" spans="8:8" x14ac:dyDescent="0.25">
      <c r="H708" s="1"/>
    </row>
    <row r="709" spans="8:8" x14ac:dyDescent="0.25">
      <c r="H709" s="1"/>
    </row>
    <row r="710" spans="8:8" x14ac:dyDescent="0.25">
      <c r="H710" s="1"/>
    </row>
    <row r="711" spans="8:8" x14ac:dyDescent="0.25">
      <c r="H711" s="1"/>
    </row>
    <row r="712" spans="8:8" x14ac:dyDescent="0.25">
      <c r="H712" s="1"/>
    </row>
    <row r="713" spans="8:8" x14ac:dyDescent="0.25">
      <c r="H713" s="1"/>
    </row>
    <row r="714" spans="8:8" x14ac:dyDescent="0.25">
      <c r="H714" s="1"/>
    </row>
    <row r="715" spans="8:8" x14ac:dyDescent="0.25">
      <c r="H715" s="1"/>
    </row>
    <row r="716" spans="8:8" x14ac:dyDescent="0.25">
      <c r="H716" s="1"/>
    </row>
    <row r="717" spans="8:8" x14ac:dyDescent="0.25">
      <c r="H717" s="1"/>
    </row>
    <row r="718" spans="8:8" x14ac:dyDescent="0.25">
      <c r="H718" s="1"/>
    </row>
    <row r="719" spans="8:8" x14ac:dyDescent="0.25">
      <c r="H719" s="1"/>
    </row>
    <row r="720" spans="8:8" x14ac:dyDescent="0.25">
      <c r="H720" s="1"/>
    </row>
    <row r="721" spans="8:8" x14ac:dyDescent="0.25">
      <c r="H721" s="1"/>
    </row>
    <row r="722" spans="8:8" x14ac:dyDescent="0.25">
      <c r="H722" s="1"/>
    </row>
    <row r="723" spans="8:8" x14ac:dyDescent="0.25">
      <c r="H723" s="1"/>
    </row>
    <row r="724" spans="8:8" x14ac:dyDescent="0.25">
      <c r="H724" s="1"/>
    </row>
    <row r="725" spans="8:8" x14ac:dyDescent="0.25">
      <c r="H725" s="1"/>
    </row>
    <row r="726" spans="8:8" x14ac:dyDescent="0.25">
      <c r="H726" s="1"/>
    </row>
    <row r="727" spans="8:8" x14ac:dyDescent="0.25">
      <c r="H727" s="1"/>
    </row>
    <row r="728" spans="8:8" x14ac:dyDescent="0.25">
      <c r="H728" s="1"/>
    </row>
    <row r="729" spans="8:8" x14ac:dyDescent="0.25">
      <c r="H729" s="1"/>
    </row>
    <row r="730" spans="8:8" x14ac:dyDescent="0.25">
      <c r="H730" s="1"/>
    </row>
    <row r="731" spans="8:8" x14ac:dyDescent="0.25">
      <c r="H731" s="1"/>
    </row>
    <row r="732" spans="8:8" x14ac:dyDescent="0.25">
      <c r="H732" s="1"/>
    </row>
    <row r="733" spans="8:8" x14ac:dyDescent="0.25">
      <c r="H733" s="1"/>
    </row>
    <row r="734" spans="8:8" x14ac:dyDescent="0.25">
      <c r="H734" s="1"/>
    </row>
    <row r="735" spans="8:8" x14ac:dyDescent="0.25">
      <c r="H735" s="1"/>
    </row>
    <row r="736" spans="8:8" x14ac:dyDescent="0.25">
      <c r="H736" s="1"/>
    </row>
    <row r="737" spans="8:8" x14ac:dyDescent="0.25">
      <c r="H737" s="1"/>
    </row>
    <row r="738" spans="8:8" x14ac:dyDescent="0.25">
      <c r="H738" s="1"/>
    </row>
    <row r="739" spans="8:8" x14ac:dyDescent="0.25">
      <c r="H739" s="1"/>
    </row>
    <row r="740" spans="8:8" x14ac:dyDescent="0.25">
      <c r="H740" s="1"/>
    </row>
    <row r="741" spans="8:8" x14ac:dyDescent="0.25">
      <c r="H741" s="1"/>
    </row>
    <row r="742" spans="8:8" x14ac:dyDescent="0.25">
      <c r="H742" s="1"/>
    </row>
    <row r="743" spans="8:8" x14ac:dyDescent="0.25">
      <c r="H743" s="1"/>
    </row>
    <row r="744" spans="8:8" x14ac:dyDescent="0.25">
      <c r="H744" s="1"/>
    </row>
    <row r="745" spans="8:8" x14ac:dyDescent="0.25">
      <c r="H745" s="1"/>
    </row>
    <row r="746" spans="8:8" x14ac:dyDescent="0.25">
      <c r="H746" s="1"/>
    </row>
    <row r="747" spans="8:8" x14ac:dyDescent="0.25">
      <c r="H747" s="1"/>
    </row>
    <row r="748" spans="8:8" x14ac:dyDescent="0.25">
      <c r="H748" s="1"/>
    </row>
    <row r="749" spans="8:8" x14ac:dyDescent="0.25">
      <c r="H749" s="1"/>
    </row>
    <row r="750" spans="8:8" x14ac:dyDescent="0.25">
      <c r="H750" s="1"/>
    </row>
    <row r="751" spans="8:8" x14ac:dyDescent="0.25">
      <c r="H751" s="1"/>
    </row>
    <row r="752" spans="8:8" x14ac:dyDescent="0.25">
      <c r="H752" s="1"/>
    </row>
    <row r="753" spans="8:8" x14ac:dyDescent="0.25">
      <c r="H753" s="1"/>
    </row>
    <row r="754" spans="8:8" x14ac:dyDescent="0.25">
      <c r="H754" s="1"/>
    </row>
    <row r="755" spans="8:8" x14ac:dyDescent="0.25">
      <c r="H755" s="1"/>
    </row>
    <row r="756" spans="8:8" x14ac:dyDescent="0.25">
      <c r="H756" s="1"/>
    </row>
    <row r="757" spans="8:8" x14ac:dyDescent="0.25">
      <c r="H757" s="1"/>
    </row>
    <row r="758" spans="8:8" x14ac:dyDescent="0.25">
      <c r="H758" s="1"/>
    </row>
    <row r="759" spans="8:8" x14ac:dyDescent="0.25">
      <c r="H759" s="1"/>
    </row>
    <row r="760" spans="8:8" x14ac:dyDescent="0.25">
      <c r="H760" s="1"/>
    </row>
    <row r="761" spans="8:8" x14ac:dyDescent="0.25">
      <c r="H761" s="1"/>
    </row>
    <row r="762" spans="8:8" x14ac:dyDescent="0.25">
      <c r="H762" s="1"/>
    </row>
    <row r="763" spans="8:8" x14ac:dyDescent="0.25">
      <c r="H763" s="1"/>
    </row>
    <row r="764" spans="8:8" x14ac:dyDescent="0.25">
      <c r="H764" s="1"/>
    </row>
    <row r="765" spans="8:8" x14ac:dyDescent="0.25">
      <c r="H765" s="1"/>
    </row>
    <row r="766" spans="8:8" x14ac:dyDescent="0.25">
      <c r="H766" s="1"/>
    </row>
    <row r="767" spans="8:8" x14ac:dyDescent="0.25">
      <c r="H767" s="1"/>
    </row>
    <row r="768" spans="8:8" x14ac:dyDescent="0.25">
      <c r="H768" s="1"/>
    </row>
    <row r="769" spans="8:8" x14ac:dyDescent="0.25">
      <c r="H769" s="1"/>
    </row>
    <row r="770" spans="8:8" x14ac:dyDescent="0.25">
      <c r="H770" s="1"/>
    </row>
    <row r="771" spans="8:8" x14ac:dyDescent="0.25">
      <c r="H771" s="1"/>
    </row>
    <row r="772" spans="8:8" x14ac:dyDescent="0.25">
      <c r="H772" s="1"/>
    </row>
    <row r="773" spans="8:8" x14ac:dyDescent="0.25">
      <c r="H773" s="1"/>
    </row>
    <row r="774" spans="8:8" x14ac:dyDescent="0.25">
      <c r="H774" s="1"/>
    </row>
    <row r="775" spans="8:8" x14ac:dyDescent="0.25">
      <c r="H775" s="1"/>
    </row>
    <row r="776" spans="8:8" x14ac:dyDescent="0.25">
      <c r="H776" s="1"/>
    </row>
    <row r="777" spans="8:8" x14ac:dyDescent="0.25">
      <c r="H777" s="1"/>
    </row>
    <row r="778" spans="8:8" x14ac:dyDescent="0.25">
      <c r="H778" s="1"/>
    </row>
    <row r="779" spans="8:8" x14ac:dyDescent="0.25">
      <c r="H779" s="1"/>
    </row>
    <row r="780" spans="8:8" x14ac:dyDescent="0.25">
      <c r="H780" s="1"/>
    </row>
    <row r="781" spans="8:8" x14ac:dyDescent="0.25">
      <c r="H781" s="1"/>
    </row>
    <row r="782" spans="8:8" x14ac:dyDescent="0.25">
      <c r="H782" s="1"/>
    </row>
    <row r="783" spans="8:8" x14ac:dyDescent="0.25">
      <c r="H783" s="1"/>
    </row>
    <row r="784" spans="8:8" x14ac:dyDescent="0.25">
      <c r="H784" s="1"/>
    </row>
    <row r="785" spans="8:8" x14ac:dyDescent="0.25">
      <c r="H785" s="1"/>
    </row>
    <row r="786" spans="8:8" x14ac:dyDescent="0.25">
      <c r="H786" s="1"/>
    </row>
    <row r="787" spans="8:8" x14ac:dyDescent="0.25">
      <c r="H787" s="1"/>
    </row>
    <row r="788" spans="8:8" x14ac:dyDescent="0.25">
      <c r="H788" s="1"/>
    </row>
    <row r="789" spans="8:8" x14ac:dyDescent="0.25">
      <c r="H789" s="1"/>
    </row>
    <row r="790" spans="8:8" x14ac:dyDescent="0.25">
      <c r="H790" s="1"/>
    </row>
    <row r="791" spans="8:8" x14ac:dyDescent="0.25">
      <c r="H791" s="1"/>
    </row>
    <row r="792" spans="8:8" x14ac:dyDescent="0.25">
      <c r="H792" s="1"/>
    </row>
    <row r="793" spans="8:8" x14ac:dyDescent="0.25">
      <c r="H793" s="1"/>
    </row>
    <row r="794" spans="8:8" x14ac:dyDescent="0.25">
      <c r="H794" s="1"/>
    </row>
    <row r="795" spans="8:8" x14ac:dyDescent="0.25">
      <c r="H795" s="1"/>
    </row>
    <row r="796" spans="8:8" x14ac:dyDescent="0.25">
      <c r="H796" s="1"/>
    </row>
    <row r="797" spans="8:8" x14ac:dyDescent="0.25">
      <c r="H797" s="1"/>
    </row>
    <row r="798" spans="8:8" x14ac:dyDescent="0.25">
      <c r="H798" s="1"/>
    </row>
    <row r="799" spans="8:8" x14ac:dyDescent="0.25">
      <c r="H799" s="1"/>
    </row>
    <row r="800" spans="8:8" x14ac:dyDescent="0.25">
      <c r="H800" s="1"/>
    </row>
    <row r="801" spans="8:8" x14ac:dyDescent="0.25">
      <c r="H801" s="1"/>
    </row>
    <row r="802" spans="8:8" x14ac:dyDescent="0.25">
      <c r="H802" s="1"/>
    </row>
    <row r="803" spans="8:8" x14ac:dyDescent="0.25">
      <c r="H803" s="1"/>
    </row>
    <row r="804" spans="8:8" x14ac:dyDescent="0.25">
      <c r="H804" s="1"/>
    </row>
    <row r="805" spans="8:8" x14ac:dyDescent="0.25">
      <c r="H805" s="1"/>
    </row>
    <row r="806" spans="8:8" x14ac:dyDescent="0.25">
      <c r="H806" s="1"/>
    </row>
    <row r="807" spans="8:8" x14ac:dyDescent="0.25">
      <c r="H807" s="1"/>
    </row>
    <row r="808" spans="8:8" x14ac:dyDescent="0.25">
      <c r="H808" s="1"/>
    </row>
    <row r="809" spans="8:8" x14ac:dyDescent="0.25">
      <c r="H809" s="1"/>
    </row>
    <row r="810" spans="8:8" x14ac:dyDescent="0.25">
      <c r="H810" s="1"/>
    </row>
    <row r="811" spans="8:8" x14ac:dyDescent="0.25">
      <c r="H811" s="1"/>
    </row>
    <row r="812" spans="8:8" x14ac:dyDescent="0.25">
      <c r="H812" s="1"/>
    </row>
    <row r="813" spans="8:8" x14ac:dyDescent="0.25">
      <c r="H813" s="1"/>
    </row>
    <row r="814" spans="8:8" x14ac:dyDescent="0.25">
      <c r="H814" s="1"/>
    </row>
    <row r="815" spans="8:8" x14ac:dyDescent="0.25">
      <c r="H815" s="1"/>
    </row>
    <row r="816" spans="8:8" x14ac:dyDescent="0.25">
      <c r="H816" s="1"/>
    </row>
    <row r="817" spans="8:8" x14ac:dyDescent="0.25">
      <c r="H817" s="1"/>
    </row>
    <row r="818" spans="8:8" x14ac:dyDescent="0.25">
      <c r="H818" s="1"/>
    </row>
    <row r="819" spans="8:8" x14ac:dyDescent="0.25">
      <c r="H819" s="1"/>
    </row>
    <row r="820" spans="8:8" x14ac:dyDescent="0.25">
      <c r="H820" s="1"/>
    </row>
    <row r="821" spans="8:8" x14ac:dyDescent="0.25">
      <c r="H821" s="1"/>
    </row>
    <row r="822" spans="8:8" x14ac:dyDescent="0.25">
      <c r="H822" s="1"/>
    </row>
    <row r="823" spans="8:8" x14ac:dyDescent="0.25">
      <c r="H823" s="1"/>
    </row>
    <row r="824" spans="8:8" x14ac:dyDescent="0.25">
      <c r="H824" s="1"/>
    </row>
    <row r="825" spans="8:8" x14ac:dyDescent="0.25">
      <c r="H825" s="1"/>
    </row>
    <row r="826" spans="8:8" x14ac:dyDescent="0.25">
      <c r="H826" s="1"/>
    </row>
    <row r="827" spans="8:8" x14ac:dyDescent="0.25">
      <c r="H827" s="1"/>
    </row>
    <row r="828" spans="8:8" x14ac:dyDescent="0.25">
      <c r="H828" s="1"/>
    </row>
    <row r="829" spans="8:8" x14ac:dyDescent="0.25">
      <c r="H829" s="1"/>
    </row>
    <row r="830" spans="8:8" x14ac:dyDescent="0.25">
      <c r="H830" s="1"/>
    </row>
    <row r="831" spans="8:8" x14ac:dyDescent="0.25">
      <c r="H831" s="1"/>
    </row>
    <row r="832" spans="8:8" x14ac:dyDescent="0.25">
      <c r="H832" s="1"/>
    </row>
    <row r="833" spans="8:8" x14ac:dyDescent="0.25">
      <c r="H833" s="1"/>
    </row>
    <row r="834" spans="8:8" x14ac:dyDescent="0.25">
      <c r="H834" s="1"/>
    </row>
    <row r="835" spans="8:8" x14ac:dyDescent="0.25">
      <c r="H835" s="1"/>
    </row>
    <row r="836" spans="8:8" x14ac:dyDescent="0.25">
      <c r="H836" s="1"/>
    </row>
    <row r="837" spans="8:8" x14ac:dyDescent="0.25">
      <c r="H837" s="1"/>
    </row>
    <row r="838" spans="8:8" x14ac:dyDescent="0.25">
      <c r="H838" s="1"/>
    </row>
    <row r="839" spans="8:8" x14ac:dyDescent="0.25">
      <c r="H839" s="1"/>
    </row>
    <row r="840" spans="8:8" x14ac:dyDescent="0.25">
      <c r="H840" s="1"/>
    </row>
    <row r="841" spans="8:8" x14ac:dyDescent="0.25">
      <c r="H841" s="1"/>
    </row>
    <row r="842" spans="8:8" x14ac:dyDescent="0.25">
      <c r="H842" s="1"/>
    </row>
    <row r="843" spans="8:8" x14ac:dyDescent="0.25">
      <c r="H843" s="1"/>
    </row>
    <row r="844" spans="8:8" x14ac:dyDescent="0.25">
      <c r="H844" s="1"/>
    </row>
    <row r="845" spans="8:8" x14ac:dyDescent="0.25">
      <c r="H845" s="1"/>
    </row>
    <row r="846" spans="8:8" x14ac:dyDescent="0.25">
      <c r="H846" s="1"/>
    </row>
    <row r="847" spans="8:8" x14ac:dyDescent="0.25">
      <c r="H847" s="1"/>
    </row>
    <row r="848" spans="8:8" x14ac:dyDescent="0.25">
      <c r="H848" s="1"/>
    </row>
    <row r="849" spans="8:8" x14ac:dyDescent="0.25">
      <c r="H849" s="1"/>
    </row>
    <row r="850" spans="8:8" x14ac:dyDescent="0.25">
      <c r="H850" s="1"/>
    </row>
    <row r="851" spans="8:8" x14ac:dyDescent="0.25">
      <c r="H851" s="1"/>
    </row>
    <row r="852" spans="8:8" x14ac:dyDescent="0.25">
      <c r="H852" s="1"/>
    </row>
    <row r="853" spans="8:8" x14ac:dyDescent="0.25">
      <c r="H853" s="1"/>
    </row>
    <row r="854" spans="8:8" x14ac:dyDescent="0.25">
      <c r="H854" s="1"/>
    </row>
    <row r="855" spans="8:8" x14ac:dyDescent="0.25">
      <c r="H855" s="1"/>
    </row>
    <row r="856" spans="8:8" x14ac:dyDescent="0.25">
      <c r="H856" s="1"/>
    </row>
    <row r="857" spans="8:8" x14ac:dyDescent="0.25">
      <c r="H857" s="1"/>
    </row>
    <row r="858" spans="8:8" x14ac:dyDescent="0.25">
      <c r="H858" s="1"/>
    </row>
    <row r="859" spans="8:8" x14ac:dyDescent="0.25">
      <c r="H859" s="1"/>
    </row>
    <row r="860" spans="8:8" x14ac:dyDescent="0.25">
      <c r="H860" s="1"/>
    </row>
    <row r="861" spans="8:8" x14ac:dyDescent="0.25">
      <c r="H861" s="1"/>
    </row>
    <row r="862" spans="8:8" x14ac:dyDescent="0.25">
      <c r="H862" s="1"/>
    </row>
    <row r="863" spans="8:8" x14ac:dyDescent="0.25">
      <c r="H863" s="1"/>
    </row>
    <row r="864" spans="8:8" x14ac:dyDescent="0.25">
      <c r="H864" s="1"/>
    </row>
    <row r="865" spans="8:8" x14ac:dyDescent="0.25">
      <c r="H865" s="1"/>
    </row>
    <row r="866" spans="8:8" x14ac:dyDescent="0.25">
      <c r="H866" s="1"/>
    </row>
    <row r="867" spans="8:8" x14ac:dyDescent="0.25">
      <c r="H867" s="1"/>
    </row>
    <row r="868" spans="8:8" x14ac:dyDescent="0.25">
      <c r="H868" s="1"/>
    </row>
    <row r="869" spans="8:8" x14ac:dyDescent="0.25">
      <c r="H869" s="1"/>
    </row>
    <row r="870" spans="8:8" x14ac:dyDescent="0.25">
      <c r="H870" s="1"/>
    </row>
    <row r="871" spans="8:8" x14ac:dyDescent="0.25">
      <c r="H871" s="1"/>
    </row>
    <row r="872" spans="8:8" x14ac:dyDescent="0.25">
      <c r="H872" s="1"/>
    </row>
    <row r="873" spans="8:8" x14ac:dyDescent="0.25">
      <c r="H873" s="1"/>
    </row>
    <row r="874" spans="8:8" x14ac:dyDescent="0.25">
      <c r="H874" s="1"/>
    </row>
    <row r="875" spans="8:8" x14ac:dyDescent="0.25">
      <c r="H875" s="1"/>
    </row>
    <row r="876" spans="8:8" x14ac:dyDescent="0.25">
      <c r="H876" s="1"/>
    </row>
    <row r="877" spans="8:8" x14ac:dyDescent="0.25">
      <c r="H877" s="1"/>
    </row>
    <row r="878" spans="8:8" x14ac:dyDescent="0.25">
      <c r="H878" s="1"/>
    </row>
    <row r="879" spans="8:8" x14ac:dyDescent="0.25">
      <c r="H879" s="1"/>
    </row>
    <row r="880" spans="8:8" x14ac:dyDescent="0.25">
      <c r="H880" s="1"/>
    </row>
    <row r="881" spans="8:8" x14ac:dyDescent="0.25">
      <c r="H881" s="1"/>
    </row>
    <row r="882" spans="8:8" x14ac:dyDescent="0.25">
      <c r="H882" s="1"/>
    </row>
    <row r="883" spans="8:8" x14ac:dyDescent="0.25">
      <c r="H883" s="1"/>
    </row>
    <row r="884" spans="8:8" x14ac:dyDescent="0.25">
      <c r="H884" s="1"/>
    </row>
    <row r="885" spans="8:8" x14ac:dyDescent="0.25">
      <c r="H885" s="1"/>
    </row>
    <row r="886" spans="8:8" x14ac:dyDescent="0.25">
      <c r="H886" s="1"/>
    </row>
    <row r="887" spans="8:8" x14ac:dyDescent="0.25">
      <c r="H887" s="1"/>
    </row>
    <row r="888" spans="8:8" x14ac:dyDescent="0.25">
      <c r="H888" s="1"/>
    </row>
    <row r="889" spans="8:8" x14ac:dyDescent="0.25">
      <c r="H889" s="1"/>
    </row>
    <row r="890" spans="8:8" x14ac:dyDescent="0.25">
      <c r="H890" s="1"/>
    </row>
    <row r="891" spans="8:8" x14ac:dyDescent="0.25">
      <c r="H891" s="1"/>
    </row>
    <row r="892" spans="8:8" x14ac:dyDescent="0.25">
      <c r="H892" s="1"/>
    </row>
    <row r="893" spans="8:8" x14ac:dyDescent="0.25">
      <c r="H893" s="1"/>
    </row>
    <row r="894" spans="8:8" x14ac:dyDescent="0.25">
      <c r="H894" s="1"/>
    </row>
    <row r="895" spans="8:8" x14ac:dyDescent="0.25">
      <c r="H895" s="1"/>
    </row>
    <row r="896" spans="8:8" x14ac:dyDescent="0.25">
      <c r="H896" s="1"/>
    </row>
    <row r="897" spans="8:8" x14ac:dyDescent="0.25">
      <c r="H897" s="1"/>
    </row>
    <row r="898" spans="8:8" x14ac:dyDescent="0.25">
      <c r="H898" s="1"/>
    </row>
    <row r="899" spans="8:8" x14ac:dyDescent="0.25">
      <c r="H899" s="1"/>
    </row>
    <row r="900" spans="8:8" x14ac:dyDescent="0.25">
      <c r="H900" s="1"/>
    </row>
    <row r="901" spans="8:8" x14ac:dyDescent="0.25">
      <c r="H901" s="1"/>
    </row>
    <row r="902" spans="8:8" x14ac:dyDescent="0.25">
      <c r="H902" s="1"/>
    </row>
    <row r="903" spans="8:8" x14ac:dyDescent="0.25">
      <c r="H903" s="1"/>
    </row>
    <row r="904" spans="8:8" x14ac:dyDescent="0.25">
      <c r="H904" s="1"/>
    </row>
    <row r="905" spans="8:8" x14ac:dyDescent="0.25">
      <c r="H905" s="1"/>
    </row>
    <row r="906" spans="8:8" x14ac:dyDescent="0.25">
      <c r="H906" s="1"/>
    </row>
    <row r="907" spans="8:8" x14ac:dyDescent="0.25">
      <c r="H907" s="1"/>
    </row>
    <row r="908" spans="8:8" x14ac:dyDescent="0.25">
      <c r="H908" s="1"/>
    </row>
    <row r="909" spans="8:8" x14ac:dyDescent="0.25">
      <c r="H909" s="1"/>
    </row>
    <row r="910" spans="8:8" x14ac:dyDescent="0.25">
      <c r="H910" s="1"/>
    </row>
    <row r="911" spans="8:8" x14ac:dyDescent="0.25">
      <c r="H911" s="1"/>
    </row>
    <row r="912" spans="8:8" x14ac:dyDescent="0.25">
      <c r="H912" s="1"/>
    </row>
    <row r="913" spans="8:8" x14ac:dyDescent="0.25">
      <c r="H913" s="1"/>
    </row>
    <row r="914" spans="8:8" x14ac:dyDescent="0.25">
      <c r="H914" s="1"/>
    </row>
    <row r="915" spans="8:8" x14ac:dyDescent="0.25">
      <c r="H915" s="1"/>
    </row>
    <row r="916" spans="8:8" x14ac:dyDescent="0.25">
      <c r="H916" s="1"/>
    </row>
    <row r="917" spans="8:8" x14ac:dyDescent="0.25">
      <c r="H917" s="1"/>
    </row>
    <row r="918" spans="8:8" x14ac:dyDescent="0.25">
      <c r="H918" s="1"/>
    </row>
    <row r="919" spans="8:8" x14ac:dyDescent="0.25">
      <c r="H919" s="1"/>
    </row>
    <row r="920" spans="8:8" x14ac:dyDescent="0.25">
      <c r="H920" s="1"/>
    </row>
    <row r="921" spans="8:8" x14ac:dyDescent="0.25">
      <c r="H921" s="1"/>
    </row>
    <row r="922" spans="8:8" x14ac:dyDescent="0.25">
      <c r="H922" s="1"/>
    </row>
    <row r="923" spans="8:8" x14ac:dyDescent="0.25">
      <c r="H923" s="1"/>
    </row>
    <row r="924" spans="8:8" x14ac:dyDescent="0.25">
      <c r="H924" s="1"/>
    </row>
    <row r="925" spans="8:8" x14ac:dyDescent="0.25">
      <c r="H925" s="1"/>
    </row>
    <row r="926" spans="8:8" x14ac:dyDescent="0.25">
      <c r="H926" s="1"/>
    </row>
    <row r="927" spans="8:8" x14ac:dyDescent="0.25">
      <c r="H927" s="1"/>
    </row>
    <row r="928" spans="8:8" x14ac:dyDescent="0.25">
      <c r="H928" s="1"/>
    </row>
    <row r="929" spans="8:8" x14ac:dyDescent="0.25">
      <c r="H929" s="1"/>
    </row>
    <row r="930" spans="8:8" x14ac:dyDescent="0.25">
      <c r="H930" s="1"/>
    </row>
    <row r="931" spans="8:8" x14ac:dyDescent="0.25">
      <c r="H931" s="1"/>
    </row>
    <row r="932" spans="8:8" x14ac:dyDescent="0.25">
      <c r="H932" s="1"/>
    </row>
    <row r="933" spans="8:8" x14ac:dyDescent="0.25">
      <c r="H933" s="1"/>
    </row>
    <row r="934" spans="8:8" x14ac:dyDescent="0.25">
      <c r="H934" s="1"/>
    </row>
    <row r="935" spans="8:8" x14ac:dyDescent="0.25">
      <c r="H935" s="1"/>
    </row>
    <row r="936" spans="8:8" x14ac:dyDescent="0.25">
      <c r="H936" s="1"/>
    </row>
    <row r="937" spans="8:8" x14ac:dyDescent="0.25">
      <c r="H937" s="1"/>
    </row>
    <row r="938" spans="8:8" x14ac:dyDescent="0.25">
      <c r="H938" s="1"/>
    </row>
    <row r="939" spans="8:8" x14ac:dyDescent="0.25">
      <c r="H939" s="1"/>
    </row>
    <row r="940" spans="8:8" x14ac:dyDescent="0.25">
      <c r="H940" s="1"/>
    </row>
    <row r="941" spans="8:8" x14ac:dyDescent="0.25">
      <c r="H941" s="1"/>
    </row>
    <row r="942" spans="8:8" x14ac:dyDescent="0.25">
      <c r="H942" s="1"/>
    </row>
    <row r="943" spans="8:8" x14ac:dyDescent="0.25">
      <c r="H943" s="1"/>
    </row>
    <row r="944" spans="8:8" x14ac:dyDescent="0.25">
      <c r="H944" s="1"/>
    </row>
    <row r="945" spans="8:8" x14ac:dyDescent="0.25">
      <c r="H945" s="1"/>
    </row>
    <row r="946" spans="8:8" x14ac:dyDescent="0.25">
      <c r="H946" s="1"/>
    </row>
    <row r="947" spans="8:8" x14ac:dyDescent="0.25">
      <c r="H947" s="1"/>
    </row>
    <row r="948" spans="8:8" x14ac:dyDescent="0.25">
      <c r="H948" s="1"/>
    </row>
    <row r="949" spans="8:8" x14ac:dyDescent="0.25">
      <c r="H949" s="1"/>
    </row>
    <row r="950" spans="8:8" x14ac:dyDescent="0.25">
      <c r="H950" s="1"/>
    </row>
    <row r="951" spans="8:8" x14ac:dyDescent="0.25">
      <c r="H951" s="1"/>
    </row>
    <row r="952" spans="8:8" x14ac:dyDescent="0.25">
      <c r="H952" s="1"/>
    </row>
    <row r="953" spans="8:8" x14ac:dyDescent="0.25">
      <c r="H953" s="1"/>
    </row>
    <row r="954" spans="8:8" x14ac:dyDescent="0.25">
      <c r="H954" s="1"/>
    </row>
    <row r="955" spans="8:8" x14ac:dyDescent="0.25">
      <c r="H955" s="1"/>
    </row>
    <row r="956" spans="8:8" x14ac:dyDescent="0.25">
      <c r="H956" s="1"/>
    </row>
    <row r="957" spans="8:8" x14ac:dyDescent="0.25">
      <c r="H957" s="1"/>
    </row>
    <row r="958" spans="8:8" x14ac:dyDescent="0.25">
      <c r="H958" s="1"/>
    </row>
    <row r="959" spans="8:8" x14ac:dyDescent="0.25">
      <c r="H959" s="1"/>
    </row>
    <row r="960" spans="8:8" x14ac:dyDescent="0.25">
      <c r="H960" s="1"/>
    </row>
    <row r="961" spans="8:8" x14ac:dyDescent="0.25">
      <c r="H961" s="1"/>
    </row>
    <row r="962" spans="8:8" x14ac:dyDescent="0.25">
      <c r="H962" s="1"/>
    </row>
    <row r="963" spans="8:8" x14ac:dyDescent="0.25">
      <c r="H963" s="1"/>
    </row>
    <row r="964" spans="8:8" x14ac:dyDescent="0.25">
      <c r="H964" s="1"/>
    </row>
    <row r="965" spans="8:8" x14ac:dyDescent="0.25">
      <c r="H965" s="1"/>
    </row>
    <row r="966" spans="8:8" x14ac:dyDescent="0.25">
      <c r="H966" s="1"/>
    </row>
    <row r="967" spans="8:8" x14ac:dyDescent="0.25">
      <c r="H967" s="1"/>
    </row>
    <row r="968" spans="8:8" x14ac:dyDescent="0.25">
      <c r="H968" s="1"/>
    </row>
    <row r="969" spans="8:8" x14ac:dyDescent="0.25">
      <c r="H969" s="1"/>
    </row>
    <row r="970" spans="8:8" x14ac:dyDescent="0.25">
      <c r="H970" s="1"/>
    </row>
    <row r="971" spans="8:8" x14ac:dyDescent="0.25">
      <c r="H971" s="1"/>
    </row>
    <row r="972" spans="8:8" x14ac:dyDescent="0.25">
      <c r="H972" s="1"/>
    </row>
    <row r="973" spans="8:8" x14ac:dyDescent="0.25">
      <c r="H973" s="1"/>
    </row>
    <row r="974" spans="8:8" x14ac:dyDescent="0.25">
      <c r="H974" s="1"/>
    </row>
    <row r="975" spans="8:8" x14ac:dyDescent="0.25">
      <c r="H975" s="1"/>
    </row>
    <row r="976" spans="8:8" x14ac:dyDescent="0.25">
      <c r="H976" s="1"/>
    </row>
    <row r="977" spans="8:8" x14ac:dyDescent="0.25">
      <c r="H977" s="1"/>
    </row>
    <row r="978" spans="8:8" x14ac:dyDescent="0.25">
      <c r="H978" s="1"/>
    </row>
    <row r="979" spans="8:8" x14ac:dyDescent="0.25">
      <c r="H979" s="1"/>
    </row>
    <row r="980" spans="8:8" x14ac:dyDescent="0.25">
      <c r="H980" s="1"/>
    </row>
    <row r="981" spans="8:8" x14ac:dyDescent="0.25">
      <c r="H981" s="1"/>
    </row>
    <row r="982" spans="8:8" x14ac:dyDescent="0.25">
      <c r="H982" s="1"/>
    </row>
    <row r="983" spans="8:8" x14ac:dyDescent="0.25">
      <c r="H983" s="1"/>
    </row>
    <row r="984" spans="8:8" x14ac:dyDescent="0.25">
      <c r="H984" s="1"/>
    </row>
    <row r="985" spans="8:8" x14ac:dyDescent="0.25">
      <c r="H985" s="1"/>
    </row>
    <row r="986" spans="8:8" x14ac:dyDescent="0.25">
      <c r="H986" s="1"/>
    </row>
    <row r="987" spans="8:8" x14ac:dyDescent="0.25">
      <c r="H987" s="1"/>
    </row>
    <row r="988" spans="8:8" x14ac:dyDescent="0.25">
      <c r="H988" s="1"/>
    </row>
    <row r="989" spans="8:8" x14ac:dyDescent="0.25">
      <c r="H989" s="1"/>
    </row>
    <row r="990" spans="8:8" x14ac:dyDescent="0.25">
      <c r="H990" s="1"/>
    </row>
    <row r="991" spans="8:8" x14ac:dyDescent="0.25">
      <c r="H991" s="1"/>
    </row>
    <row r="992" spans="8:8" x14ac:dyDescent="0.25">
      <c r="H992" s="1"/>
    </row>
    <row r="993" spans="8:8" x14ac:dyDescent="0.25">
      <c r="H993" s="1"/>
    </row>
    <row r="994" spans="8:8" x14ac:dyDescent="0.25">
      <c r="H994" s="1"/>
    </row>
    <row r="995" spans="8:8" x14ac:dyDescent="0.25">
      <c r="H995" s="1"/>
    </row>
    <row r="996" spans="8:8" x14ac:dyDescent="0.25">
      <c r="H996" s="1"/>
    </row>
    <row r="997" spans="8:8" x14ac:dyDescent="0.25">
      <c r="H997" s="1"/>
    </row>
    <row r="998" spans="8:8" x14ac:dyDescent="0.25">
      <c r="H998" s="1"/>
    </row>
    <row r="999" spans="8:8" x14ac:dyDescent="0.25">
      <c r="H999" s="1"/>
    </row>
    <row r="1000" spans="8:8" x14ac:dyDescent="0.25">
      <c r="H1000" s="1"/>
    </row>
    <row r="1001" spans="8:8" x14ac:dyDescent="0.25">
      <c r="H1001" s="1"/>
    </row>
    <row r="1002" spans="8:8" x14ac:dyDescent="0.25">
      <c r="H1002" s="1"/>
    </row>
    <row r="1003" spans="8:8" x14ac:dyDescent="0.25">
      <c r="H1003" s="1"/>
    </row>
    <row r="1004" spans="8:8" x14ac:dyDescent="0.25">
      <c r="H1004" s="1"/>
    </row>
    <row r="1005" spans="8:8" x14ac:dyDescent="0.25">
      <c r="H1005" s="1"/>
    </row>
    <row r="1006" spans="8:8" x14ac:dyDescent="0.25">
      <c r="H1006" s="1"/>
    </row>
    <row r="1007" spans="8:8" x14ac:dyDescent="0.25">
      <c r="H1007" s="1"/>
    </row>
    <row r="1008" spans="8:8" x14ac:dyDescent="0.25">
      <c r="H1008" s="1"/>
    </row>
    <row r="1009" spans="8:8" x14ac:dyDescent="0.25">
      <c r="H1009" s="1"/>
    </row>
    <row r="1010" spans="8:8" x14ac:dyDescent="0.25">
      <c r="H1010" s="1"/>
    </row>
    <row r="1011" spans="8:8" x14ac:dyDescent="0.25">
      <c r="H1011" s="1"/>
    </row>
    <row r="1012" spans="8:8" x14ac:dyDescent="0.25">
      <c r="H1012" s="1"/>
    </row>
    <row r="1013" spans="8:8" x14ac:dyDescent="0.25">
      <c r="H1013" s="1"/>
    </row>
    <row r="1014" spans="8:8" x14ac:dyDescent="0.25">
      <c r="H1014" s="1"/>
    </row>
    <row r="1015" spans="8:8" x14ac:dyDescent="0.25">
      <c r="H1015" s="1"/>
    </row>
    <row r="1016" spans="8:8" x14ac:dyDescent="0.25">
      <c r="H1016" s="1"/>
    </row>
    <row r="1017" spans="8:8" x14ac:dyDescent="0.25">
      <c r="H1017" s="1"/>
    </row>
    <row r="1018" spans="8:8" x14ac:dyDescent="0.25">
      <c r="H1018" s="1"/>
    </row>
    <row r="1019" spans="8:8" x14ac:dyDescent="0.25">
      <c r="H1019" s="1"/>
    </row>
    <row r="1020" spans="8:8" x14ac:dyDescent="0.25">
      <c r="H1020" s="1"/>
    </row>
    <row r="1021" spans="8:8" x14ac:dyDescent="0.25">
      <c r="H1021" s="1"/>
    </row>
    <row r="1022" spans="8:8" x14ac:dyDescent="0.25">
      <c r="H1022" s="1"/>
    </row>
    <row r="1023" spans="8:8" x14ac:dyDescent="0.25">
      <c r="H1023" s="1"/>
    </row>
    <row r="1024" spans="8:8" x14ac:dyDescent="0.25">
      <c r="H1024" s="1"/>
    </row>
    <row r="1025" spans="8:8" x14ac:dyDescent="0.25">
      <c r="H1025" s="1"/>
    </row>
    <row r="1026" spans="8:8" x14ac:dyDescent="0.25">
      <c r="H1026" s="1"/>
    </row>
    <row r="1027" spans="8:8" x14ac:dyDescent="0.25">
      <c r="H1027" s="1"/>
    </row>
    <row r="1028" spans="8:8" x14ac:dyDescent="0.25">
      <c r="H1028" s="1"/>
    </row>
    <row r="1029" spans="8:8" x14ac:dyDescent="0.25">
      <c r="H1029" s="1"/>
    </row>
    <row r="1030" spans="8:8" x14ac:dyDescent="0.25">
      <c r="H1030" s="1"/>
    </row>
    <row r="1031" spans="8:8" x14ac:dyDescent="0.25">
      <c r="H1031" s="1"/>
    </row>
    <row r="1032" spans="8:8" x14ac:dyDescent="0.25">
      <c r="H1032" s="1"/>
    </row>
    <row r="1033" spans="8:8" x14ac:dyDescent="0.25">
      <c r="H1033" s="1"/>
    </row>
    <row r="1034" spans="8:8" x14ac:dyDescent="0.25">
      <c r="H1034" s="1"/>
    </row>
    <row r="1035" spans="8:8" x14ac:dyDescent="0.25">
      <c r="H1035" s="1"/>
    </row>
    <row r="1036" spans="8:8" x14ac:dyDescent="0.25">
      <c r="H1036" s="1"/>
    </row>
    <row r="1037" spans="8:8" x14ac:dyDescent="0.25">
      <c r="H1037" s="1"/>
    </row>
    <row r="1038" spans="8:8" x14ac:dyDescent="0.25">
      <c r="H1038" s="1"/>
    </row>
    <row r="1039" spans="8:8" x14ac:dyDescent="0.25">
      <c r="H1039" s="1"/>
    </row>
    <row r="1040" spans="8:8" x14ac:dyDescent="0.25">
      <c r="H1040" s="1"/>
    </row>
    <row r="1041" spans="8:8" x14ac:dyDescent="0.25">
      <c r="H1041" s="1"/>
    </row>
    <row r="1042" spans="8:8" x14ac:dyDescent="0.25">
      <c r="H1042" s="1"/>
    </row>
    <row r="1043" spans="8:8" x14ac:dyDescent="0.25">
      <c r="H1043" s="1"/>
    </row>
    <row r="1044" spans="8:8" x14ac:dyDescent="0.25">
      <c r="H1044" s="1"/>
    </row>
    <row r="1045" spans="8:8" x14ac:dyDescent="0.25">
      <c r="H1045" s="1"/>
    </row>
    <row r="1046" spans="8:8" x14ac:dyDescent="0.25">
      <c r="H1046" s="1"/>
    </row>
    <row r="1047" spans="8:8" x14ac:dyDescent="0.25">
      <c r="H1047" s="1"/>
    </row>
    <row r="1048" spans="8:8" x14ac:dyDescent="0.25">
      <c r="H1048" s="1"/>
    </row>
    <row r="1049" spans="8:8" x14ac:dyDescent="0.25">
      <c r="H1049" s="1"/>
    </row>
    <row r="1050" spans="8:8" x14ac:dyDescent="0.25">
      <c r="H1050" s="1"/>
    </row>
    <row r="1051" spans="8:8" x14ac:dyDescent="0.25">
      <c r="H1051" s="1"/>
    </row>
    <row r="1052" spans="8:8" x14ac:dyDescent="0.25">
      <c r="H1052" s="1"/>
    </row>
    <row r="1053" spans="8:8" x14ac:dyDescent="0.25">
      <c r="H1053" s="1"/>
    </row>
    <row r="1054" spans="8:8" x14ac:dyDescent="0.25">
      <c r="H1054" s="1"/>
    </row>
    <row r="1055" spans="8:8" x14ac:dyDescent="0.25">
      <c r="H1055" s="1"/>
    </row>
    <row r="1056" spans="8:8" x14ac:dyDescent="0.25">
      <c r="H1056" s="1"/>
    </row>
    <row r="1057" spans="8:8" x14ac:dyDescent="0.25">
      <c r="H1057" s="1"/>
    </row>
    <row r="1058" spans="8:8" x14ac:dyDescent="0.25">
      <c r="H1058" s="1"/>
    </row>
    <row r="1059" spans="8:8" x14ac:dyDescent="0.25">
      <c r="H1059" s="1"/>
    </row>
    <row r="1060" spans="8:8" x14ac:dyDescent="0.25">
      <c r="H1060" s="1"/>
    </row>
    <row r="1061" spans="8:8" x14ac:dyDescent="0.25">
      <c r="H1061" s="1"/>
    </row>
    <row r="1062" spans="8:8" x14ac:dyDescent="0.25">
      <c r="H1062" s="1"/>
    </row>
    <row r="1063" spans="8:8" x14ac:dyDescent="0.25">
      <c r="H1063" s="1"/>
    </row>
    <row r="1064" spans="8:8" x14ac:dyDescent="0.25">
      <c r="H1064" s="1"/>
    </row>
    <row r="1065" spans="8:8" x14ac:dyDescent="0.25">
      <c r="H1065" s="1"/>
    </row>
    <row r="1066" spans="8:8" x14ac:dyDescent="0.25">
      <c r="H1066" s="1"/>
    </row>
    <row r="1067" spans="8:8" x14ac:dyDescent="0.25">
      <c r="H1067" s="1"/>
    </row>
    <row r="1068" spans="8:8" x14ac:dyDescent="0.25">
      <c r="H1068" s="1"/>
    </row>
    <row r="1069" spans="8:8" x14ac:dyDescent="0.25">
      <c r="H1069" s="1"/>
    </row>
    <row r="1070" spans="8:8" x14ac:dyDescent="0.25">
      <c r="H1070" s="1"/>
    </row>
    <row r="1071" spans="8:8" x14ac:dyDescent="0.25">
      <c r="H1071" s="1"/>
    </row>
    <row r="1072" spans="8:8" x14ac:dyDescent="0.25">
      <c r="H1072" s="1"/>
    </row>
    <row r="1073" spans="8:8" x14ac:dyDescent="0.25">
      <c r="H1073" s="1"/>
    </row>
    <row r="1074" spans="8:8" x14ac:dyDescent="0.25">
      <c r="H1074" s="1"/>
    </row>
    <row r="1075" spans="8:8" x14ac:dyDescent="0.25">
      <c r="H1075" s="1"/>
    </row>
    <row r="1076" spans="8:8" x14ac:dyDescent="0.25">
      <c r="H1076" s="1"/>
    </row>
    <row r="1077" spans="8:8" x14ac:dyDescent="0.25">
      <c r="H1077" s="1"/>
    </row>
    <row r="1078" spans="8:8" x14ac:dyDescent="0.25">
      <c r="H1078" s="1"/>
    </row>
    <row r="1079" spans="8:8" x14ac:dyDescent="0.25">
      <c r="H1079" s="1"/>
    </row>
    <row r="1080" spans="8:8" x14ac:dyDescent="0.25">
      <c r="H1080" s="1"/>
    </row>
    <row r="1081" spans="8:8" x14ac:dyDescent="0.25">
      <c r="H1081" s="1"/>
    </row>
    <row r="1082" spans="8:8" x14ac:dyDescent="0.25">
      <c r="H1082" s="1"/>
    </row>
    <row r="1083" spans="8:8" x14ac:dyDescent="0.25">
      <c r="H1083" s="1"/>
    </row>
    <row r="1084" spans="8:8" x14ac:dyDescent="0.25">
      <c r="H1084" s="1"/>
    </row>
    <row r="1085" spans="8:8" x14ac:dyDescent="0.25">
      <c r="H1085" s="1"/>
    </row>
    <row r="1086" spans="8:8" x14ac:dyDescent="0.25">
      <c r="H1086" s="1"/>
    </row>
    <row r="1087" spans="8:8" x14ac:dyDescent="0.25">
      <c r="H1087" s="1"/>
    </row>
    <row r="1088" spans="8:8" x14ac:dyDescent="0.25">
      <c r="H1088" s="1"/>
    </row>
    <row r="1089" spans="8:8" x14ac:dyDescent="0.25">
      <c r="H1089" s="1"/>
    </row>
    <row r="1090" spans="8:8" x14ac:dyDescent="0.25">
      <c r="H1090" s="1"/>
    </row>
    <row r="1091" spans="8:8" x14ac:dyDescent="0.25">
      <c r="H1091" s="1"/>
    </row>
    <row r="1092" spans="8:8" x14ac:dyDescent="0.25">
      <c r="H1092" s="1"/>
    </row>
    <row r="1093" spans="8:8" x14ac:dyDescent="0.25">
      <c r="H1093" s="1"/>
    </row>
    <row r="1094" spans="8:8" x14ac:dyDescent="0.25">
      <c r="H1094" s="1"/>
    </row>
    <row r="1095" spans="8:8" x14ac:dyDescent="0.25">
      <c r="H1095" s="1"/>
    </row>
    <row r="1096" spans="8:8" x14ac:dyDescent="0.25">
      <c r="H1096" s="1"/>
    </row>
    <row r="1097" spans="8:8" x14ac:dyDescent="0.25">
      <c r="H1097" s="1"/>
    </row>
    <row r="1098" spans="8:8" x14ac:dyDescent="0.25">
      <c r="H1098" s="1"/>
    </row>
    <row r="1099" spans="8:8" x14ac:dyDescent="0.25">
      <c r="H1099" s="1"/>
    </row>
    <row r="1100" spans="8:8" x14ac:dyDescent="0.25">
      <c r="H1100" s="1"/>
    </row>
    <row r="1101" spans="8:8" x14ac:dyDescent="0.25">
      <c r="H1101" s="1"/>
    </row>
    <row r="1102" spans="8:8" x14ac:dyDescent="0.25">
      <c r="H1102" s="1"/>
    </row>
    <row r="1103" spans="8:8" x14ac:dyDescent="0.25">
      <c r="H1103" s="1"/>
    </row>
    <row r="1104" spans="8:8" x14ac:dyDescent="0.25">
      <c r="H1104" s="1"/>
    </row>
    <row r="1105" spans="8:8" x14ac:dyDescent="0.25">
      <c r="H1105" s="1"/>
    </row>
    <row r="1106" spans="8:8" x14ac:dyDescent="0.25">
      <c r="H1106" s="1"/>
    </row>
    <row r="1107" spans="8:8" x14ac:dyDescent="0.25">
      <c r="H1107" s="1"/>
    </row>
    <row r="1108" spans="8:8" x14ac:dyDescent="0.25">
      <c r="H1108" s="1"/>
    </row>
    <row r="1109" spans="8:8" x14ac:dyDescent="0.25">
      <c r="H1109" s="1"/>
    </row>
    <row r="1110" spans="8:8" x14ac:dyDescent="0.25">
      <c r="H1110" s="1"/>
    </row>
    <row r="1111" spans="8:8" x14ac:dyDescent="0.25">
      <c r="H1111" s="1"/>
    </row>
    <row r="1112" spans="8:8" x14ac:dyDescent="0.25">
      <c r="H1112" s="1"/>
    </row>
    <row r="1113" spans="8:8" x14ac:dyDescent="0.25">
      <c r="H1113" s="1"/>
    </row>
    <row r="1114" spans="8:8" x14ac:dyDescent="0.25">
      <c r="H1114" s="1"/>
    </row>
    <row r="1115" spans="8:8" x14ac:dyDescent="0.25">
      <c r="H1115" s="1"/>
    </row>
    <row r="1116" spans="8:8" x14ac:dyDescent="0.25">
      <c r="H1116" s="1"/>
    </row>
    <row r="1117" spans="8:8" x14ac:dyDescent="0.25">
      <c r="H1117" s="1"/>
    </row>
    <row r="1118" spans="8:8" x14ac:dyDescent="0.25">
      <c r="H1118" s="1"/>
    </row>
    <row r="1119" spans="8:8" x14ac:dyDescent="0.25">
      <c r="H1119" s="1"/>
    </row>
    <row r="1120" spans="8:8" x14ac:dyDescent="0.25">
      <c r="H1120" s="1"/>
    </row>
    <row r="1121" spans="8:8" x14ac:dyDescent="0.25">
      <c r="H1121" s="1"/>
    </row>
    <row r="1122" spans="8:8" x14ac:dyDescent="0.25">
      <c r="H1122" s="1"/>
    </row>
    <row r="1123" spans="8:8" x14ac:dyDescent="0.25">
      <c r="H1123" s="1"/>
    </row>
    <row r="1124" spans="8:8" x14ac:dyDescent="0.25">
      <c r="H1124" s="1"/>
    </row>
    <row r="1125" spans="8:8" x14ac:dyDescent="0.25">
      <c r="H1125" s="1"/>
    </row>
    <row r="1126" spans="8:8" x14ac:dyDescent="0.25">
      <c r="H1126" s="1"/>
    </row>
    <row r="1127" spans="8:8" x14ac:dyDescent="0.25">
      <c r="H1127" s="1"/>
    </row>
    <row r="1128" spans="8:8" x14ac:dyDescent="0.25">
      <c r="H1128" s="1"/>
    </row>
    <row r="1129" spans="8:8" x14ac:dyDescent="0.25">
      <c r="H1129" s="1"/>
    </row>
    <row r="1130" spans="8:8" x14ac:dyDescent="0.25">
      <c r="H1130" s="1"/>
    </row>
    <row r="1131" spans="8:8" x14ac:dyDescent="0.25">
      <c r="H1131" s="1"/>
    </row>
    <row r="1132" spans="8:8" x14ac:dyDescent="0.25">
      <c r="H1132" s="1"/>
    </row>
    <row r="1133" spans="8:8" x14ac:dyDescent="0.25">
      <c r="H1133" s="1"/>
    </row>
    <row r="1134" spans="8:8" x14ac:dyDescent="0.25">
      <c r="H1134" s="1"/>
    </row>
    <row r="1135" spans="8:8" x14ac:dyDescent="0.25">
      <c r="H1135" s="1"/>
    </row>
    <row r="1136" spans="8:8" x14ac:dyDescent="0.25">
      <c r="H1136" s="1"/>
    </row>
    <row r="1137" spans="8:8" x14ac:dyDescent="0.25">
      <c r="H1137" s="1"/>
    </row>
    <row r="1138" spans="8:8" x14ac:dyDescent="0.25">
      <c r="H1138" s="1"/>
    </row>
    <row r="1139" spans="8:8" x14ac:dyDescent="0.25">
      <c r="H1139" s="1"/>
    </row>
    <row r="1140" spans="8:8" x14ac:dyDescent="0.25">
      <c r="H1140" s="1"/>
    </row>
    <row r="1141" spans="8:8" x14ac:dyDescent="0.25">
      <c r="H1141" s="1"/>
    </row>
    <row r="1142" spans="8:8" x14ac:dyDescent="0.25">
      <c r="H1142" s="1"/>
    </row>
    <row r="1143" spans="8:8" x14ac:dyDescent="0.25">
      <c r="H1143" s="1"/>
    </row>
    <row r="1144" spans="8:8" x14ac:dyDescent="0.25">
      <c r="H1144" s="1"/>
    </row>
    <row r="1145" spans="8:8" x14ac:dyDescent="0.25">
      <c r="H1145" s="1"/>
    </row>
    <row r="1146" spans="8:8" x14ac:dyDescent="0.25">
      <c r="H1146" s="1"/>
    </row>
    <row r="1147" spans="8:8" x14ac:dyDescent="0.25">
      <c r="H1147" s="1"/>
    </row>
    <row r="1148" spans="8:8" x14ac:dyDescent="0.25">
      <c r="H1148" s="1"/>
    </row>
    <row r="1149" spans="8:8" x14ac:dyDescent="0.25">
      <c r="H1149" s="1"/>
    </row>
    <row r="1150" spans="8:8" x14ac:dyDescent="0.25">
      <c r="H1150" s="1"/>
    </row>
    <row r="1151" spans="8:8" x14ac:dyDescent="0.25">
      <c r="H1151" s="1"/>
    </row>
    <row r="1152" spans="8:8" x14ac:dyDescent="0.25">
      <c r="H1152" s="1"/>
    </row>
    <row r="1153" spans="8:8" x14ac:dyDescent="0.25">
      <c r="H1153" s="1"/>
    </row>
    <row r="1154" spans="8:8" x14ac:dyDescent="0.25">
      <c r="H1154" s="1"/>
    </row>
    <row r="1155" spans="8:8" x14ac:dyDescent="0.25">
      <c r="H1155" s="1"/>
    </row>
    <row r="1156" spans="8:8" x14ac:dyDescent="0.25">
      <c r="H1156" s="1"/>
    </row>
    <row r="1157" spans="8:8" x14ac:dyDescent="0.25">
      <c r="H1157" s="1"/>
    </row>
    <row r="1158" spans="8:8" x14ac:dyDescent="0.25">
      <c r="H1158" s="1"/>
    </row>
    <row r="1159" spans="8:8" x14ac:dyDescent="0.25">
      <c r="H1159" s="1"/>
    </row>
    <row r="1160" spans="8:8" x14ac:dyDescent="0.25">
      <c r="H1160" s="1"/>
    </row>
    <row r="1161" spans="8:8" x14ac:dyDescent="0.25">
      <c r="H1161" s="1"/>
    </row>
    <row r="1162" spans="8:8" x14ac:dyDescent="0.25">
      <c r="H1162" s="1"/>
    </row>
    <row r="1163" spans="8:8" x14ac:dyDescent="0.25">
      <c r="H1163" s="1"/>
    </row>
    <row r="1164" spans="8:8" x14ac:dyDescent="0.25">
      <c r="H1164" s="1"/>
    </row>
    <row r="1165" spans="8:8" x14ac:dyDescent="0.25">
      <c r="H1165" s="1"/>
    </row>
    <row r="1166" spans="8:8" x14ac:dyDescent="0.25">
      <c r="H1166" s="1"/>
    </row>
    <row r="1167" spans="8:8" x14ac:dyDescent="0.25">
      <c r="H1167" s="1"/>
    </row>
    <row r="1168" spans="8:8" x14ac:dyDescent="0.25">
      <c r="H1168" s="1"/>
    </row>
    <row r="1169" spans="8:8" x14ac:dyDescent="0.25">
      <c r="H1169" s="1"/>
    </row>
    <row r="1170" spans="8:8" x14ac:dyDescent="0.25">
      <c r="H1170" s="1"/>
    </row>
    <row r="1171" spans="8:8" x14ac:dyDescent="0.25">
      <c r="H1171" s="1"/>
    </row>
    <row r="1172" spans="8:8" x14ac:dyDescent="0.25">
      <c r="H1172" s="1"/>
    </row>
    <row r="1173" spans="8:8" x14ac:dyDescent="0.25">
      <c r="H1173" s="1"/>
    </row>
    <row r="1174" spans="8:8" x14ac:dyDescent="0.25">
      <c r="H1174" s="1"/>
    </row>
    <row r="1175" spans="8:8" x14ac:dyDescent="0.25">
      <c r="H1175" s="1"/>
    </row>
    <row r="1176" spans="8:8" x14ac:dyDescent="0.25">
      <c r="H1176" s="1"/>
    </row>
    <row r="1177" spans="8:8" x14ac:dyDescent="0.25">
      <c r="H1177" s="1"/>
    </row>
    <row r="1178" spans="8:8" x14ac:dyDescent="0.25">
      <c r="H1178" s="1"/>
    </row>
    <row r="1179" spans="8:8" x14ac:dyDescent="0.25">
      <c r="H1179" s="1"/>
    </row>
    <row r="1180" spans="8:8" x14ac:dyDescent="0.25">
      <c r="H1180" s="1"/>
    </row>
    <row r="1181" spans="8:8" x14ac:dyDescent="0.25">
      <c r="H1181" s="1"/>
    </row>
    <row r="1182" spans="8:8" x14ac:dyDescent="0.25">
      <c r="H1182" s="1"/>
    </row>
    <row r="1183" spans="8:8" x14ac:dyDescent="0.25">
      <c r="H1183" s="1"/>
    </row>
    <row r="1184" spans="8:8" x14ac:dyDescent="0.25">
      <c r="H1184" s="1"/>
    </row>
    <row r="1185" spans="8:8" x14ac:dyDescent="0.25">
      <c r="H1185" s="1"/>
    </row>
    <row r="1186" spans="8:8" x14ac:dyDescent="0.25">
      <c r="H1186" s="1"/>
    </row>
    <row r="1187" spans="8:8" x14ac:dyDescent="0.25">
      <c r="H1187" s="1"/>
    </row>
    <row r="1188" spans="8:8" x14ac:dyDescent="0.25">
      <c r="H1188" s="1"/>
    </row>
    <row r="1189" spans="8:8" x14ac:dyDescent="0.25">
      <c r="H1189" s="1"/>
    </row>
    <row r="1190" spans="8:8" x14ac:dyDescent="0.25">
      <c r="H1190" s="1"/>
    </row>
    <row r="1191" spans="8:8" x14ac:dyDescent="0.25">
      <c r="H1191" s="1"/>
    </row>
    <row r="1192" spans="8:8" x14ac:dyDescent="0.25">
      <c r="H1192" s="1"/>
    </row>
    <row r="1193" spans="8:8" x14ac:dyDescent="0.25">
      <c r="H1193" s="1"/>
    </row>
    <row r="1194" spans="8:8" x14ac:dyDescent="0.25">
      <c r="H1194" s="1"/>
    </row>
    <row r="1195" spans="8:8" x14ac:dyDescent="0.25">
      <c r="H1195" s="1"/>
    </row>
    <row r="1196" spans="8:8" x14ac:dyDescent="0.25">
      <c r="H1196" s="1"/>
    </row>
    <row r="1197" spans="8:8" x14ac:dyDescent="0.25">
      <c r="H1197" s="1"/>
    </row>
    <row r="1198" spans="8:8" x14ac:dyDescent="0.25">
      <c r="H1198" s="1"/>
    </row>
    <row r="1199" spans="8:8" x14ac:dyDescent="0.25">
      <c r="H1199" s="1"/>
    </row>
    <row r="1200" spans="8:8" x14ac:dyDescent="0.25">
      <c r="H1200" s="1"/>
    </row>
    <row r="1201" spans="8:8" x14ac:dyDescent="0.25">
      <c r="H1201" s="1"/>
    </row>
    <row r="1202" spans="8:8" x14ac:dyDescent="0.25">
      <c r="H1202" s="1"/>
    </row>
    <row r="1203" spans="8:8" x14ac:dyDescent="0.25">
      <c r="H1203" s="1"/>
    </row>
    <row r="1204" spans="8:8" x14ac:dyDescent="0.25">
      <c r="H1204" s="1"/>
    </row>
    <row r="1205" spans="8:8" x14ac:dyDescent="0.25">
      <c r="H1205" s="1"/>
    </row>
    <row r="1206" spans="8:8" x14ac:dyDescent="0.25">
      <c r="H1206" s="1"/>
    </row>
    <row r="1207" spans="8:8" x14ac:dyDescent="0.25">
      <c r="H1207" s="1"/>
    </row>
    <row r="1208" spans="8:8" x14ac:dyDescent="0.25">
      <c r="H1208" s="1"/>
    </row>
    <row r="1209" spans="8:8" x14ac:dyDescent="0.25">
      <c r="H1209" s="1"/>
    </row>
    <row r="1210" spans="8:8" x14ac:dyDescent="0.25">
      <c r="H1210" s="1"/>
    </row>
    <row r="1211" spans="8:8" x14ac:dyDescent="0.25">
      <c r="H1211" s="1"/>
    </row>
    <row r="1212" spans="8:8" x14ac:dyDescent="0.25">
      <c r="H1212" s="1"/>
    </row>
    <row r="1213" spans="8:8" x14ac:dyDescent="0.25">
      <c r="H1213" s="1"/>
    </row>
    <row r="1214" spans="8:8" x14ac:dyDescent="0.25">
      <c r="H1214" s="1"/>
    </row>
    <row r="1215" spans="8:8" x14ac:dyDescent="0.25">
      <c r="H1215" s="1"/>
    </row>
    <row r="1216" spans="8:8" x14ac:dyDescent="0.25">
      <c r="H1216" s="1"/>
    </row>
    <row r="1217" spans="8:8" x14ac:dyDescent="0.25">
      <c r="H1217" s="1"/>
    </row>
    <row r="1218" spans="8:8" x14ac:dyDescent="0.25">
      <c r="H1218" s="1"/>
    </row>
    <row r="1219" spans="8:8" x14ac:dyDescent="0.25">
      <c r="H1219" s="1"/>
    </row>
    <row r="1220" spans="8:8" x14ac:dyDescent="0.25">
      <c r="H1220" s="1"/>
    </row>
    <row r="1221" spans="8:8" x14ac:dyDescent="0.25">
      <c r="H1221" s="1"/>
    </row>
    <row r="1222" spans="8:8" x14ac:dyDescent="0.25">
      <c r="H1222" s="1"/>
    </row>
    <row r="1223" spans="8:8" x14ac:dyDescent="0.25">
      <c r="H1223" s="1"/>
    </row>
    <row r="1224" spans="8:8" x14ac:dyDescent="0.25">
      <c r="H1224" s="1"/>
    </row>
    <row r="1225" spans="8:8" x14ac:dyDescent="0.25">
      <c r="H1225" s="1"/>
    </row>
    <row r="1226" spans="8:8" x14ac:dyDescent="0.25">
      <c r="H1226" s="1"/>
    </row>
    <row r="1227" spans="8:8" x14ac:dyDescent="0.25">
      <c r="H1227" s="1"/>
    </row>
    <row r="1228" spans="8:8" x14ac:dyDescent="0.25">
      <c r="H1228" s="1"/>
    </row>
    <row r="1229" spans="8:8" x14ac:dyDescent="0.25">
      <c r="H1229" s="1"/>
    </row>
    <row r="1230" spans="8:8" x14ac:dyDescent="0.25">
      <c r="H1230" s="1"/>
    </row>
    <row r="1231" spans="8:8" x14ac:dyDescent="0.25">
      <c r="H1231" s="1"/>
    </row>
    <row r="1232" spans="8:8" x14ac:dyDescent="0.25">
      <c r="H1232" s="1"/>
    </row>
    <row r="1233" spans="8:8" x14ac:dyDescent="0.25">
      <c r="H1233" s="1"/>
    </row>
    <row r="1234" spans="8:8" x14ac:dyDescent="0.25">
      <c r="H1234" s="1"/>
    </row>
    <row r="1235" spans="8:8" x14ac:dyDescent="0.25">
      <c r="H1235" s="1"/>
    </row>
    <row r="1236" spans="8:8" x14ac:dyDescent="0.25">
      <c r="H1236" s="1"/>
    </row>
    <row r="1237" spans="8:8" x14ac:dyDescent="0.25">
      <c r="H1237" s="1"/>
    </row>
    <row r="1238" spans="8:8" x14ac:dyDescent="0.25">
      <c r="H1238" s="1"/>
    </row>
    <row r="1239" spans="8:8" x14ac:dyDescent="0.25">
      <c r="H1239" s="1"/>
    </row>
    <row r="1240" spans="8:8" x14ac:dyDescent="0.25">
      <c r="H1240" s="1"/>
    </row>
    <row r="1241" spans="8:8" x14ac:dyDescent="0.25">
      <c r="H1241" s="1"/>
    </row>
    <row r="1242" spans="8:8" x14ac:dyDescent="0.25">
      <c r="H1242" s="1"/>
    </row>
    <row r="1243" spans="8:8" x14ac:dyDescent="0.25">
      <c r="H1243" s="1"/>
    </row>
    <row r="1244" spans="8:8" x14ac:dyDescent="0.25">
      <c r="H1244" s="1"/>
    </row>
    <row r="1245" spans="8:8" x14ac:dyDescent="0.25">
      <c r="H1245" s="1"/>
    </row>
    <row r="1246" spans="8:8" x14ac:dyDescent="0.25">
      <c r="H1246" s="1"/>
    </row>
    <row r="1247" spans="8:8" x14ac:dyDescent="0.25">
      <c r="H1247" s="1"/>
    </row>
    <row r="1248" spans="8:8" x14ac:dyDescent="0.25">
      <c r="H1248" s="1"/>
    </row>
    <row r="1249" spans="8:8" x14ac:dyDescent="0.25">
      <c r="H1249" s="1"/>
    </row>
    <row r="1250" spans="8:8" x14ac:dyDescent="0.25">
      <c r="H1250" s="1"/>
    </row>
    <row r="1251" spans="8:8" x14ac:dyDescent="0.25">
      <c r="H1251" s="1"/>
    </row>
    <row r="1252" spans="8:8" x14ac:dyDescent="0.25">
      <c r="H1252" s="1"/>
    </row>
    <row r="1253" spans="8:8" x14ac:dyDescent="0.25">
      <c r="H1253" s="1"/>
    </row>
    <row r="1254" spans="8:8" x14ac:dyDescent="0.25">
      <c r="H1254" s="1"/>
    </row>
    <row r="1255" spans="8:8" x14ac:dyDescent="0.25">
      <c r="H1255" s="1"/>
    </row>
    <row r="1256" spans="8:8" x14ac:dyDescent="0.25">
      <c r="H1256" s="1"/>
    </row>
    <row r="1257" spans="8:8" x14ac:dyDescent="0.25">
      <c r="H1257" s="1"/>
    </row>
    <row r="1258" spans="8:8" x14ac:dyDescent="0.25">
      <c r="H1258" s="1"/>
    </row>
    <row r="1259" spans="8:8" x14ac:dyDescent="0.25">
      <c r="H1259" s="1"/>
    </row>
    <row r="1260" spans="8:8" x14ac:dyDescent="0.25">
      <c r="H1260" s="1"/>
    </row>
    <row r="1261" spans="8:8" x14ac:dyDescent="0.25">
      <c r="H1261" s="1"/>
    </row>
    <row r="1262" spans="8:8" x14ac:dyDescent="0.25">
      <c r="H1262" s="1"/>
    </row>
    <row r="1263" spans="8:8" x14ac:dyDescent="0.25">
      <c r="H1263" s="1"/>
    </row>
    <row r="1264" spans="8:8" x14ac:dyDescent="0.25">
      <c r="H1264" s="1"/>
    </row>
    <row r="1265" spans="8:8" x14ac:dyDescent="0.25">
      <c r="H1265" s="1"/>
    </row>
    <row r="1266" spans="8:8" x14ac:dyDescent="0.25">
      <c r="H1266" s="1"/>
    </row>
    <row r="1267" spans="8:8" x14ac:dyDescent="0.25">
      <c r="H1267" s="1"/>
    </row>
    <row r="1268" spans="8:8" x14ac:dyDescent="0.25">
      <c r="H1268" s="1"/>
    </row>
    <row r="1269" spans="8:8" x14ac:dyDescent="0.25">
      <c r="H1269" s="1"/>
    </row>
    <row r="1270" spans="8:8" x14ac:dyDescent="0.25">
      <c r="H1270" s="1"/>
    </row>
    <row r="1271" spans="8:8" x14ac:dyDescent="0.25">
      <c r="H1271" s="1"/>
    </row>
    <row r="1272" spans="8:8" x14ac:dyDescent="0.25">
      <c r="H1272" s="1"/>
    </row>
    <row r="1273" spans="8:8" x14ac:dyDescent="0.25">
      <c r="H1273" s="1"/>
    </row>
    <row r="1274" spans="8:8" x14ac:dyDescent="0.25">
      <c r="H1274" s="1"/>
    </row>
    <row r="1275" spans="8:8" x14ac:dyDescent="0.25">
      <c r="H1275" s="1"/>
    </row>
    <row r="1276" spans="8:8" x14ac:dyDescent="0.25">
      <c r="H1276" s="1"/>
    </row>
    <row r="1277" spans="8:8" x14ac:dyDescent="0.25">
      <c r="H1277" s="1"/>
    </row>
    <row r="1278" spans="8:8" x14ac:dyDescent="0.25">
      <c r="H1278" s="1"/>
    </row>
    <row r="1279" spans="8:8" x14ac:dyDescent="0.25">
      <c r="H1279" s="1"/>
    </row>
    <row r="1280" spans="8:8" x14ac:dyDescent="0.25">
      <c r="H1280" s="1"/>
    </row>
    <row r="1281" spans="8:8" x14ac:dyDescent="0.25">
      <c r="H1281" s="1"/>
    </row>
    <row r="1282" spans="8:8" x14ac:dyDescent="0.25">
      <c r="H1282" s="1"/>
    </row>
    <row r="1283" spans="8:8" x14ac:dyDescent="0.25">
      <c r="H1283" s="1"/>
    </row>
    <row r="1284" spans="8:8" x14ac:dyDescent="0.25">
      <c r="H1284" s="1"/>
    </row>
    <row r="1285" spans="8:8" x14ac:dyDescent="0.25">
      <c r="H1285" s="1"/>
    </row>
    <row r="1286" spans="8:8" x14ac:dyDescent="0.25">
      <c r="H1286" s="1"/>
    </row>
    <row r="1287" spans="8:8" x14ac:dyDescent="0.25">
      <c r="H1287" s="1"/>
    </row>
    <row r="1288" spans="8:8" x14ac:dyDescent="0.25">
      <c r="H1288" s="1"/>
    </row>
    <row r="1289" spans="8:8" x14ac:dyDescent="0.25">
      <c r="H1289" s="1"/>
    </row>
    <row r="1290" spans="8:8" x14ac:dyDescent="0.25">
      <c r="H1290" s="1"/>
    </row>
    <row r="1291" spans="8:8" x14ac:dyDescent="0.25">
      <c r="H1291" s="1"/>
    </row>
    <row r="1292" spans="8:8" x14ac:dyDescent="0.25">
      <c r="H1292" s="1"/>
    </row>
    <row r="1293" spans="8:8" x14ac:dyDescent="0.25">
      <c r="H1293" s="1"/>
    </row>
    <row r="1294" spans="8:8" x14ac:dyDescent="0.25">
      <c r="H1294" s="1"/>
    </row>
    <row r="1295" spans="8:8" x14ac:dyDescent="0.25">
      <c r="H1295" s="1"/>
    </row>
    <row r="1296" spans="8:8" x14ac:dyDescent="0.25">
      <c r="H1296" s="1"/>
    </row>
    <row r="1297" spans="8:8" x14ac:dyDescent="0.25">
      <c r="H1297" s="1"/>
    </row>
    <row r="1298" spans="8:8" x14ac:dyDescent="0.25">
      <c r="H1298" s="1"/>
    </row>
    <row r="1299" spans="8:8" x14ac:dyDescent="0.25">
      <c r="H1299" s="1"/>
    </row>
    <row r="1300" spans="8:8" x14ac:dyDescent="0.25">
      <c r="H1300" s="1"/>
    </row>
    <row r="1301" spans="8:8" x14ac:dyDescent="0.25">
      <c r="H1301" s="1"/>
    </row>
    <row r="1302" spans="8:8" x14ac:dyDescent="0.25">
      <c r="H1302" s="1"/>
    </row>
    <row r="1303" spans="8:8" x14ac:dyDescent="0.25">
      <c r="H1303" s="1"/>
    </row>
    <row r="1304" spans="8:8" x14ac:dyDescent="0.25">
      <c r="H1304" s="1"/>
    </row>
    <row r="1305" spans="8:8" x14ac:dyDescent="0.25">
      <c r="H1305" s="1"/>
    </row>
    <row r="1306" spans="8:8" x14ac:dyDescent="0.25">
      <c r="H1306" s="1"/>
    </row>
    <row r="1307" spans="8:8" x14ac:dyDescent="0.25">
      <c r="H1307" s="1"/>
    </row>
    <row r="1308" spans="8:8" x14ac:dyDescent="0.25">
      <c r="H1308" s="1"/>
    </row>
    <row r="1309" spans="8:8" x14ac:dyDescent="0.25">
      <c r="H1309" s="1"/>
    </row>
    <row r="1310" spans="8:8" x14ac:dyDescent="0.25">
      <c r="H1310" s="1"/>
    </row>
    <row r="1311" spans="8:8" x14ac:dyDescent="0.25">
      <c r="H1311" s="1"/>
    </row>
    <row r="1312" spans="8:8" x14ac:dyDescent="0.25">
      <c r="H1312" s="1"/>
    </row>
    <row r="1313" spans="8:8" x14ac:dyDescent="0.25">
      <c r="H1313" s="1"/>
    </row>
    <row r="1314" spans="8:8" x14ac:dyDescent="0.25">
      <c r="H1314" s="1"/>
    </row>
    <row r="1315" spans="8:8" x14ac:dyDescent="0.25">
      <c r="H1315" s="1"/>
    </row>
    <row r="1316" spans="8:8" x14ac:dyDescent="0.25">
      <c r="H1316" s="1"/>
    </row>
    <row r="1317" spans="8:8" x14ac:dyDescent="0.25">
      <c r="H1317" s="1"/>
    </row>
    <row r="1318" spans="8:8" x14ac:dyDescent="0.25">
      <c r="H1318" s="1"/>
    </row>
    <row r="1319" spans="8:8" x14ac:dyDescent="0.25">
      <c r="H1319" s="1"/>
    </row>
    <row r="1320" spans="8:8" x14ac:dyDescent="0.25">
      <c r="H1320" s="1"/>
    </row>
    <row r="1321" spans="8:8" x14ac:dyDescent="0.25">
      <c r="H1321" s="1"/>
    </row>
    <row r="1322" spans="8:8" x14ac:dyDescent="0.25">
      <c r="H1322" s="1"/>
    </row>
    <row r="1323" spans="8:8" x14ac:dyDescent="0.25">
      <c r="H1323" s="1"/>
    </row>
    <row r="1324" spans="8:8" x14ac:dyDescent="0.25">
      <c r="H1324" s="1"/>
    </row>
    <row r="1325" spans="8:8" x14ac:dyDescent="0.25">
      <c r="H1325" s="1"/>
    </row>
    <row r="1326" spans="8:8" x14ac:dyDescent="0.25">
      <c r="H1326" s="1"/>
    </row>
    <row r="1327" spans="8:8" x14ac:dyDescent="0.25">
      <c r="H1327" s="1"/>
    </row>
    <row r="1328" spans="8:8" x14ac:dyDescent="0.25">
      <c r="H1328" s="1"/>
    </row>
    <row r="1329" spans="8:8" x14ac:dyDescent="0.25">
      <c r="H1329" s="1"/>
    </row>
    <row r="1330" spans="8:8" x14ac:dyDescent="0.25">
      <c r="H1330" s="1"/>
    </row>
    <row r="1331" spans="8:8" x14ac:dyDescent="0.25">
      <c r="H1331" s="1"/>
    </row>
    <row r="1332" spans="8:8" x14ac:dyDescent="0.25">
      <c r="H1332" s="1"/>
    </row>
    <row r="1333" spans="8:8" x14ac:dyDescent="0.25">
      <c r="H1333" s="1"/>
    </row>
    <row r="1334" spans="8:8" x14ac:dyDescent="0.25">
      <c r="H1334" s="1"/>
    </row>
    <row r="1335" spans="8:8" x14ac:dyDescent="0.25">
      <c r="H1335" s="1"/>
    </row>
    <row r="1336" spans="8:8" x14ac:dyDescent="0.25">
      <c r="H1336" s="1"/>
    </row>
    <row r="1337" spans="8:8" x14ac:dyDescent="0.25">
      <c r="H1337" s="1"/>
    </row>
    <row r="1338" spans="8:8" x14ac:dyDescent="0.25">
      <c r="H1338" s="1"/>
    </row>
    <row r="1339" spans="8:8" x14ac:dyDescent="0.25">
      <c r="H1339" s="1"/>
    </row>
    <row r="1340" spans="8:8" x14ac:dyDescent="0.25">
      <c r="H1340" s="1"/>
    </row>
    <row r="1341" spans="8:8" x14ac:dyDescent="0.25">
      <c r="H1341" s="1"/>
    </row>
    <row r="1342" spans="8:8" x14ac:dyDescent="0.25">
      <c r="H1342" s="1"/>
    </row>
    <row r="1343" spans="8:8" x14ac:dyDescent="0.25">
      <c r="H1343" s="1"/>
    </row>
    <row r="1344" spans="8:8" x14ac:dyDescent="0.25">
      <c r="H1344" s="1"/>
    </row>
    <row r="1345" spans="8:8" x14ac:dyDescent="0.25">
      <c r="H1345" s="1"/>
    </row>
    <row r="1346" spans="8:8" x14ac:dyDescent="0.25">
      <c r="H1346" s="1"/>
    </row>
    <row r="1347" spans="8:8" x14ac:dyDescent="0.25">
      <c r="H1347" s="1"/>
    </row>
    <row r="1348" spans="8:8" x14ac:dyDescent="0.25">
      <c r="H1348" s="1"/>
    </row>
    <row r="1349" spans="8:8" x14ac:dyDescent="0.25">
      <c r="H1349" s="1"/>
    </row>
    <row r="1350" spans="8:8" x14ac:dyDescent="0.25">
      <c r="H1350" s="1"/>
    </row>
    <row r="1351" spans="8:8" x14ac:dyDescent="0.25">
      <c r="H1351" s="1"/>
    </row>
    <row r="1352" spans="8:8" x14ac:dyDescent="0.25">
      <c r="H1352" s="1"/>
    </row>
    <row r="1353" spans="8:8" x14ac:dyDescent="0.25">
      <c r="H1353" s="1"/>
    </row>
    <row r="1354" spans="8:8" x14ac:dyDescent="0.25">
      <c r="H1354" s="1"/>
    </row>
    <row r="1355" spans="8:8" x14ac:dyDescent="0.25">
      <c r="H1355" s="1"/>
    </row>
    <row r="1356" spans="8:8" x14ac:dyDescent="0.25">
      <c r="H1356" s="1"/>
    </row>
    <row r="1357" spans="8:8" x14ac:dyDescent="0.25">
      <c r="H1357" s="1"/>
    </row>
    <row r="1358" spans="8:8" x14ac:dyDescent="0.25">
      <c r="H1358" s="1"/>
    </row>
    <row r="1359" spans="8:8" x14ac:dyDescent="0.25">
      <c r="H1359" s="1"/>
    </row>
    <row r="1360" spans="8:8" x14ac:dyDescent="0.25">
      <c r="H1360" s="1"/>
    </row>
    <row r="1361" spans="8:8" x14ac:dyDescent="0.25">
      <c r="H1361" s="1"/>
    </row>
    <row r="1362" spans="8:8" x14ac:dyDescent="0.25">
      <c r="H1362" s="1"/>
    </row>
    <row r="1363" spans="8:8" x14ac:dyDescent="0.25">
      <c r="H1363" s="1"/>
    </row>
    <row r="1364" spans="8:8" x14ac:dyDescent="0.25">
      <c r="H1364" s="1"/>
    </row>
    <row r="1365" spans="8:8" x14ac:dyDescent="0.25">
      <c r="H1365" s="1"/>
    </row>
    <row r="1366" spans="8:8" x14ac:dyDescent="0.25">
      <c r="H1366" s="1"/>
    </row>
    <row r="1367" spans="8:8" x14ac:dyDescent="0.25">
      <c r="H1367" s="1"/>
    </row>
    <row r="1368" spans="8:8" x14ac:dyDescent="0.25">
      <c r="H1368" s="1"/>
    </row>
    <row r="1369" spans="8:8" x14ac:dyDescent="0.25">
      <c r="H1369" s="1"/>
    </row>
    <row r="1370" spans="8:8" x14ac:dyDescent="0.25">
      <c r="H1370" s="1"/>
    </row>
    <row r="1371" spans="8:8" x14ac:dyDescent="0.25">
      <c r="H1371" s="1"/>
    </row>
    <row r="1372" spans="8:8" x14ac:dyDescent="0.25">
      <c r="H1372" s="1"/>
    </row>
    <row r="1373" spans="8:8" x14ac:dyDescent="0.25">
      <c r="H1373" s="1"/>
    </row>
    <row r="1374" spans="8:8" x14ac:dyDescent="0.25">
      <c r="H1374" s="1"/>
    </row>
    <row r="1375" spans="8:8" x14ac:dyDescent="0.25">
      <c r="H1375" s="1"/>
    </row>
    <row r="1376" spans="8:8" x14ac:dyDescent="0.25">
      <c r="H1376" s="1"/>
    </row>
    <row r="1377" spans="8:8" x14ac:dyDescent="0.25">
      <c r="H1377" s="1"/>
    </row>
    <row r="1378" spans="8:8" x14ac:dyDescent="0.25">
      <c r="H1378" s="1"/>
    </row>
    <row r="1379" spans="8:8" x14ac:dyDescent="0.25">
      <c r="H1379" s="1"/>
    </row>
    <row r="1380" spans="8:8" x14ac:dyDescent="0.25">
      <c r="H1380" s="1"/>
    </row>
    <row r="1381" spans="8:8" x14ac:dyDescent="0.25">
      <c r="H1381" s="1"/>
    </row>
    <row r="1382" spans="8:8" x14ac:dyDescent="0.25">
      <c r="H1382" s="1"/>
    </row>
    <row r="1383" spans="8:8" x14ac:dyDescent="0.25">
      <c r="H1383" s="1"/>
    </row>
    <row r="1384" spans="8:8" x14ac:dyDescent="0.25">
      <c r="H1384" s="1"/>
    </row>
    <row r="1385" spans="8:8" x14ac:dyDescent="0.25">
      <c r="H1385" s="1"/>
    </row>
    <row r="1386" spans="8:8" x14ac:dyDescent="0.25">
      <c r="H1386" s="1"/>
    </row>
    <row r="1387" spans="8:8" x14ac:dyDescent="0.25">
      <c r="H1387" s="1"/>
    </row>
    <row r="1388" spans="8:8" x14ac:dyDescent="0.25">
      <c r="H1388" s="1"/>
    </row>
    <row r="1389" spans="8:8" x14ac:dyDescent="0.25">
      <c r="H1389" s="1"/>
    </row>
    <row r="1390" spans="8:8" x14ac:dyDescent="0.25">
      <c r="H1390" s="1"/>
    </row>
    <row r="1391" spans="8:8" x14ac:dyDescent="0.25">
      <c r="H1391" s="1"/>
    </row>
    <row r="1392" spans="8:8" x14ac:dyDescent="0.25">
      <c r="H1392" s="1"/>
    </row>
    <row r="1393" spans="8:8" x14ac:dyDescent="0.25">
      <c r="H1393" s="1"/>
    </row>
    <row r="1394" spans="8:8" x14ac:dyDescent="0.25">
      <c r="H1394" s="1"/>
    </row>
    <row r="1395" spans="8:8" x14ac:dyDescent="0.25">
      <c r="H1395" s="1"/>
    </row>
    <row r="1396" spans="8:8" x14ac:dyDescent="0.25">
      <c r="H1396" s="1"/>
    </row>
    <row r="1397" spans="8:8" x14ac:dyDescent="0.25">
      <c r="H1397" s="1"/>
    </row>
    <row r="1398" spans="8:8" x14ac:dyDescent="0.25">
      <c r="H1398" s="1"/>
    </row>
    <row r="1399" spans="8:8" x14ac:dyDescent="0.25">
      <c r="H1399" s="1"/>
    </row>
    <row r="1400" spans="8:8" x14ac:dyDescent="0.25">
      <c r="H1400" s="1"/>
    </row>
    <row r="1401" spans="8:8" x14ac:dyDescent="0.25">
      <c r="H1401" s="1"/>
    </row>
    <row r="1402" spans="8:8" x14ac:dyDescent="0.25">
      <c r="H1402" s="1"/>
    </row>
  </sheetData>
  <autoFilter ref="A1:H532">
    <sortState ref="A2:H532">
      <sortCondition descending="1" ref="A1:A532"/>
    </sortState>
  </autoFilter>
  <conditionalFormatting sqref="D1403:D1048576 D454:D532 D316 D271 D262:D264 D1:H1">
    <cfRule type="cellIs" dxfId="879" priority="879" operator="equal">
      <formula>"Folyamatban"</formula>
    </cfRule>
    <cfRule type="cellIs" dxfId="878" priority="880" operator="equal">
      <formula>"Kész"</formula>
    </cfRule>
  </conditionalFormatting>
  <conditionalFormatting sqref="D453">
    <cfRule type="cellIs" dxfId="877" priority="877" operator="equal">
      <formula>"Folyamatban"</formula>
    </cfRule>
    <cfRule type="cellIs" dxfId="876" priority="878" operator="equal">
      <formula>"Kész"</formula>
    </cfRule>
  </conditionalFormatting>
  <conditionalFormatting sqref="D452">
    <cfRule type="cellIs" dxfId="875" priority="875" operator="equal">
      <formula>"Folyamatban"</formula>
    </cfRule>
    <cfRule type="cellIs" dxfId="874" priority="876" operator="equal">
      <formula>"Kész"</formula>
    </cfRule>
  </conditionalFormatting>
  <conditionalFormatting sqref="D451">
    <cfRule type="cellIs" dxfId="873" priority="873" operator="equal">
      <formula>"Folyamatban"</formula>
    </cfRule>
    <cfRule type="cellIs" dxfId="872" priority="874" operator="equal">
      <formula>"Kész"</formula>
    </cfRule>
  </conditionalFormatting>
  <conditionalFormatting sqref="D450">
    <cfRule type="cellIs" dxfId="871" priority="871" operator="equal">
      <formula>"Folyamatban"</formula>
    </cfRule>
    <cfRule type="cellIs" dxfId="870" priority="872" operator="equal">
      <formula>"Kész"</formula>
    </cfRule>
  </conditionalFormatting>
  <conditionalFormatting sqref="D449">
    <cfRule type="cellIs" dxfId="869" priority="869" operator="equal">
      <formula>"Folyamatban"</formula>
    </cfRule>
    <cfRule type="cellIs" dxfId="868" priority="870" operator="equal">
      <formula>"Kész"</formula>
    </cfRule>
  </conditionalFormatting>
  <conditionalFormatting sqref="D448">
    <cfRule type="cellIs" dxfId="867" priority="867" operator="equal">
      <formula>"Folyamatban"</formula>
    </cfRule>
    <cfRule type="cellIs" dxfId="866" priority="868" operator="equal">
      <formula>"Kész"</formula>
    </cfRule>
  </conditionalFormatting>
  <conditionalFormatting sqref="D447">
    <cfRule type="cellIs" dxfId="865" priority="865" operator="equal">
      <formula>"Folyamatban"</formula>
    </cfRule>
    <cfRule type="cellIs" dxfId="864" priority="866" operator="equal">
      <formula>"Kész"</formula>
    </cfRule>
  </conditionalFormatting>
  <conditionalFormatting sqref="D446">
    <cfRule type="cellIs" dxfId="863" priority="863" operator="equal">
      <formula>"Folyamatban"</formula>
    </cfRule>
    <cfRule type="cellIs" dxfId="862" priority="864" operator="equal">
      <formula>"Kész"</formula>
    </cfRule>
  </conditionalFormatting>
  <conditionalFormatting sqref="D445">
    <cfRule type="cellIs" dxfId="861" priority="861" operator="equal">
      <formula>"Folyamatban"</formula>
    </cfRule>
    <cfRule type="cellIs" dxfId="860" priority="862" operator="equal">
      <formula>"Kész"</formula>
    </cfRule>
  </conditionalFormatting>
  <conditionalFormatting sqref="D444">
    <cfRule type="cellIs" dxfId="859" priority="859" operator="equal">
      <formula>"Folyamatban"</formula>
    </cfRule>
    <cfRule type="cellIs" dxfId="858" priority="860" operator="equal">
      <formula>"Kész"</formula>
    </cfRule>
  </conditionalFormatting>
  <conditionalFormatting sqref="D443">
    <cfRule type="cellIs" dxfId="857" priority="857" operator="equal">
      <formula>"Folyamatban"</formula>
    </cfRule>
    <cfRule type="cellIs" dxfId="856" priority="858" operator="equal">
      <formula>"Kész"</formula>
    </cfRule>
  </conditionalFormatting>
  <conditionalFormatting sqref="D442">
    <cfRule type="cellIs" dxfId="855" priority="855" operator="equal">
      <formula>"Folyamatban"</formula>
    </cfRule>
    <cfRule type="cellIs" dxfId="854" priority="856" operator="equal">
      <formula>"Kész"</formula>
    </cfRule>
  </conditionalFormatting>
  <conditionalFormatting sqref="D441">
    <cfRule type="cellIs" dxfId="853" priority="853" operator="equal">
      <formula>"Folyamatban"</formula>
    </cfRule>
    <cfRule type="cellIs" dxfId="852" priority="854" operator="equal">
      <formula>"Kész"</formula>
    </cfRule>
  </conditionalFormatting>
  <conditionalFormatting sqref="D440">
    <cfRule type="cellIs" dxfId="851" priority="851" operator="equal">
      <formula>"Folyamatban"</formula>
    </cfRule>
    <cfRule type="cellIs" dxfId="850" priority="852" operator="equal">
      <formula>"Kész"</formula>
    </cfRule>
  </conditionalFormatting>
  <conditionalFormatting sqref="D439">
    <cfRule type="cellIs" dxfId="849" priority="849" operator="equal">
      <formula>"Folyamatban"</formula>
    </cfRule>
    <cfRule type="cellIs" dxfId="848" priority="850" operator="equal">
      <formula>"Kész"</formula>
    </cfRule>
  </conditionalFormatting>
  <conditionalFormatting sqref="D438">
    <cfRule type="cellIs" dxfId="847" priority="847" operator="equal">
      <formula>"Folyamatban"</formula>
    </cfRule>
    <cfRule type="cellIs" dxfId="846" priority="848" operator="equal">
      <formula>"Kész"</formula>
    </cfRule>
  </conditionalFormatting>
  <conditionalFormatting sqref="D437">
    <cfRule type="cellIs" dxfId="845" priority="845" operator="equal">
      <formula>"Folyamatban"</formula>
    </cfRule>
    <cfRule type="cellIs" dxfId="844" priority="846" operator="equal">
      <formula>"Kész"</formula>
    </cfRule>
  </conditionalFormatting>
  <conditionalFormatting sqref="D436">
    <cfRule type="cellIs" dxfId="843" priority="843" operator="equal">
      <formula>"Folyamatban"</formula>
    </cfRule>
    <cfRule type="cellIs" dxfId="842" priority="844" operator="equal">
      <formula>"Kész"</formula>
    </cfRule>
  </conditionalFormatting>
  <conditionalFormatting sqref="D435">
    <cfRule type="cellIs" dxfId="841" priority="841" operator="equal">
      <formula>"Folyamatban"</formula>
    </cfRule>
    <cfRule type="cellIs" dxfId="840" priority="842" operator="equal">
      <formula>"Kész"</formula>
    </cfRule>
  </conditionalFormatting>
  <conditionalFormatting sqref="D434">
    <cfRule type="cellIs" dxfId="839" priority="839" operator="equal">
      <formula>"Folyamatban"</formula>
    </cfRule>
    <cfRule type="cellIs" dxfId="838" priority="840" operator="equal">
      <formula>"Kész"</formula>
    </cfRule>
  </conditionalFormatting>
  <conditionalFormatting sqref="D433">
    <cfRule type="cellIs" dxfId="837" priority="837" operator="equal">
      <formula>"Folyamatban"</formula>
    </cfRule>
    <cfRule type="cellIs" dxfId="836" priority="838" operator="equal">
      <formula>"Kész"</formula>
    </cfRule>
  </conditionalFormatting>
  <conditionalFormatting sqref="D432">
    <cfRule type="cellIs" dxfId="835" priority="835" operator="equal">
      <formula>"Folyamatban"</formula>
    </cfRule>
    <cfRule type="cellIs" dxfId="834" priority="836" operator="equal">
      <formula>"Kész"</formula>
    </cfRule>
  </conditionalFormatting>
  <conditionalFormatting sqref="D431">
    <cfRule type="cellIs" dxfId="833" priority="833" operator="equal">
      <formula>"Folyamatban"</formula>
    </cfRule>
    <cfRule type="cellIs" dxfId="832" priority="834" operator="equal">
      <formula>"Kész"</formula>
    </cfRule>
  </conditionalFormatting>
  <conditionalFormatting sqref="D430">
    <cfRule type="cellIs" dxfId="831" priority="831" operator="equal">
      <formula>"Folyamatban"</formula>
    </cfRule>
    <cfRule type="cellIs" dxfId="830" priority="832" operator="equal">
      <formula>"Kész"</formula>
    </cfRule>
  </conditionalFormatting>
  <conditionalFormatting sqref="D429">
    <cfRule type="cellIs" dxfId="829" priority="829" operator="equal">
      <formula>"Folyamatban"</formula>
    </cfRule>
    <cfRule type="cellIs" dxfId="828" priority="830" operator="equal">
      <formula>"Kész"</formula>
    </cfRule>
  </conditionalFormatting>
  <conditionalFormatting sqref="D428">
    <cfRule type="cellIs" dxfId="827" priority="827" operator="equal">
      <formula>"Folyamatban"</formula>
    </cfRule>
    <cfRule type="cellIs" dxfId="826" priority="828" operator="equal">
      <formula>"Kész"</formula>
    </cfRule>
  </conditionalFormatting>
  <conditionalFormatting sqref="D427">
    <cfRule type="cellIs" dxfId="825" priority="825" operator="equal">
      <formula>"Folyamatban"</formula>
    </cfRule>
    <cfRule type="cellIs" dxfId="824" priority="826" operator="equal">
      <formula>"Kész"</formula>
    </cfRule>
  </conditionalFormatting>
  <conditionalFormatting sqref="D426">
    <cfRule type="cellIs" dxfId="823" priority="823" operator="equal">
      <formula>"Folyamatban"</formula>
    </cfRule>
    <cfRule type="cellIs" dxfId="822" priority="824" operator="equal">
      <formula>"Kész"</formula>
    </cfRule>
  </conditionalFormatting>
  <conditionalFormatting sqref="D425">
    <cfRule type="cellIs" dxfId="821" priority="821" operator="equal">
      <formula>"Folyamatban"</formula>
    </cfRule>
    <cfRule type="cellIs" dxfId="820" priority="822" operator="equal">
      <formula>"Kész"</formula>
    </cfRule>
  </conditionalFormatting>
  <conditionalFormatting sqref="D424">
    <cfRule type="cellIs" dxfId="819" priority="819" operator="equal">
      <formula>"Folyamatban"</formula>
    </cfRule>
    <cfRule type="cellIs" dxfId="818" priority="820" operator="equal">
      <formula>"Kész"</formula>
    </cfRule>
  </conditionalFormatting>
  <conditionalFormatting sqref="D423">
    <cfRule type="cellIs" dxfId="817" priority="817" operator="equal">
      <formula>"Folyamatban"</formula>
    </cfRule>
    <cfRule type="cellIs" dxfId="816" priority="818" operator="equal">
      <formula>"Kész"</formula>
    </cfRule>
  </conditionalFormatting>
  <conditionalFormatting sqref="D422">
    <cfRule type="cellIs" dxfId="815" priority="815" operator="equal">
      <formula>"Folyamatban"</formula>
    </cfRule>
    <cfRule type="cellIs" dxfId="814" priority="816" operator="equal">
      <formula>"Kész"</formula>
    </cfRule>
  </conditionalFormatting>
  <conditionalFormatting sqref="D421">
    <cfRule type="cellIs" dxfId="813" priority="813" operator="equal">
      <formula>"Folyamatban"</formula>
    </cfRule>
    <cfRule type="cellIs" dxfId="812" priority="814" operator="equal">
      <formula>"Kész"</formula>
    </cfRule>
  </conditionalFormatting>
  <conditionalFormatting sqref="D420">
    <cfRule type="cellIs" dxfId="811" priority="811" operator="equal">
      <formula>"Folyamatban"</formula>
    </cfRule>
    <cfRule type="cellIs" dxfId="810" priority="812" operator="equal">
      <formula>"Kész"</formula>
    </cfRule>
  </conditionalFormatting>
  <conditionalFormatting sqref="D419">
    <cfRule type="cellIs" dxfId="809" priority="809" operator="equal">
      <formula>"Folyamatban"</formula>
    </cfRule>
    <cfRule type="cellIs" dxfId="808" priority="810" operator="equal">
      <formula>"Kész"</formula>
    </cfRule>
  </conditionalFormatting>
  <conditionalFormatting sqref="D418">
    <cfRule type="cellIs" dxfId="807" priority="807" operator="equal">
      <formula>"Folyamatban"</formula>
    </cfRule>
    <cfRule type="cellIs" dxfId="806" priority="808" operator="equal">
      <formula>"Kész"</formula>
    </cfRule>
  </conditionalFormatting>
  <conditionalFormatting sqref="D417">
    <cfRule type="cellIs" dxfId="805" priority="805" operator="equal">
      <formula>"Folyamatban"</formula>
    </cfRule>
    <cfRule type="cellIs" dxfId="804" priority="806" operator="equal">
      <formula>"Kész"</formula>
    </cfRule>
  </conditionalFormatting>
  <conditionalFormatting sqref="D416">
    <cfRule type="cellIs" dxfId="803" priority="803" operator="equal">
      <formula>"Folyamatban"</formula>
    </cfRule>
    <cfRule type="cellIs" dxfId="802" priority="804" operator="equal">
      <formula>"Kész"</formula>
    </cfRule>
  </conditionalFormatting>
  <conditionalFormatting sqref="D415">
    <cfRule type="cellIs" dxfId="801" priority="801" operator="equal">
      <formula>"Folyamatban"</formula>
    </cfRule>
    <cfRule type="cellIs" dxfId="800" priority="802" operator="equal">
      <formula>"Kész"</formula>
    </cfRule>
  </conditionalFormatting>
  <conditionalFormatting sqref="D414">
    <cfRule type="cellIs" dxfId="799" priority="799" operator="equal">
      <formula>"Folyamatban"</formula>
    </cfRule>
    <cfRule type="cellIs" dxfId="798" priority="800" operator="equal">
      <formula>"Kész"</formula>
    </cfRule>
  </conditionalFormatting>
  <conditionalFormatting sqref="D413">
    <cfRule type="cellIs" dxfId="797" priority="797" operator="equal">
      <formula>"Folyamatban"</formula>
    </cfRule>
    <cfRule type="cellIs" dxfId="796" priority="798" operator="equal">
      <formula>"Kész"</formula>
    </cfRule>
  </conditionalFormatting>
  <conditionalFormatting sqref="D412">
    <cfRule type="cellIs" dxfId="795" priority="795" operator="equal">
      <formula>"Folyamatban"</formula>
    </cfRule>
    <cfRule type="cellIs" dxfId="794" priority="796" operator="equal">
      <formula>"Kész"</formula>
    </cfRule>
  </conditionalFormatting>
  <conditionalFormatting sqref="D411">
    <cfRule type="cellIs" dxfId="793" priority="793" operator="equal">
      <formula>"Folyamatban"</formula>
    </cfRule>
    <cfRule type="cellIs" dxfId="792" priority="794" operator="equal">
      <formula>"Kész"</formula>
    </cfRule>
  </conditionalFormatting>
  <conditionalFormatting sqref="D410">
    <cfRule type="cellIs" dxfId="791" priority="791" operator="equal">
      <formula>"Folyamatban"</formula>
    </cfRule>
    <cfRule type="cellIs" dxfId="790" priority="792" operator="equal">
      <formula>"Kész"</formula>
    </cfRule>
  </conditionalFormatting>
  <conditionalFormatting sqref="D409">
    <cfRule type="cellIs" dxfId="789" priority="789" operator="equal">
      <formula>"Folyamatban"</formula>
    </cfRule>
    <cfRule type="cellIs" dxfId="788" priority="790" operator="equal">
      <formula>"Kész"</formula>
    </cfRule>
  </conditionalFormatting>
  <conditionalFormatting sqref="D408">
    <cfRule type="cellIs" dxfId="787" priority="787" operator="equal">
      <formula>"Folyamatban"</formula>
    </cfRule>
    <cfRule type="cellIs" dxfId="786" priority="788" operator="equal">
      <formula>"Kész"</formula>
    </cfRule>
  </conditionalFormatting>
  <conditionalFormatting sqref="D407">
    <cfRule type="cellIs" dxfId="785" priority="785" operator="equal">
      <formula>"Folyamatban"</formula>
    </cfRule>
    <cfRule type="cellIs" dxfId="784" priority="786" operator="equal">
      <formula>"Kész"</formula>
    </cfRule>
  </conditionalFormatting>
  <conditionalFormatting sqref="D406">
    <cfRule type="cellIs" dxfId="783" priority="783" operator="equal">
      <formula>"Folyamatban"</formula>
    </cfRule>
    <cfRule type="cellIs" dxfId="782" priority="784" operator="equal">
      <formula>"Kész"</formula>
    </cfRule>
  </conditionalFormatting>
  <conditionalFormatting sqref="D405">
    <cfRule type="cellIs" dxfId="781" priority="781" operator="equal">
      <formula>"Folyamatban"</formula>
    </cfRule>
    <cfRule type="cellIs" dxfId="780" priority="782" operator="equal">
      <formula>"Kész"</formula>
    </cfRule>
  </conditionalFormatting>
  <conditionalFormatting sqref="D404">
    <cfRule type="cellIs" dxfId="779" priority="779" operator="equal">
      <formula>"Folyamatban"</formula>
    </cfRule>
    <cfRule type="cellIs" dxfId="778" priority="780" operator="equal">
      <formula>"Kész"</formula>
    </cfRule>
  </conditionalFormatting>
  <conditionalFormatting sqref="D403">
    <cfRule type="cellIs" dxfId="777" priority="777" operator="equal">
      <formula>"Folyamatban"</formula>
    </cfRule>
    <cfRule type="cellIs" dxfId="776" priority="778" operator="equal">
      <formula>"Kész"</formula>
    </cfRule>
  </conditionalFormatting>
  <conditionalFormatting sqref="D402">
    <cfRule type="cellIs" dxfId="775" priority="775" operator="equal">
      <formula>"Folyamatban"</formula>
    </cfRule>
    <cfRule type="cellIs" dxfId="774" priority="776" operator="equal">
      <formula>"Kész"</formula>
    </cfRule>
  </conditionalFormatting>
  <conditionalFormatting sqref="D401">
    <cfRule type="cellIs" dxfId="773" priority="773" operator="equal">
      <formula>"Folyamatban"</formula>
    </cfRule>
    <cfRule type="cellIs" dxfId="772" priority="774" operator="equal">
      <formula>"Kész"</formula>
    </cfRule>
  </conditionalFormatting>
  <conditionalFormatting sqref="D400">
    <cfRule type="cellIs" dxfId="771" priority="771" operator="equal">
      <formula>"Folyamatban"</formula>
    </cfRule>
    <cfRule type="cellIs" dxfId="770" priority="772" operator="equal">
      <formula>"Kész"</formula>
    </cfRule>
  </conditionalFormatting>
  <conditionalFormatting sqref="D399">
    <cfRule type="cellIs" dxfId="769" priority="769" operator="equal">
      <formula>"Folyamatban"</formula>
    </cfRule>
    <cfRule type="cellIs" dxfId="768" priority="770" operator="equal">
      <formula>"Kész"</formula>
    </cfRule>
  </conditionalFormatting>
  <conditionalFormatting sqref="D398">
    <cfRule type="cellIs" dxfId="767" priority="767" operator="equal">
      <formula>"Folyamatban"</formula>
    </cfRule>
    <cfRule type="cellIs" dxfId="766" priority="768" operator="equal">
      <formula>"Kész"</formula>
    </cfRule>
  </conditionalFormatting>
  <conditionalFormatting sqref="D397">
    <cfRule type="cellIs" dxfId="765" priority="765" operator="equal">
      <formula>"Folyamatban"</formula>
    </cfRule>
    <cfRule type="cellIs" dxfId="764" priority="766" operator="equal">
      <formula>"Kész"</formula>
    </cfRule>
  </conditionalFormatting>
  <conditionalFormatting sqref="D396">
    <cfRule type="cellIs" dxfId="763" priority="763" operator="equal">
      <formula>"Folyamatban"</formula>
    </cfRule>
    <cfRule type="cellIs" dxfId="762" priority="764" operator="equal">
      <formula>"Kész"</formula>
    </cfRule>
  </conditionalFormatting>
  <conditionalFormatting sqref="D395">
    <cfRule type="cellIs" dxfId="761" priority="761" operator="equal">
      <formula>"Folyamatban"</formula>
    </cfRule>
    <cfRule type="cellIs" dxfId="760" priority="762" operator="equal">
      <formula>"Kész"</formula>
    </cfRule>
  </conditionalFormatting>
  <conditionalFormatting sqref="D394">
    <cfRule type="cellIs" dxfId="759" priority="759" operator="equal">
      <formula>"Folyamatban"</formula>
    </cfRule>
    <cfRule type="cellIs" dxfId="758" priority="760" operator="equal">
      <formula>"Kész"</formula>
    </cfRule>
  </conditionalFormatting>
  <conditionalFormatting sqref="D393">
    <cfRule type="cellIs" dxfId="757" priority="757" operator="equal">
      <formula>"Folyamatban"</formula>
    </cfRule>
    <cfRule type="cellIs" dxfId="756" priority="758" operator="equal">
      <formula>"Kész"</formula>
    </cfRule>
  </conditionalFormatting>
  <conditionalFormatting sqref="D392">
    <cfRule type="cellIs" dxfId="755" priority="755" operator="equal">
      <formula>"Folyamatban"</formula>
    </cfRule>
    <cfRule type="cellIs" dxfId="754" priority="756" operator="equal">
      <formula>"Kész"</formula>
    </cfRule>
  </conditionalFormatting>
  <conditionalFormatting sqref="D391">
    <cfRule type="cellIs" dxfId="753" priority="753" operator="equal">
      <formula>"Folyamatban"</formula>
    </cfRule>
    <cfRule type="cellIs" dxfId="752" priority="754" operator="equal">
      <formula>"Kész"</formula>
    </cfRule>
  </conditionalFormatting>
  <conditionalFormatting sqref="D390">
    <cfRule type="cellIs" dxfId="751" priority="751" operator="equal">
      <formula>"Folyamatban"</formula>
    </cfRule>
    <cfRule type="cellIs" dxfId="750" priority="752" operator="equal">
      <formula>"Kész"</formula>
    </cfRule>
  </conditionalFormatting>
  <conditionalFormatting sqref="D389">
    <cfRule type="cellIs" dxfId="749" priority="749" operator="equal">
      <formula>"Folyamatban"</formula>
    </cfRule>
    <cfRule type="cellIs" dxfId="748" priority="750" operator="equal">
      <formula>"Kész"</formula>
    </cfRule>
  </conditionalFormatting>
  <conditionalFormatting sqref="D388">
    <cfRule type="cellIs" dxfId="747" priority="747" operator="equal">
      <formula>"Folyamatban"</formula>
    </cfRule>
    <cfRule type="cellIs" dxfId="746" priority="748" operator="equal">
      <formula>"Kész"</formula>
    </cfRule>
  </conditionalFormatting>
  <conditionalFormatting sqref="D387">
    <cfRule type="cellIs" dxfId="745" priority="745" operator="equal">
      <formula>"Folyamatban"</formula>
    </cfRule>
    <cfRule type="cellIs" dxfId="744" priority="746" operator="equal">
      <formula>"Kész"</formula>
    </cfRule>
  </conditionalFormatting>
  <conditionalFormatting sqref="D386">
    <cfRule type="cellIs" dxfId="743" priority="743" operator="equal">
      <formula>"Folyamatban"</formula>
    </cfRule>
    <cfRule type="cellIs" dxfId="742" priority="744" operator="equal">
      <formula>"Kész"</formula>
    </cfRule>
  </conditionalFormatting>
  <conditionalFormatting sqref="D385">
    <cfRule type="cellIs" dxfId="741" priority="741" operator="equal">
      <formula>"Folyamatban"</formula>
    </cfRule>
    <cfRule type="cellIs" dxfId="740" priority="742" operator="equal">
      <formula>"Kész"</formula>
    </cfRule>
  </conditionalFormatting>
  <conditionalFormatting sqref="D384">
    <cfRule type="cellIs" dxfId="739" priority="739" operator="equal">
      <formula>"Folyamatban"</formula>
    </cfRule>
    <cfRule type="cellIs" dxfId="738" priority="740" operator="equal">
      <formula>"Kész"</formula>
    </cfRule>
  </conditionalFormatting>
  <conditionalFormatting sqref="D383">
    <cfRule type="cellIs" dxfId="737" priority="737" operator="equal">
      <formula>"Folyamatban"</formula>
    </cfRule>
    <cfRule type="cellIs" dxfId="736" priority="738" operator="equal">
      <formula>"Kész"</formula>
    </cfRule>
  </conditionalFormatting>
  <conditionalFormatting sqref="D382">
    <cfRule type="cellIs" dxfId="735" priority="735" operator="equal">
      <formula>"Folyamatban"</formula>
    </cfRule>
    <cfRule type="cellIs" dxfId="734" priority="736" operator="equal">
      <formula>"Kész"</formula>
    </cfRule>
  </conditionalFormatting>
  <conditionalFormatting sqref="D381">
    <cfRule type="cellIs" dxfId="733" priority="733" operator="equal">
      <formula>"Folyamatban"</formula>
    </cfRule>
    <cfRule type="cellIs" dxfId="732" priority="734" operator="equal">
      <formula>"Kész"</formula>
    </cfRule>
  </conditionalFormatting>
  <conditionalFormatting sqref="D380">
    <cfRule type="cellIs" dxfId="731" priority="731" operator="equal">
      <formula>"Folyamatban"</formula>
    </cfRule>
    <cfRule type="cellIs" dxfId="730" priority="732" operator="equal">
      <formula>"Kész"</formula>
    </cfRule>
  </conditionalFormatting>
  <conditionalFormatting sqref="D379">
    <cfRule type="cellIs" dxfId="729" priority="729" operator="equal">
      <formula>"Folyamatban"</formula>
    </cfRule>
    <cfRule type="cellIs" dxfId="728" priority="730" operator="equal">
      <formula>"Kész"</formula>
    </cfRule>
  </conditionalFormatting>
  <conditionalFormatting sqref="D378">
    <cfRule type="cellIs" dxfId="727" priority="727" operator="equal">
      <formula>"Folyamatban"</formula>
    </cfRule>
    <cfRule type="cellIs" dxfId="726" priority="728" operator="equal">
      <formula>"Kész"</formula>
    </cfRule>
  </conditionalFormatting>
  <conditionalFormatting sqref="D377">
    <cfRule type="cellIs" dxfId="725" priority="725" operator="equal">
      <formula>"Folyamatban"</formula>
    </cfRule>
    <cfRule type="cellIs" dxfId="724" priority="726" operator="equal">
      <formula>"Kész"</formula>
    </cfRule>
  </conditionalFormatting>
  <conditionalFormatting sqref="D376">
    <cfRule type="cellIs" dxfId="723" priority="723" operator="equal">
      <formula>"Folyamatban"</formula>
    </cfRule>
    <cfRule type="cellIs" dxfId="722" priority="724" operator="equal">
      <formula>"Kész"</formula>
    </cfRule>
  </conditionalFormatting>
  <conditionalFormatting sqref="D375">
    <cfRule type="cellIs" dxfId="721" priority="721" operator="equal">
      <formula>"Folyamatban"</formula>
    </cfRule>
    <cfRule type="cellIs" dxfId="720" priority="722" operator="equal">
      <formula>"Kész"</formula>
    </cfRule>
  </conditionalFormatting>
  <conditionalFormatting sqref="D374">
    <cfRule type="cellIs" dxfId="719" priority="719" operator="equal">
      <formula>"Folyamatban"</formula>
    </cfRule>
    <cfRule type="cellIs" dxfId="718" priority="720" operator="equal">
      <formula>"Kész"</formula>
    </cfRule>
  </conditionalFormatting>
  <conditionalFormatting sqref="D373">
    <cfRule type="cellIs" dxfId="717" priority="717" operator="equal">
      <formula>"Folyamatban"</formula>
    </cfRule>
    <cfRule type="cellIs" dxfId="716" priority="718" operator="equal">
      <formula>"Kész"</formula>
    </cfRule>
  </conditionalFormatting>
  <conditionalFormatting sqref="D372">
    <cfRule type="cellIs" dxfId="715" priority="715" operator="equal">
      <formula>"Folyamatban"</formula>
    </cfRule>
    <cfRule type="cellIs" dxfId="714" priority="716" operator="equal">
      <formula>"Kész"</formula>
    </cfRule>
  </conditionalFormatting>
  <conditionalFormatting sqref="D371">
    <cfRule type="cellIs" dxfId="713" priority="713" operator="equal">
      <formula>"Folyamatban"</formula>
    </cfRule>
    <cfRule type="cellIs" dxfId="712" priority="714" operator="equal">
      <formula>"Kész"</formula>
    </cfRule>
  </conditionalFormatting>
  <conditionalFormatting sqref="D370">
    <cfRule type="cellIs" dxfId="711" priority="711" operator="equal">
      <formula>"Folyamatban"</formula>
    </cfRule>
    <cfRule type="cellIs" dxfId="710" priority="712" operator="equal">
      <formula>"Kész"</formula>
    </cfRule>
  </conditionalFormatting>
  <conditionalFormatting sqref="D369">
    <cfRule type="cellIs" dxfId="709" priority="709" operator="equal">
      <formula>"Folyamatban"</formula>
    </cfRule>
    <cfRule type="cellIs" dxfId="708" priority="710" operator="equal">
      <formula>"Kész"</formula>
    </cfRule>
  </conditionalFormatting>
  <conditionalFormatting sqref="D368">
    <cfRule type="cellIs" dxfId="707" priority="707" operator="equal">
      <formula>"Folyamatban"</formula>
    </cfRule>
    <cfRule type="cellIs" dxfId="706" priority="708" operator="equal">
      <formula>"Kész"</formula>
    </cfRule>
  </conditionalFormatting>
  <conditionalFormatting sqref="D367">
    <cfRule type="cellIs" dxfId="705" priority="705" operator="equal">
      <formula>"Folyamatban"</formula>
    </cfRule>
    <cfRule type="cellIs" dxfId="704" priority="706" operator="equal">
      <formula>"Kész"</formula>
    </cfRule>
  </conditionalFormatting>
  <conditionalFormatting sqref="D366">
    <cfRule type="cellIs" dxfId="703" priority="703" operator="equal">
      <formula>"Folyamatban"</formula>
    </cfRule>
    <cfRule type="cellIs" dxfId="702" priority="704" operator="equal">
      <formula>"Kész"</formula>
    </cfRule>
  </conditionalFormatting>
  <conditionalFormatting sqref="D365">
    <cfRule type="cellIs" dxfId="701" priority="701" operator="equal">
      <formula>"Folyamatban"</formula>
    </cfRule>
    <cfRule type="cellIs" dxfId="700" priority="702" operator="equal">
      <formula>"Kész"</formula>
    </cfRule>
  </conditionalFormatting>
  <conditionalFormatting sqref="D364">
    <cfRule type="cellIs" dxfId="699" priority="699" operator="equal">
      <formula>"Folyamatban"</formula>
    </cfRule>
    <cfRule type="cellIs" dxfId="698" priority="700" operator="equal">
      <formula>"Kész"</formula>
    </cfRule>
  </conditionalFormatting>
  <conditionalFormatting sqref="D363">
    <cfRule type="cellIs" dxfId="697" priority="697" operator="equal">
      <formula>"Folyamatban"</formula>
    </cfRule>
    <cfRule type="cellIs" dxfId="696" priority="698" operator="equal">
      <formula>"Kész"</formula>
    </cfRule>
  </conditionalFormatting>
  <conditionalFormatting sqref="D362">
    <cfRule type="cellIs" dxfId="695" priority="695" operator="equal">
      <formula>"Folyamatban"</formula>
    </cfRule>
    <cfRule type="cellIs" dxfId="694" priority="696" operator="equal">
      <formula>"Kész"</formula>
    </cfRule>
  </conditionalFormatting>
  <conditionalFormatting sqref="D361">
    <cfRule type="cellIs" dxfId="693" priority="693" operator="equal">
      <formula>"Folyamatban"</formula>
    </cfRule>
    <cfRule type="cellIs" dxfId="692" priority="694" operator="equal">
      <formula>"Kész"</formula>
    </cfRule>
  </conditionalFormatting>
  <conditionalFormatting sqref="D360">
    <cfRule type="cellIs" dxfId="691" priority="691" operator="equal">
      <formula>"Folyamatban"</formula>
    </cfRule>
    <cfRule type="cellIs" dxfId="690" priority="692" operator="equal">
      <formula>"Kész"</formula>
    </cfRule>
  </conditionalFormatting>
  <conditionalFormatting sqref="D359">
    <cfRule type="cellIs" dxfId="689" priority="689" operator="equal">
      <formula>"Folyamatban"</formula>
    </cfRule>
    <cfRule type="cellIs" dxfId="688" priority="690" operator="equal">
      <formula>"Kész"</formula>
    </cfRule>
  </conditionalFormatting>
  <conditionalFormatting sqref="D358">
    <cfRule type="cellIs" dxfId="687" priority="687" operator="equal">
      <formula>"Folyamatban"</formula>
    </cfRule>
    <cfRule type="cellIs" dxfId="686" priority="688" operator="equal">
      <formula>"Kész"</formula>
    </cfRule>
  </conditionalFormatting>
  <conditionalFormatting sqref="D357">
    <cfRule type="cellIs" dxfId="685" priority="685" operator="equal">
      <formula>"Folyamatban"</formula>
    </cfRule>
    <cfRule type="cellIs" dxfId="684" priority="686" operator="equal">
      <formula>"Kész"</formula>
    </cfRule>
  </conditionalFormatting>
  <conditionalFormatting sqref="D356">
    <cfRule type="cellIs" dxfId="683" priority="683" operator="equal">
      <formula>"Folyamatban"</formula>
    </cfRule>
    <cfRule type="cellIs" dxfId="682" priority="684" operator="equal">
      <formula>"Kész"</formula>
    </cfRule>
  </conditionalFormatting>
  <conditionalFormatting sqref="D355">
    <cfRule type="cellIs" dxfId="681" priority="681" operator="equal">
      <formula>"Folyamatban"</formula>
    </cfRule>
    <cfRule type="cellIs" dxfId="680" priority="682" operator="equal">
      <formula>"Kész"</formula>
    </cfRule>
  </conditionalFormatting>
  <conditionalFormatting sqref="D353:D354">
    <cfRule type="cellIs" dxfId="679" priority="679" operator="equal">
      <formula>"Folyamatban"</formula>
    </cfRule>
    <cfRule type="cellIs" dxfId="678" priority="680" operator="equal">
      <formula>"Kész"</formula>
    </cfRule>
  </conditionalFormatting>
  <conditionalFormatting sqref="D352">
    <cfRule type="cellIs" dxfId="677" priority="677" operator="equal">
      <formula>"Folyamatban"</formula>
    </cfRule>
    <cfRule type="cellIs" dxfId="676" priority="678" operator="equal">
      <formula>"Kész"</formula>
    </cfRule>
  </conditionalFormatting>
  <conditionalFormatting sqref="D351">
    <cfRule type="cellIs" dxfId="675" priority="675" operator="equal">
      <formula>"Folyamatban"</formula>
    </cfRule>
    <cfRule type="cellIs" dxfId="674" priority="676" operator="equal">
      <formula>"Kész"</formula>
    </cfRule>
  </conditionalFormatting>
  <conditionalFormatting sqref="D350">
    <cfRule type="cellIs" dxfId="673" priority="673" operator="equal">
      <formula>"Folyamatban"</formula>
    </cfRule>
    <cfRule type="cellIs" dxfId="672" priority="674" operator="equal">
      <formula>"Kész"</formula>
    </cfRule>
  </conditionalFormatting>
  <conditionalFormatting sqref="D349">
    <cfRule type="cellIs" dxfId="671" priority="671" operator="equal">
      <formula>"Folyamatban"</formula>
    </cfRule>
    <cfRule type="cellIs" dxfId="670" priority="672" operator="equal">
      <formula>"Kész"</formula>
    </cfRule>
  </conditionalFormatting>
  <conditionalFormatting sqref="D348">
    <cfRule type="cellIs" dxfId="669" priority="669" operator="equal">
      <formula>"Folyamatban"</formula>
    </cfRule>
    <cfRule type="cellIs" dxfId="668" priority="670" operator="equal">
      <formula>"Kész"</formula>
    </cfRule>
  </conditionalFormatting>
  <conditionalFormatting sqref="D347">
    <cfRule type="cellIs" dxfId="667" priority="667" operator="equal">
      <formula>"Folyamatban"</formula>
    </cfRule>
    <cfRule type="cellIs" dxfId="666" priority="668" operator="equal">
      <formula>"Kész"</formula>
    </cfRule>
  </conditionalFormatting>
  <conditionalFormatting sqref="D346">
    <cfRule type="cellIs" dxfId="665" priority="665" operator="equal">
      <formula>"Folyamatban"</formula>
    </cfRule>
    <cfRule type="cellIs" dxfId="664" priority="666" operator="equal">
      <formula>"Kész"</formula>
    </cfRule>
  </conditionalFormatting>
  <conditionalFormatting sqref="D344:D345">
    <cfRule type="cellIs" dxfId="663" priority="663" operator="equal">
      <formula>"Folyamatban"</formula>
    </cfRule>
    <cfRule type="cellIs" dxfId="662" priority="664" operator="equal">
      <formula>"Kész"</formula>
    </cfRule>
  </conditionalFormatting>
  <conditionalFormatting sqref="D343">
    <cfRule type="cellIs" dxfId="661" priority="661" operator="equal">
      <formula>"Folyamatban"</formula>
    </cfRule>
    <cfRule type="cellIs" dxfId="660" priority="662" operator="equal">
      <formula>"Kész"</formula>
    </cfRule>
  </conditionalFormatting>
  <conditionalFormatting sqref="D342">
    <cfRule type="cellIs" dxfId="659" priority="659" operator="equal">
      <formula>"Folyamatban"</formula>
    </cfRule>
    <cfRule type="cellIs" dxfId="658" priority="660" operator="equal">
      <formula>"Kész"</formula>
    </cfRule>
  </conditionalFormatting>
  <conditionalFormatting sqref="D341">
    <cfRule type="cellIs" dxfId="657" priority="657" operator="equal">
      <formula>"Folyamatban"</formula>
    </cfRule>
    <cfRule type="cellIs" dxfId="656" priority="658" operator="equal">
      <formula>"Kész"</formula>
    </cfRule>
  </conditionalFormatting>
  <conditionalFormatting sqref="D340">
    <cfRule type="cellIs" dxfId="655" priority="655" operator="equal">
      <formula>"Folyamatban"</formula>
    </cfRule>
    <cfRule type="cellIs" dxfId="654" priority="656" operator="equal">
      <formula>"Kész"</formula>
    </cfRule>
  </conditionalFormatting>
  <conditionalFormatting sqref="D339">
    <cfRule type="cellIs" dxfId="653" priority="653" operator="equal">
      <formula>"Folyamatban"</formula>
    </cfRule>
    <cfRule type="cellIs" dxfId="652" priority="654" operator="equal">
      <formula>"Kész"</formula>
    </cfRule>
  </conditionalFormatting>
  <conditionalFormatting sqref="D338">
    <cfRule type="cellIs" dxfId="651" priority="651" operator="equal">
      <formula>"Folyamatban"</formula>
    </cfRule>
    <cfRule type="cellIs" dxfId="650" priority="652" operator="equal">
      <formula>"Kész"</formula>
    </cfRule>
  </conditionalFormatting>
  <conditionalFormatting sqref="D337">
    <cfRule type="cellIs" dxfId="649" priority="649" operator="equal">
      <formula>"Folyamatban"</formula>
    </cfRule>
    <cfRule type="cellIs" dxfId="648" priority="650" operator="equal">
      <formula>"Kész"</formula>
    </cfRule>
  </conditionalFormatting>
  <conditionalFormatting sqref="D336">
    <cfRule type="cellIs" dxfId="647" priority="647" operator="equal">
      <formula>"Folyamatban"</formula>
    </cfRule>
    <cfRule type="cellIs" dxfId="646" priority="648" operator="equal">
      <formula>"Kész"</formula>
    </cfRule>
  </conditionalFormatting>
  <conditionalFormatting sqref="D335">
    <cfRule type="cellIs" dxfId="645" priority="645" operator="equal">
      <formula>"Folyamatban"</formula>
    </cfRule>
    <cfRule type="cellIs" dxfId="644" priority="646" operator="equal">
      <formula>"Kész"</formula>
    </cfRule>
  </conditionalFormatting>
  <conditionalFormatting sqref="D334">
    <cfRule type="cellIs" dxfId="643" priority="643" operator="equal">
      <formula>"Folyamatban"</formula>
    </cfRule>
    <cfRule type="cellIs" dxfId="642" priority="644" operator="equal">
      <formula>"Kész"</formula>
    </cfRule>
  </conditionalFormatting>
  <conditionalFormatting sqref="D333">
    <cfRule type="cellIs" dxfId="641" priority="641" operator="equal">
      <formula>"Folyamatban"</formula>
    </cfRule>
    <cfRule type="cellIs" dxfId="640" priority="642" operator="equal">
      <formula>"Kész"</formula>
    </cfRule>
  </conditionalFormatting>
  <conditionalFormatting sqref="D332">
    <cfRule type="cellIs" dxfId="639" priority="639" operator="equal">
      <formula>"Folyamatban"</formula>
    </cfRule>
    <cfRule type="cellIs" dxfId="638" priority="640" operator="equal">
      <formula>"Kész"</formula>
    </cfRule>
  </conditionalFormatting>
  <conditionalFormatting sqref="D331">
    <cfRule type="cellIs" dxfId="637" priority="637" operator="equal">
      <formula>"Folyamatban"</formula>
    </cfRule>
    <cfRule type="cellIs" dxfId="636" priority="638" operator="equal">
      <formula>"Kész"</formula>
    </cfRule>
  </conditionalFormatting>
  <conditionalFormatting sqref="D330">
    <cfRule type="cellIs" dxfId="635" priority="635" operator="equal">
      <formula>"Folyamatban"</formula>
    </cfRule>
    <cfRule type="cellIs" dxfId="634" priority="636" operator="equal">
      <formula>"Kész"</formula>
    </cfRule>
  </conditionalFormatting>
  <conditionalFormatting sqref="D329">
    <cfRule type="cellIs" dxfId="633" priority="633" operator="equal">
      <formula>"Folyamatban"</formula>
    </cfRule>
    <cfRule type="cellIs" dxfId="632" priority="634" operator="equal">
      <formula>"Kész"</formula>
    </cfRule>
  </conditionalFormatting>
  <conditionalFormatting sqref="D328">
    <cfRule type="cellIs" dxfId="631" priority="631" operator="equal">
      <formula>"Folyamatban"</formula>
    </cfRule>
    <cfRule type="cellIs" dxfId="630" priority="632" operator="equal">
      <formula>"Kész"</formula>
    </cfRule>
  </conditionalFormatting>
  <conditionalFormatting sqref="D327">
    <cfRule type="cellIs" dxfId="629" priority="629" operator="equal">
      <formula>"Folyamatban"</formula>
    </cfRule>
    <cfRule type="cellIs" dxfId="628" priority="630" operator="equal">
      <formula>"Kész"</formula>
    </cfRule>
  </conditionalFormatting>
  <conditionalFormatting sqref="D325:D326">
    <cfRule type="cellIs" dxfId="627" priority="627" operator="equal">
      <formula>"Folyamatban"</formula>
    </cfRule>
    <cfRule type="cellIs" dxfId="626" priority="628" operator="equal">
      <formula>"Kész"</formula>
    </cfRule>
  </conditionalFormatting>
  <conditionalFormatting sqref="D324">
    <cfRule type="cellIs" dxfId="625" priority="625" operator="equal">
      <formula>"Folyamatban"</formula>
    </cfRule>
    <cfRule type="cellIs" dxfId="624" priority="626" operator="equal">
      <formula>"Kész"</formula>
    </cfRule>
  </conditionalFormatting>
  <conditionalFormatting sqref="D323">
    <cfRule type="cellIs" dxfId="623" priority="623" operator="equal">
      <formula>"Folyamatban"</formula>
    </cfRule>
    <cfRule type="cellIs" dxfId="622" priority="624" operator="equal">
      <formula>"Kész"</formula>
    </cfRule>
  </conditionalFormatting>
  <conditionalFormatting sqref="D322">
    <cfRule type="cellIs" dxfId="621" priority="621" operator="equal">
      <formula>"Folyamatban"</formula>
    </cfRule>
    <cfRule type="cellIs" dxfId="620" priority="622" operator="equal">
      <formula>"Kész"</formula>
    </cfRule>
  </conditionalFormatting>
  <conditionalFormatting sqref="D321">
    <cfRule type="cellIs" dxfId="619" priority="619" operator="equal">
      <formula>"Folyamatban"</formula>
    </cfRule>
    <cfRule type="cellIs" dxfId="618" priority="620" operator="equal">
      <formula>"Kész"</formula>
    </cfRule>
  </conditionalFormatting>
  <conditionalFormatting sqref="D320">
    <cfRule type="cellIs" dxfId="617" priority="617" operator="equal">
      <formula>"Folyamatban"</formula>
    </cfRule>
    <cfRule type="cellIs" dxfId="616" priority="618" operator="equal">
      <formula>"Kész"</formula>
    </cfRule>
  </conditionalFormatting>
  <conditionalFormatting sqref="D319">
    <cfRule type="cellIs" dxfId="615" priority="615" operator="equal">
      <formula>"Folyamatban"</formula>
    </cfRule>
    <cfRule type="cellIs" dxfId="614" priority="616" operator="equal">
      <formula>"Kész"</formula>
    </cfRule>
  </conditionalFormatting>
  <conditionalFormatting sqref="D318">
    <cfRule type="cellIs" dxfId="613" priority="613" operator="equal">
      <formula>"Folyamatban"</formula>
    </cfRule>
    <cfRule type="cellIs" dxfId="612" priority="614" operator="equal">
      <formula>"Kész"</formula>
    </cfRule>
  </conditionalFormatting>
  <conditionalFormatting sqref="D317">
    <cfRule type="cellIs" dxfId="611" priority="611" operator="equal">
      <formula>"Folyamatban"</formula>
    </cfRule>
    <cfRule type="cellIs" dxfId="610" priority="612" operator="equal">
      <formula>"Kész"</formula>
    </cfRule>
  </conditionalFormatting>
  <conditionalFormatting sqref="D315">
    <cfRule type="cellIs" dxfId="609" priority="609" operator="equal">
      <formula>"Folyamatban"</formula>
    </cfRule>
    <cfRule type="cellIs" dxfId="608" priority="610" operator="equal">
      <formula>"Kész"</formula>
    </cfRule>
  </conditionalFormatting>
  <conditionalFormatting sqref="D312:D314">
    <cfRule type="cellIs" dxfId="607" priority="607" operator="equal">
      <formula>"Folyamatban"</formula>
    </cfRule>
    <cfRule type="cellIs" dxfId="606" priority="608" operator="equal">
      <formula>"Kész"</formula>
    </cfRule>
  </conditionalFormatting>
  <conditionalFormatting sqref="D311">
    <cfRule type="cellIs" dxfId="605" priority="605" operator="equal">
      <formula>"Folyamatban"</formula>
    </cfRule>
    <cfRule type="cellIs" dxfId="604" priority="606" operator="equal">
      <formula>"Kész"</formula>
    </cfRule>
  </conditionalFormatting>
  <conditionalFormatting sqref="D310">
    <cfRule type="cellIs" dxfId="603" priority="603" operator="equal">
      <formula>"Folyamatban"</formula>
    </cfRule>
    <cfRule type="cellIs" dxfId="602" priority="604" operator="equal">
      <formula>"Kész"</formula>
    </cfRule>
  </conditionalFormatting>
  <conditionalFormatting sqref="D309">
    <cfRule type="cellIs" dxfId="601" priority="601" operator="equal">
      <formula>"Folyamatban"</formula>
    </cfRule>
    <cfRule type="cellIs" dxfId="600" priority="602" operator="equal">
      <formula>"Kész"</formula>
    </cfRule>
  </conditionalFormatting>
  <conditionalFormatting sqref="D308">
    <cfRule type="cellIs" dxfId="599" priority="599" operator="equal">
      <formula>"Folyamatban"</formula>
    </cfRule>
    <cfRule type="cellIs" dxfId="598" priority="600" operator="equal">
      <formula>"Kész"</formula>
    </cfRule>
  </conditionalFormatting>
  <conditionalFormatting sqref="D307">
    <cfRule type="cellIs" dxfId="597" priority="597" operator="equal">
      <formula>"Folyamatban"</formula>
    </cfRule>
    <cfRule type="cellIs" dxfId="596" priority="598" operator="equal">
      <formula>"Kész"</formula>
    </cfRule>
  </conditionalFormatting>
  <conditionalFormatting sqref="D306">
    <cfRule type="cellIs" dxfId="595" priority="595" operator="equal">
      <formula>"Folyamatban"</formula>
    </cfRule>
    <cfRule type="cellIs" dxfId="594" priority="596" operator="equal">
      <formula>"Kész"</formula>
    </cfRule>
  </conditionalFormatting>
  <conditionalFormatting sqref="D305">
    <cfRule type="cellIs" dxfId="593" priority="593" operator="equal">
      <formula>"Folyamatban"</formula>
    </cfRule>
    <cfRule type="cellIs" dxfId="592" priority="594" operator="equal">
      <formula>"Kész"</formula>
    </cfRule>
  </conditionalFormatting>
  <conditionalFormatting sqref="D304">
    <cfRule type="cellIs" dxfId="591" priority="591" operator="equal">
      <formula>"Folyamatban"</formula>
    </cfRule>
    <cfRule type="cellIs" dxfId="590" priority="592" operator="equal">
      <formula>"Kész"</formula>
    </cfRule>
  </conditionalFormatting>
  <conditionalFormatting sqref="D303">
    <cfRule type="cellIs" dxfId="589" priority="589" operator="equal">
      <formula>"Folyamatban"</formula>
    </cfRule>
    <cfRule type="cellIs" dxfId="588" priority="590" operator="equal">
      <formula>"Kész"</formula>
    </cfRule>
  </conditionalFormatting>
  <conditionalFormatting sqref="D302">
    <cfRule type="cellIs" dxfId="587" priority="587" operator="equal">
      <formula>"Folyamatban"</formula>
    </cfRule>
    <cfRule type="cellIs" dxfId="586" priority="588" operator="equal">
      <formula>"Kész"</formula>
    </cfRule>
  </conditionalFormatting>
  <conditionalFormatting sqref="D301">
    <cfRule type="cellIs" dxfId="585" priority="585" operator="equal">
      <formula>"Folyamatban"</formula>
    </cfRule>
    <cfRule type="cellIs" dxfId="584" priority="586" operator="equal">
      <formula>"Kész"</formula>
    </cfRule>
  </conditionalFormatting>
  <conditionalFormatting sqref="D300">
    <cfRule type="cellIs" dxfId="583" priority="583" operator="equal">
      <formula>"Folyamatban"</formula>
    </cfRule>
    <cfRule type="cellIs" dxfId="582" priority="584" operator="equal">
      <formula>"Kész"</formula>
    </cfRule>
  </conditionalFormatting>
  <conditionalFormatting sqref="D299">
    <cfRule type="cellIs" dxfId="581" priority="581" operator="equal">
      <formula>"Folyamatban"</formula>
    </cfRule>
    <cfRule type="cellIs" dxfId="580" priority="582" operator="equal">
      <formula>"Kész"</formula>
    </cfRule>
  </conditionalFormatting>
  <conditionalFormatting sqref="D298">
    <cfRule type="cellIs" dxfId="579" priority="579" operator="equal">
      <formula>"Folyamatban"</formula>
    </cfRule>
    <cfRule type="cellIs" dxfId="578" priority="580" operator="equal">
      <formula>"Kész"</formula>
    </cfRule>
  </conditionalFormatting>
  <conditionalFormatting sqref="D297">
    <cfRule type="cellIs" dxfId="577" priority="577" operator="equal">
      <formula>"Folyamatban"</formula>
    </cfRule>
    <cfRule type="cellIs" dxfId="576" priority="578" operator="equal">
      <formula>"Kész"</formula>
    </cfRule>
  </conditionalFormatting>
  <conditionalFormatting sqref="D296">
    <cfRule type="cellIs" dxfId="575" priority="575" operator="equal">
      <formula>"Folyamatban"</formula>
    </cfRule>
    <cfRule type="cellIs" dxfId="574" priority="576" operator="equal">
      <formula>"Kész"</formula>
    </cfRule>
  </conditionalFormatting>
  <conditionalFormatting sqref="D295">
    <cfRule type="cellIs" dxfId="573" priority="573" operator="equal">
      <formula>"Folyamatban"</formula>
    </cfRule>
    <cfRule type="cellIs" dxfId="572" priority="574" operator="equal">
      <formula>"Kész"</formula>
    </cfRule>
  </conditionalFormatting>
  <conditionalFormatting sqref="D294">
    <cfRule type="cellIs" dxfId="571" priority="571" operator="equal">
      <formula>"Folyamatban"</formula>
    </cfRule>
    <cfRule type="cellIs" dxfId="570" priority="572" operator="equal">
      <formula>"Kész"</formula>
    </cfRule>
  </conditionalFormatting>
  <conditionalFormatting sqref="D293">
    <cfRule type="cellIs" dxfId="569" priority="569" operator="equal">
      <formula>"Folyamatban"</formula>
    </cfRule>
    <cfRule type="cellIs" dxfId="568" priority="570" operator="equal">
      <formula>"Kész"</formula>
    </cfRule>
  </conditionalFormatting>
  <conditionalFormatting sqref="D292">
    <cfRule type="cellIs" dxfId="567" priority="567" operator="equal">
      <formula>"Folyamatban"</formula>
    </cfRule>
    <cfRule type="cellIs" dxfId="566" priority="568" operator="equal">
      <formula>"Kész"</formula>
    </cfRule>
  </conditionalFormatting>
  <conditionalFormatting sqref="D291">
    <cfRule type="cellIs" dxfId="565" priority="565" operator="equal">
      <formula>"Folyamatban"</formula>
    </cfRule>
    <cfRule type="cellIs" dxfId="564" priority="566" operator="equal">
      <formula>"Kész"</formula>
    </cfRule>
  </conditionalFormatting>
  <conditionalFormatting sqref="D290">
    <cfRule type="cellIs" dxfId="563" priority="563" operator="equal">
      <formula>"Folyamatban"</formula>
    </cfRule>
    <cfRule type="cellIs" dxfId="562" priority="564" operator="equal">
      <formula>"Kész"</formula>
    </cfRule>
  </conditionalFormatting>
  <conditionalFormatting sqref="D289">
    <cfRule type="cellIs" dxfId="561" priority="561" operator="equal">
      <formula>"Folyamatban"</formula>
    </cfRule>
    <cfRule type="cellIs" dxfId="560" priority="562" operator="equal">
      <formula>"Kész"</formula>
    </cfRule>
  </conditionalFormatting>
  <conditionalFormatting sqref="D288">
    <cfRule type="cellIs" dxfId="559" priority="559" operator="equal">
      <formula>"Folyamatban"</formula>
    </cfRule>
    <cfRule type="cellIs" dxfId="558" priority="560" operator="equal">
      <formula>"Kész"</formula>
    </cfRule>
  </conditionalFormatting>
  <conditionalFormatting sqref="D287">
    <cfRule type="cellIs" dxfId="557" priority="557" operator="equal">
      <formula>"Folyamatban"</formula>
    </cfRule>
    <cfRule type="cellIs" dxfId="556" priority="558" operator="equal">
      <formula>"Kész"</formula>
    </cfRule>
  </conditionalFormatting>
  <conditionalFormatting sqref="D286">
    <cfRule type="cellIs" dxfId="555" priority="555" operator="equal">
      <formula>"Folyamatban"</formula>
    </cfRule>
    <cfRule type="cellIs" dxfId="554" priority="556" operator="equal">
      <formula>"Kész"</formula>
    </cfRule>
  </conditionalFormatting>
  <conditionalFormatting sqref="D285">
    <cfRule type="cellIs" dxfId="553" priority="553" operator="equal">
      <formula>"Folyamatban"</formula>
    </cfRule>
    <cfRule type="cellIs" dxfId="552" priority="554" operator="equal">
      <formula>"Kész"</formula>
    </cfRule>
  </conditionalFormatting>
  <conditionalFormatting sqref="D284">
    <cfRule type="cellIs" dxfId="551" priority="551" operator="equal">
      <formula>"Folyamatban"</formula>
    </cfRule>
    <cfRule type="cellIs" dxfId="550" priority="552" operator="equal">
      <formula>"Kész"</formula>
    </cfRule>
  </conditionalFormatting>
  <conditionalFormatting sqref="D283">
    <cfRule type="cellIs" dxfId="549" priority="549" operator="equal">
      <formula>"Folyamatban"</formula>
    </cfRule>
    <cfRule type="cellIs" dxfId="548" priority="550" operator="equal">
      <formula>"Kész"</formula>
    </cfRule>
  </conditionalFormatting>
  <conditionalFormatting sqref="D282">
    <cfRule type="cellIs" dxfId="547" priority="547" operator="equal">
      <formula>"Folyamatban"</formula>
    </cfRule>
    <cfRule type="cellIs" dxfId="546" priority="548" operator="equal">
      <formula>"Kész"</formula>
    </cfRule>
  </conditionalFormatting>
  <conditionalFormatting sqref="D281">
    <cfRule type="cellIs" dxfId="545" priority="545" operator="equal">
      <formula>"Folyamatban"</formula>
    </cfRule>
    <cfRule type="cellIs" dxfId="544" priority="546" operator="equal">
      <formula>"Kész"</formula>
    </cfRule>
  </conditionalFormatting>
  <conditionalFormatting sqref="D280">
    <cfRule type="cellIs" dxfId="543" priority="543" operator="equal">
      <formula>"Folyamatban"</formula>
    </cfRule>
    <cfRule type="cellIs" dxfId="542" priority="544" operator="equal">
      <formula>"Kész"</formula>
    </cfRule>
  </conditionalFormatting>
  <conditionalFormatting sqref="D279">
    <cfRule type="cellIs" dxfId="541" priority="541" operator="equal">
      <formula>"Folyamatban"</formula>
    </cfRule>
    <cfRule type="cellIs" dxfId="540" priority="542" operator="equal">
      <formula>"Kész"</formula>
    </cfRule>
  </conditionalFormatting>
  <conditionalFormatting sqref="D278">
    <cfRule type="cellIs" dxfId="539" priority="539" operator="equal">
      <formula>"Folyamatban"</formula>
    </cfRule>
    <cfRule type="cellIs" dxfId="538" priority="540" operator="equal">
      <formula>"Kész"</formula>
    </cfRule>
  </conditionalFormatting>
  <conditionalFormatting sqref="D277">
    <cfRule type="cellIs" dxfId="537" priority="537" operator="equal">
      <formula>"Folyamatban"</formula>
    </cfRule>
    <cfRule type="cellIs" dxfId="536" priority="538" operator="equal">
      <formula>"Kész"</formula>
    </cfRule>
  </conditionalFormatting>
  <conditionalFormatting sqref="D276">
    <cfRule type="cellIs" dxfId="535" priority="535" operator="equal">
      <formula>"Folyamatban"</formula>
    </cfRule>
    <cfRule type="cellIs" dxfId="534" priority="536" operator="equal">
      <formula>"Kész"</formula>
    </cfRule>
  </conditionalFormatting>
  <conditionalFormatting sqref="D275">
    <cfRule type="cellIs" dxfId="533" priority="533" operator="equal">
      <formula>"Folyamatban"</formula>
    </cfRule>
    <cfRule type="cellIs" dxfId="532" priority="534" operator="equal">
      <formula>"Kész"</formula>
    </cfRule>
  </conditionalFormatting>
  <conditionalFormatting sqref="D274">
    <cfRule type="cellIs" dxfId="531" priority="531" operator="equal">
      <formula>"Folyamatban"</formula>
    </cfRule>
    <cfRule type="cellIs" dxfId="530" priority="532" operator="equal">
      <formula>"Kész"</formula>
    </cfRule>
  </conditionalFormatting>
  <conditionalFormatting sqref="D273">
    <cfRule type="cellIs" dxfId="529" priority="529" operator="equal">
      <formula>"Folyamatban"</formula>
    </cfRule>
    <cfRule type="cellIs" dxfId="528" priority="530" operator="equal">
      <formula>"Kész"</formula>
    </cfRule>
  </conditionalFormatting>
  <conditionalFormatting sqref="D272">
    <cfRule type="cellIs" dxfId="527" priority="527" operator="equal">
      <formula>"Folyamatban"</formula>
    </cfRule>
    <cfRule type="cellIs" dxfId="526" priority="528" operator="equal">
      <formula>"Kész"</formula>
    </cfRule>
  </conditionalFormatting>
  <conditionalFormatting sqref="D270">
    <cfRule type="cellIs" dxfId="525" priority="525" operator="equal">
      <formula>"Folyamatban"</formula>
    </cfRule>
    <cfRule type="cellIs" dxfId="524" priority="526" operator="equal">
      <formula>"Kész"</formula>
    </cfRule>
  </conditionalFormatting>
  <conditionalFormatting sqref="D269">
    <cfRule type="cellIs" dxfId="523" priority="523" operator="equal">
      <formula>"Folyamatban"</formula>
    </cfRule>
    <cfRule type="cellIs" dxfId="522" priority="524" operator="equal">
      <formula>"Kész"</formula>
    </cfRule>
  </conditionalFormatting>
  <conditionalFormatting sqref="D268">
    <cfRule type="cellIs" dxfId="521" priority="521" operator="equal">
      <formula>"Folyamatban"</formula>
    </cfRule>
    <cfRule type="cellIs" dxfId="520" priority="522" operator="equal">
      <formula>"Kész"</formula>
    </cfRule>
  </conditionalFormatting>
  <conditionalFormatting sqref="D267">
    <cfRule type="cellIs" dxfId="519" priority="519" operator="equal">
      <formula>"Folyamatban"</formula>
    </cfRule>
    <cfRule type="cellIs" dxfId="518" priority="520" operator="equal">
      <formula>"Kész"</formula>
    </cfRule>
  </conditionalFormatting>
  <conditionalFormatting sqref="D266">
    <cfRule type="cellIs" dxfId="517" priority="517" operator="equal">
      <formula>"Folyamatban"</formula>
    </cfRule>
    <cfRule type="cellIs" dxfId="516" priority="518" operator="equal">
      <formula>"Kész"</formula>
    </cfRule>
  </conditionalFormatting>
  <conditionalFormatting sqref="D265">
    <cfRule type="cellIs" dxfId="515" priority="515" operator="equal">
      <formula>"Folyamatban"</formula>
    </cfRule>
    <cfRule type="cellIs" dxfId="514" priority="516" operator="equal">
      <formula>"Kész"</formula>
    </cfRule>
  </conditionalFormatting>
  <conditionalFormatting sqref="D261">
    <cfRule type="cellIs" dxfId="513" priority="513" operator="equal">
      <formula>"Folyamatban"</formula>
    </cfRule>
    <cfRule type="cellIs" dxfId="512" priority="514" operator="equal">
      <formula>"Kész"</formula>
    </cfRule>
  </conditionalFormatting>
  <conditionalFormatting sqref="D260">
    <cfRule type="cellIs" dxfId="511" priority="511" operator="equal">
      <formula>"Folyamatban"</formula>
    </cfRule>
    <cfRule type="cellIs" dxfId="510" priority="512" operator="equal">
      <formula>"Kész"</formula>
    </cfRule>
  </conditionalFormatting>
  <conditionalFormatting sqref="D259">
    <cfRule type="cellIs" dxfId="509" priority="509" operator="equal">
      <formula>"Folyamatban"</formula>
    </cfRule>
    <cfRule type="cellIs" dxfId="508" priority="510" operator="equal">
      <formula>"Kész"</formula>
    </cfRule>
  </conditionalFormatting>
  <conditionalFormatting sqref="D258">
    <cfRule type="cellIs" dxfId="507" priority="507" operator="equal">
      <formula>"Folyamatban"</formula>
    </cfRule>
    <cfRule type="cellIs" dxfId="506" priority="508" operator="equal">
      <formula>"Kész"</formula>
    </cfRule>
  </conditionalFormatting>
  <conditionalFormatting sqref="D257">
    <cfRule type="cellIs" dxfId="505" priority="505" operator="equal">
      <formula>"Folyamatban"</formula>
    </cfRule>
    <cfRule type="cellIs" dxfId="504" priority="506" operator="equal">
      <formula>"Kész"</formula>
    </cfRule>
  </conditionalFormatting>
  <conditionalFormatting sqref="D256">
    <cfRule type="cellIs" dxfId="503" priority="503" operator="equal">
      <formula>"Folyamatban"</formula>
    </cfRule>
    <cfRule type="cellIs" dxfId="502" priority="504" operator="equal">
      <formula>"Kész"</formula>
    </cfRule>
  </conditionalFormatting>
  <conditionalFormatting sqref="D255">
    <cfRule type="cellIs" dxfId="501" priority="501" operator="equal">
      <formula>"Folyamatban"</formula>
    </cfRule>
    <cfRule type="cellIs" dxfId="500" priority="502" operator="equal">
      <formula>"Kész"</formula>
    </cfRule>
  </conditionalFormatting>
  <conditionalFormatting sqref="D254">
    <cfRule type="cellIs" dxfId="499" priority="499" operator="equal">
      <formula>"Folyamatban"</formula>
    </cfRule>
    <cfRule type="cellIs" dxfId="498" priority="500" operator="equal">
      <formula>"Kész"</formula>
    </cfRule>
  </conditionalFormatting>
  <conditionalFormatting sqref="D253">
    <cfRule type="cellIs" dxfId="497" priority="497" operator="equal">
      <formula>"Folyamatban"</formula>
    </cfRule>
    <cfRule type="cellIs" dxfId="496" priority="498" operator="equal">
      <formula>"Kész"</formula>
    </cfRule>
  </conditionalFormatting>
  <conditionalFormatting sqref="D252">
    <cfRule type="cellIs" dxfId="495" priority="495" operator="equal">
      <formula>"Folyamatban"</formula>
    </cfRule>
    <cfRule type="cellIs" dxfId="494" priority="496" operator="equal">
      <formula>"Kész"</formula>
    </cfRule>
  </conditionalFormatting>
  <conditionalFormatting sqref="D251">
    <cfRule type="cellIs" dxfId="493" priority="493" operator="equal">
      <formula>"Folyamatban"</formula>
    </cfRule>
    <cfRule type="cellIs" dxfId="492" priority="494" operator="equal">
      <formula>"Kész"</formula>
    </cfRule>
  </conditionalFormatting>
  <conditionalFormatting sqref="D250">
    <cfRule type="cellIs" dxfId="491" priority="491" operator="equal">
      <formula>"Folyamatban"</formula>
    </cfRule>
    <cfRule type="cellIs" dxfId="490" priority="492" operator="equal">
      <formula>"Kész"</formula>
    </cfRule>
  </conditionalFormatting>
  <conditionalFormatting sqref="D249">
    <cfRule type="cellIs" dxfId="489" priority="489" operator="equal">
      <formula>"Folyamatban"</formula>
    </cfRule>
    <cfRule type="cellIs" dxfId="488" priority="490" operator="equal">
      <formula>"Kész"</formula>
    </cfRule>
  </conditionalFormatting>
  <conditionalFormatting sqref="D248">
    <cfRule type="cellIs" dxfId="487" priority="487" operator="equal">
      <formula>"Folyamatban"</formula>
    </cfRule>
    <cfRule type="cellIs" dxfId="486" priority="488" operator="equal">
      <formula>"Kész"</formula>
    </cfRule>
  </conditionalFormatting>
  <conditionalFormatting sqref="D247">
    <cfRule type="cellIs" dxfId="485" priority="485" operator="equal">
      <formula>"Folyamatban"</formula>
    </cfRule>
    <cfRule type="cellIs" dxfId="484" priority="486" operator="equal">
      <formula>"Kész"</formula>
    </cfRule>
  </conditionalFormatting>
  <conditionalFormatting sqref="D246">
    <cfRule type="cellIs" dxfId="483" priority="483" operator="equal">
      <formula>"Folyamatban"</formula>
    </cfRule>
    <cfRule type="cellIs" dxfId="482" priority="484" operator="equal">
      <formula>"Kész"</formula>
    </cfRule>
  </conditionalFormatting>
  <conditionalFormatting sqref="D245">
    <cfRule type="cellIs" dxfId="481" priority="481" operator="equal">
      <formula>"Folyamatban"</formula>
    </cfRule>
    <cfRule type="cellIs" dxfId="480" priority="482" operator="equal">
      <formula>"Kész"</formula>
    </cfRule>
  </conditionalFormatting>
  <conditionalFormatting sqref="D244">
    <cfRule type="cellIs" dxfId="479" priority="479" operator="equal">
      <formula>"Folyamatban"</formula>
    </cfRule>
    <cfRule type="cellIs" dxfId="478" priority="480" operator="equal">
      <formula>"Kész"</formula>
    </cfRule>
  </conditionalFormatting>
  <conditionalFormatting sqref="D243">
    <cfRule type="cellIs" dxfId="477" priority="477" operator="equal">
      <formula>"Folyamatban"</formula>
    </cfRule>
    <cfRule type="cellIs" dxfId="476" priority="478" operator="equal">
      <formula>"Kész"</formula>
    </cfRule>
  </conditionalFormatting>
  <conditionalFormatting sqref="D242">
    <cfRule type="cellIs" dxfId="475" priority="475" operator="equal">
      <formula>"Folyamatban"</formula>
    </cfRule>
    <cfRule type="cellIs" dxfId="474" priority="476" operator="equal">
      <formula>"Kész"</formula>
    </cfRule>
  </conditionalFormatting>
  <conditionalFormatting sqref="D241">
    <cfRule type="cellIs" dxfId="473" priority="473" operator="equal">
      <formula>"Folyamatban"</formula>
    </cfRule>
    <cfRule type="cellIs" dxfId="472" priority="474" operator="equal">
      <formula>"Kész"</formula>
    </cfRule>
  </conditionalFormatting>
  <conditionalFormatting sqref="D240">
    <cfRule type="cellIs" dxfId="471" priority="471" operator="equal">
      <formula>"Folyamatban"</formula>
    </cfRule>
    <cfRule type="cellIs" dxfId="470" priority="472" operator="equal">
      <formula>"Kész"</formula>
    </cfRule>
  </conditionalFormatting>
  <conditionalFormatting sqref="D239">
    <cfRule type="cellIs" dxfId="469" priority="469" operator="equal">
      <formula>"Folyamatban"</formula>
    </cfRule>
    <cfRule type="cellIs" dxfId="468" priority="470" operator="equal">
      <formula>"Kész"</formula>
    </cfRule>
  </conditionalFormatting>
  <conditionalFormatting sqref="D238">
    <cfRule type="cellIs" dxfId="467" priority="467" operator="equal">
      <formula>"Folyamatban"</formula>
    </cfRule>
    <cfRule type="cellIs" dxfId="466" priority="468" operator="equal">
      <formula>"Kész"</formula>
    </cfRule>
  </conditionalFormatting>
  <conditionalFormatting sqref="D237">
    <cfRule type="cellIs" dxfId="465" priority="465" operator="equal">
      <formula>"Folyamatban"</formula>
    </cfRule>
    <cfRule type="cellIs" dxfId="464" priority="466" operator="equal">
      <formula>"Kész"</formula>
    </cfRule>
  </conditionalFormatting>
  <conditionalFormatting sqref="D236">
    <cfRule type="cellIs" dxfId="463" priority="463" operator="equal">
      <formula>"Folyamatban"</formula>
    </cfRule>
    <cfRule type="cellIs" dxfId="462" priority="464" operator="equal">
      <formula>"Kész"</formula>
    </cfRule>
  </conditionalFormatting>
  <conditionalFormatting sqref="D235">
    <cfRule type="cellIs" dxfId="461" priority="461" operator="equal">
      <formula>"Folyamatban"</formula>
    </cfRule>
    <cfRule type="cellIs" dxfId="460" priority="462" operator="equal">
      <formula>"Kész"</formula>
    </cfRule>
  </conditionalFormatting>
  <conditionalFormatting sqref="D234">
    <cfRule type="cellIs" dxfId="459" priority="459" operator="equal">
      <formula>"Folyamatban"</formula>
    </cfRule>
    <cfRule type="cellIs" dxfId="458" priority="460" operator="equal">
      <formula>"Kész"</formula>
    </cfRule>
  </conditionalFormatting>
  <conditionalFormatting sqref="D233">
    <cfRule type="cellIs" dxfId="457" priority="457" operator="equal">
      <formula>"Folyamatban"</formula>
    </cfRule>
    <cfRule type="cellIs" dxfId="456" priority="458" operator="equal">
      <formula>"Kész"</formula>
    </cfRule>
  </conditionalFormatting>
  <conditionalFormatting sqref="D232">
    <cfRule type="cellIs" dxfId="455" priority="455" operator="equal">
      <formula>"Folyamatban"</formula>
    </cfRule>
    <cfRule type="cellIs" dxfId="454" priority="456" operator="equal">
      <formula>"Kész"</formula>
    </cfRule>
  </conditionalFormatting>
  <conditionalFormatting sqref="D231">
    <cfRule type="cellIs" dxfId="453" priority="453" operator="equal">
      <formula>"Folyamatban"</formula>
    </cfRule>
    <cfRule type="cellIs" dxfId="452" priority="454" operator="equal">
      <formula>"Kész"</formula>
    </cfRule>
  </conditionalFormatting>
  <conditionalFormatting sqref="D230">
    <cfRule type="cellIs" dxfId="451" priority="451" operator="equal">
      <formula>"Folyamatban"</formula>
    </cfRule>
    <cfRule type="cellIs" dxfId="450" priority="452" operator="equal">
      <formula>"Kész"</formula>
    </cfRule>
  </conditionalFormatting>
  <conditionalFormatting sqref="D229">
    <cfRule type="cellIs" dxfId="449" priority="449" operator="equal">
      <formula>"Folyamatban"</formula>
    </cfRule>
    <cfRule type="cellIs" dxfId="448" priority="450" operator="equal">
      <formula>"Kész"</formula>
    </cfRule>
  </conditionalFormatting>
  <conditionalFormatting sqref="D228">
    <cfRule type="cellIs" dxfId="447" priority="447" operator="equal">
      <formula>"Folyamatban"</formula>
    </cfRule>
    <cfRule type="cellIs" dxfId="446" priority="448" operator="equal">
      <formula>"Kész"</formula>
    </cfRule>
  </conditionalFormatting>
  <conditionalFormatting sqref="D227">
    <cfRule type="cellIs" dxfId="445" priority="445" operator="equal">
      <formula>"Folyamatban"</formula>
    </cfRule>
    <cfRule type="cellIs" dxfId="444" priority="446" operator="equal">
      <formula>"Kész"</formula>
    </cfRule>
  </conditionalFormatting>
  <conditionalFormatting sqref="D226">
    <cfRule type="cellIs" dxfId="443" priority="443" operator="equal">
      <formula>"Folyamatban"</formula>
    </cfRule>
    <cfRule type="cellIs" dxfId="442" priority="444" operator="equal">
      <formula>"Kész"</formula>
    </cfRule>
  </conditionalFormatting>
  <conditionalFormatting sqref="D225">
    <cfRule type="cellIs" dxfId="441" priority="441" operator="equal">
      <formula>"Folyamatban"</formula>
    </cfRule>
    <cfRule type="cellIs" dxfId="440" priority="442" operator="equal">
      <formula>"Kész"</formula>
    </cfRule>
  </conditionalFormatting>
  <conditionalFormatting sqref="D224">
    <cfRule type="cellIs" dxfId="439" priority="439" operator="equal">
      <formula>"Folyamatban"</formula>
    </cfRule>
    <cfRule type="cellIs" dxfId="438" priority="440" operator="equal">
      <formula>"Kész"</formula>
    </cfRule>
  </conditionalFormatting>
  <conditionalFormatting sqref="D223">
    <cfRule type="cellIs" dxfId="437" priority="437" operator="equal">
      <formula>"Folyamatban"</formula>
    </cfRule>
    <cfRule type="cellIs" dxfId="436" priority="438" operator="equal">
      <formula>"Kész"</formula>
    </cfRule>
  </conditionalFormatting>
  <conditionalFormatting sqref="D222">
    <cfRule type="cellIs" dxfId="435" priority="435" operator="equal">
      <formula>"Folyamatban"</formula>
    </cfRule>
    <cfRule type="cellIs" dxfId="434" priority="436" operator="equal">
      <formula>"Kész"</formula>
    </cfRule>
  </conditionalFormatting>
  <conditionalFormatting sqref="D221">
    <cfRule type="cellIs" dxfId="433" priority="433" operator="equal">
      <formula>"Folyamatban"</formula>
    </cfRule>
    <cfRule type="cellIs" dxfId="432" priority="434" operator="equal">
      <formula>"Kész"</formula>
    </cfRule>
  </conditionalFormatting>
  <conditionalFormatting sqref="D220">
    <cfRule type="cellIs" dxfId="431" priority="431" operator="equal">
      <formula>"Folyamatban"</formula>
    </cfRule>
    <cfRule type="cellIs" dxfId="430" priority="432" operator="equal">
      <formula>"Kész"</formula>
    </cfRule>
  </conditionalFormatting>
  <conditionalFormatting sqref="D219">
    <cfRule type="cellIs" dxfId="429" priority="429" operator="equal">
      <formula>"Folyamatban"</formula>
    </cfRule>
    <cfRule type="cellIs" dxfId="428" priority="430" operator="equal">
      <formula>"Kész"</formula>
    </cfRule>
  </conditionalFormatting>
  <conditionalFormatting sqref="D218">
    <cfRule type="cellIs" dxfId="427" priority="427" operator="equal">
      <formula>"Folyamatban"</formula>
    </cfRule>
    <cfRule type="cellIs" dxfId="426" priority="428" operator="equal">
      <formula>"Kész"</formula>
    </cfRule>
  </conditionalFormatting>
  <conditionalFormatting sqref="D217">
    <cfRule type="cellIs" dxfId="425" priority="425" operator="equal">
      <formula>"Folyamatban"</formula>
    </cfRule>
    <cfRule type="cellIs" dxfId="424" priority="426" operator="equal">
      <formula>"Kész"</formula>
    </cfRule>
  </conditionalFormatting>
  <conditionalFormatting sqref="D216">
    <cfRule type="cellIs" dxfId="423" priority="423" operator="equal">
      <formula>"Folyamatban"</formula>
    </cfRule>
    <cfRule type="cellIs" dxfId="422" priority="424" operator="equal">
      <formula>"Kész"</formula>
    </cfRule>
  </conditionalFormatting>
  <conditionalFormatting sqref="D215">
    <cfRule type="cellIs" dxfId="421" priority="421" operator="equal">
      <formula>"Folyamatban"</formula>
    </cfRule>
    <cfRule type="cellIs" dxfId="420" priority="422" operator="equal">
      <formula>"Kész"</formula>
    </cfRule>
  </conditionalFormatting>
  <conditionalFormatting sqref="D214">
    <cfRule type="cellIs" dxfId="419" priority="419" operator="equal">
      <formula>"Folyamatban"</formula>
    </cfRule>
    <cfRule type="cellIs" dxfId="418" priority="420" operator="equal">
      <formula>"Kész"</formula>
    </cfRule>
  </conditionalFormatting>
  <conditionalFormatting sqref="D213">
    <cfRule type="cellIs" dxfId="417" priority="417" operator="equal">
      <formula>"Folyamatban"</formula>
    </cfRule>
    <cfRule type="cellIs" dxfId="416" priority="418" operator="equal">
      <formula>"Kész"</formula>
    </cfRule>
  </conditionalFormatting>
  <conditionalFormatting sqref="D212">
    <cfRule type="cellIs" dxfId="415" priority="415" operator="equal">
      <formula>"Folyamatban"</formula>
    </cfRule>
    <cfRule type="cellIs" dxfId="414" priority="416" operator="equal">
      <formula>"Kész"</formula>
    </cfRule>
  </conditionalFormatting>
  <conditionalFormatting sqref="D211">
    <cfRule type="cellIs" dxfId="413" priority="413" operator="equal">
      <formula>"Folyamatban"</formula>
    </cfRule>
    <cfRule type="cellIs" dxfId="412" priority="414" operator="equal">
      <formula>"Kész"</formula>
    </cfRule>
  </conditionalFormatting>
  <conditionalFormatting sqref="D210">
    <cfRule type="cellIs" dxfId="411" priority="411" operator="equal">
      <formula>"Folyamatban"</formula>
    </cfRule>
    <cfRule type="cellIs" dxfId="410" priority="412" operator="equal">
      <formula>"Kész"</formula>
    </cfRule>
  </conditionalFormatting>
  <conditionalFormatting sqref="D209">
    <cfRule type="cellIs" dxfId="409" priority="409" operator="equal">
      <formula>"Folyamatban"</formula>
    </cfRule>
    <cfRule type="cellIs" dxfId="408" priority="410" operator="equal">
      <formula>"Kész"</formula>
    </cfRule>
  </conditionalFormatting>
  <conditionalFormatting sqref="D208">
    <cfRule type="cellIs" dxfId="407" priority="407" operator="equal">
      <formula>"Folyamatban"</formula>
    </cfRule>
    <cfRule type="cellIs" dxfId="406" priority="408" operator="equal">
      <formula>"Kész"</formula>
    </cfRule>
  </conditionalFormatting>
  <conditionalFormatting sqref="D207">
    <cfRule type="cellIs" dxfId="405" priority="405" operator="equal">
      <formula>"Folyamatban"</formula>
    </cfRule>
    <cfRule type="cellIs" dxfId="404" priority="406" operator="equal">
      <formula>"Kész"</formula>
    </cfRule>
  </conditionalFormatting>
  <conditionalFormatting sqref="D206">
    <cfRule type="cellIs" dxfId="403" priority="403" operator="equal">
      <formula>"Folyamatban"</formula>
    </cfRule>
    <cfRule type="cellIs" dxfId="402" priority="404" operator="equal">
      <formula>"Kész"</formula>
    </cfRule>
  </conditionalFormatting>
  <conditionalFormatting sqref="D205">
    <cfRule type="cellIs" dxfId="401" priority="401" operator="equal">
      <formula>"Folyamatban"</formula>
    </cfRule>
    <cfRule type="cellIs" dxfId="400" priority="402" operator="equal">
      <formula>"Kész"</formula>
    </cfRule>
  </conditionalFormatting>
  <conditionalFormatting sqref="D204">
    <cfRule type="cellIs" dxfId="399" priority="399" operator="equal">
      <formula>"Folyamatban"</formula>
    </cfRule>
    <cfRule type="cellIs" dxfId="398" priority="400" operator="equal">
      <formula>"Kész"</formula>
    </cfRule>
  </conditionalFormatting>
  <conditionalFormatting sqref="D203">
    <cfRule type="cellIs" dxfId="397" priority="397" operator="equal">
      <formula>"Folyamatban"</formula>
    </cfRule>
    <cfRule type="cellIs" dxfId="396" priority="398" operator="equal">
      <formula>"Kész"</formula>
    </cfRule>
  </conditionalFormatting>
  <conditionalFormatting sqref="D202">
    <cfRule type="cellIs" dxfId="395" priority="395" operator="equal">
      <formula>"Folyamatban"</formula>
    </cfRule>
    <cfRule type="cellIs" dxfId="394" priority="396" operator="equal">
      <formula>"Kész"</formula>
    </cfRule>
  </conditionalFormatting>
  <conditionalFormatting sqref="D201">
    <cfRule type="cellIs" dxfId="393" priority="393" operator="equal">
      <formula>"Folyamatban"</formula>
    </cfRule>
    <cfRule type="cellIs" dxfId="392" priority="394" operator="equal">
      <formula>"Kész"</formula>
    </cfRule>
  </conditionalFormatting>
  <conditionalFormatting sqref="D200">
    <cfRule type="cellIs" dxfId="391" priority="391" operator="equal">
      <formula>"Folyamatban"</formula>
    </cfRule>
    <cfRule type="cellIs" dxfId="390" priority="392" operator="equal">
      <formula>"Kész"</formula>
    </cfRule>
  </conditionalFormatting>
  <conditionalFormatting sqref="D199">
    <cfRule type="cellIs" dxfId="389" priority="389" operator="equal">
      <formula>"Folyamatban"</formula>
    </cfRule>
    <cfRule type="cellIs" dxfId="388" priority="390" operator="equal">
      <formula>"Kész"</formula>
    </cfRule>
  </conditionalFormatting>
  <conditionalFormatting sqref="D198">
    <cfRule type="cellIs" dxfId="387" priority="387" operator="equal">
      <formula>"Folyamatban"</formula>
    </cfRule>
    <cfRule type="cellIs" dxfId="386" priority="388" operator="equal">
      <formula>"Kész"</formula>
    </cfRule>
  </conditionalFormatting>
  <conditionalFormatting sqref="D197">
    <cfRule type="cellIs" dxfId="385" priority="385" operator="equal">
      <formula>"Folyamatban"</formula>
    </cfRule>
    <cfRule type="cellIs" dxfId="384" priority="386" operator="equal">
      <formula>"Kész"</formula>
    </cfRule>
  </conditionalFormatting>
  <conditionalFormatting sqref="D196">
    <cfRule type="cellIs" dxfId="383" priority="383" operator="equal">
      <formula>"Folyamatban"</formula>
    </cfRule>
    <cfRule type="cellIs" dxfId="382" priority="384" operator="equal">
      <formula>"Kész"</formula>
    </cfRule>
  </conditionalFormatting>
  <conditionalFormatting sqref="D195">
    <cfRule type="cellIs" dxfId="381" priority="381" operator="equal">
      <formula>"Folyamatban"</formula>
    </cfRule>
    <cfRule type="cellIs" dxfId="380" priority="382" operator="equal">
      <formula>"Kész"</formula>
    </cfRule>
  </conditionalFormatting>
  <conditionalFormatting sqref="D194">
    <cfRule type="cellIs" dxfId="379" priority="379" operator="equal">
      <formula>"Folyamatban"</formula>
    </cfRule>
    <cfRule type="cellIs" dxfId="378" priority="380" operator="equal">
      <formula>"Kész"</formula>
    </cfRule>
  </conditionalFormatting>
  <conditionalFormatting sqref="D193">
    <cfRule type="cellIs" dxfId="377" priority="377" operator="equal">
      <formula>"Folyamatban"</formula>
    </cfRule>
    <cfRule type="cellIs" dxfId="376" priority="378" operator="equal">
      <formula>"Kész"</formula>
    </cfRule>
  </conditionalFormatting>
  <conditionalFormatting sqref="D192">
    <cfRule type="cellIs" dxfId="375" priority="375" operator="equal">
      <formula>"Folyamatban"</formula>
    </cfRule>
    <cfRule type="cellIs" dxfId="374" priority="376" operator="equal">
      <formula>"Kész"</formula>
    </cfRule>
  </conditionalFormatting>
  <conditionalFormatting sqref="D191">
    <cfRule type="cellIs" dxfId="373" priority="373" operator="equal">
      <formula>"Folyamatban"</formula>
    </cfRule>
    <cfRule type="cellIs" dxfId="372" priority="374" operator="equal">
      <formula>"Kész"</formula>
    </cfRule>
  </conditionalFormatting>
  <conditionalFormatting sqref="D190">
    <cfRule type="cellIs" dxfId="371" priority="371" operator="equal">
      <formula>"Folyamatban"</formula>
    </cfRule>
    <cfRule type="cellIs" dxfId="370" priority="372" operator="equal">
      <formula>"Kész"</formula>
    </cfRule>
  </conditionalFormatting>
  <conditionalFormatting sqref="D189">
    <cfRule type="cellIs" dxfId="369" priority="369" operator="equal">
      <formula>"Folyamatban"</formula>
    </cfRule>
    <cfRule type="cellIs" dxfId="368" priority="370" operator="equal">
      <formula>"Kész"</formula>
    </cfRule>
  </conditionalFormatting>
  <conditionalFormatting sqref="D188">
    <cfRule type="cellIs" dxfId="367" priority="367" operator="equal">
      <formula>"Folyamatban"</formula>
    </cfRule>
    <cfRule type="cellIs" dxfId="366" priority="368" operator="equal">
      <formula>"Kész"</formula>
    </cfRule>
  </conditionalFormatting>
  <conditionalFormatting sqref="D187">
    <cfRule type="cellIs" dxfId="365" priority="365" operator="equal">
      <formula>"Folyamatban"</formula>
    </cfRule>
    <cfRule type="cellIs" dxfId="364" priority="366" operator="equal">
      <formula>"Kész"</formula>
    </cfRule>
  </conditionalFormatting>
  <conditionalFormatting sqref="D186">
    <cfRule type="cellIs" dxfId="363" priority="363" operator="equal">
      <formula>"Folyamatban"</formula>
    </cfRule>
    <cfRule type="cellIs" dxfId="362" priority="364" operator="equal">
      <formula>"Kész"</formula>
    </cfRule>
  </conditionalFormatting>
  <conditionalFormatting sqref="D185">
    <cfRule type="cellIs" dxfId="361" priority="361" operator="equal">
      <formula>"Folyamatban"</formula>
    </cfRule>
    <cfRule type="cellIs" dxfId="360" priority="362" operator="equal">
      <formula>"Kész"</formula>
    </cfRule>
  </conditionalFormatting>
  <conditionalFormatting sqref="D184">
    <cfRule type="cellIs" dxfId="359" priority="359" operator="equal">
      <formula>"Folyamatban"</formula>
    </cfRule>
    <cfRule type="cellIs" dxfId="358" priority="360" operator="equal">
      <formula>"Kész"</formula>
    </cfRule>
  </conditionalFormatting>
  <conditionalFormatting sqref="D183">
    <cfRule type="cellIs" dxfId="357" priority="357" operator="equal">
      <formula>"Folyamatban"</formula>
    </cfRule>
    <cfRule type="cellIs" dxfId="356" priority="358" operator="equal">
      <formula>"Kész"</formula>
    </cfRule>
  </conditionalFormatting>
  <conditionalFormatting sqref="D182">
    <cfRule type="cellIs" dxfId="355" priority="355" operator="equal">
      <formula>"Folyamatban"</formula>
    </cfRule>
    <cfRule type="cellIs" dxfId="354" priority="356" operator="equal">
      <formula>"Kész"</formula>
    </cfRule>
  </conditionalFormatting>
  <conditionalFormatting sqref="D181">
    <cfRule type="cellIs" dxfId="353" priority="353" operator="equal">
      <formula>"Folyamatban"</formula>
    </cfRule>
    <cfRule type="cellIs" dxfId="352" priority="354" operator="equal">
      <formula>"Kész"</formula>
    </cfRule>
  </conditionalFormatting>
  <conditionalFormatting sqref="D180">
    <cfRule type="cellIs" dxfId="351" priority="351" operator="equal">
      <formula>"Folyamatban"</formula>
    </cfRule>
    <cfRule type="cellIs" dxfId="350" priority="352" operator="equal">
      <formula>"Kész"</formula>
    </cfRule>
  </conditionalFormatting>
  <conditionalFormatting sqref="D179">
    <cfRule type="cellIs" dxfId="349" priority="349" operator="equal">
      <formula>"Folyamatban"</formula>
    </cfRule>
    <cfRule type="cellIs" dxfId="348" priority="350" operator="equal">
      <formula>"Kész"</formula>
    </cfRule>
  </conditionalFormatting>
  <conditionalFormatting sqref="D178">
    <cfRule type="cellIs" dxfId="347" priority="347" operator="equal">
      <formula>"Folyamatban"</formula>
    </cfRule>
    <cfRule type="cellIs" dxfId="346" priority="348" operator="equal">
      <formula>"Kész"</formula>
    </cfRule>
  </conditionalFormatting>
  <conditionalFormatting sqref="D177">
    <cfRule type="cellIs" dxfId="345" priority="345" operator="equal">
      <formula>"Folyamatban"</formula>
    </cfRule>
    <cfRule type="cellIs" dxfId="344" priority="346" operator="equal">
      <formula>"Kész"</formula>
    </cfRule>
  </conditionalFormatting>
  <conditionalFormatting sqref="D176">
    <cfRule type="cellIs" dxfId="343" priority="343" operator="equal">
      <formula>"Folyamatban"</formula>
    </cfRule>
    <cfRule type="cellIs" dxfId="342" priority="344" operator="equal">
      <formula>"Kész"</formula>
    </cfRule>
  </conditionalFormatting>
  <conditionalFormatting sqref="D175">
    <cfRule type="cellIs" dxfId="341" priority="341" operator="equal">
      <formula>"Folyamatban"</formula>
    </cfRule>
    <cfRule type="cellIs" dxfId="340" priority="342" operator="equal">
      <formula>"Kész"</formula>
    </cfRule>
  </conditionalFormatting>
  <conditionalFormatting sqref="D174">
    <cfRule type="cellIs" dxfId="339" priority="339" operator="equal">
      <formula>"Folyamatban"</formula>
    </cfRule>
    <cfRule type="cellIs" dxfId="338" priority="340" operator="equal">
      <formula>"Kész"</formula>
    </cfRule>
  </conditionalFormatting>
  <conditionalFormatting sqref="D173">
    <cfRule type="cellIs" dxfId="337" priority="337" operator="equal">
      <formula>"Folyamatban"</formula>
    </cfRule>
    <cfRule type="cellIs" dxfId="336" priority="338" operator="equal">
      <formula>"Kész"</formula>
    </cfRule>
  </conditionalFormatting>
  <conditionalFormatting sqref="D172">
    <cfRule type="cellIs" dxfId="335" priority="335" operator="equal">
      <formula>"Folyamatban"</formula>
    </cfRule>
    <cfRule type="cellIs" dxfId="334" priority="336" operator="equal">
      <formula>"Kész"</formula>
    </cfRule>
  </conditionalFormatting>
  <conditionalFormatting sqref="D171">
    <cfRule type="cellIs" dxfId="333" priority="333" operator="equal">
      <formula>"Folyamatban"</formula>
    </cfRule>
    <cfRule type="cellIs" dxfId="332" priority="334" operator="equal">
      <formula>"Kész"</formula>
    </cfRule>
  </conditionalFormatting>
  <conditionalFormatting sqref="D167:D170">
    <cfRule type="cellIs" dxfId="331" priority="331" operator="equal">
      <formula>"Folyamatban"</formula>
    </cfRule>
    <cfRule type="cellIs" dxfId="330" priority="332" operator="equal">
      <formula>"Kész"</formula>
    </cfRule>
  </conditionalFormatting>
  <conditionalFormatting sqref="D166">
    <cfRule type="cellIs" dxfId="329" priority="329" operator="equal">
      <formula>"Folyamatban"</formula>
    </cfRule>
    <cfRule type="cellIs" dxfId="328" priority="330" operator="equal">
      <formula>"Kész"</formula>
    </cfRule>
  </conditionalFormatting>
  <conditionalFormatting sqref="D165">
    <cfRule type="cellIs" dxfId="327" priority="327" operator="equal">
      <formula>"Folyamatban"</formula>
    </cfRule>
    <cfRule type="cellIs" dxfId="326" priority="328" operator="equal">
      <formula>"Kész"</formula>
    </cfRule>
  </conditionalFormatting>
  <conditionalFormatting sqref="D164">
    <cfRule type="cellIs" dxfId="325" priority="325" operator="equal">
      <formula>"Folyamatban"</formula>
    </cfRule>
    <cfRule type="cellIs" dxfId="324" priority="326" operator="equal">
      <formula>"Kész"</formula>
    </cfRule>
  </conditionalFormatting>
  <conditionalFormatting sqref="D163">
    <cfRule type="cellIs" dxfId="323" priority="323" operator="equal">
      <formula>"Folyamatban"</formula>
    </cfRule>
    <cfRule type="cellIs" dxfId="322" priority="324" operator="equal">
      <formula>"Kész"</formula>
    </cfRule>
  </conditionalFormatting>
  <conditionalFormatting sqref="D162">
    <cfRule type="cellIs" dxfId="321" priority="321" operator="equal">
      <formula>"Folyamatban"</formula>
    </cfRule>
    <cfRule type="cellIs" dxfId="320" priority="322" operator="equal">
      <formula>"Kész"</formula>
    </cfRule>
  </conditionalFormatting>
  <conditionalFormatting sqref="D161">
    <cfRule type="cellIs" dxfId="319" priority="319" operator="equal">
      <formula>"Folyamatban"</formula>
    </cfRule>
    <cfRule type="cellIs" dxfId="318" priority="320" operator="equal">
      <formula>"Kész"</formula>
    </cfRule>
  </conditionalFormatting>
  <conditionalFormatting sqref="D160">
    <cfRule type="cellIs" dxfId="317" priority="317" operator="equal">
      <formula>"Folyamatban"</formula>
    </cfRule>
    <cfRule type="cellIs" dxfId="316" priority="318" operator="equal">
      <formula>"Kész"</formula>
    </cfRule>
  </conditionalFormatting>
  <conditionalFormatting sqref="D159">
    <cfRule type="cellIs" dxfId="315" priority="315" operator="equal">
      <formula>"Folyamatban"</formula>
    </cfRule>
    <cfRule type="cellIs" dxfId="314" priority="316" operator="equal">
      <formula>"Kész"</formula>
    </cfRule>
  </conditionalFormatting>
  <conditionalFormatting sqref="D158">
    <cfRule type="cellIs" dxfId="313" priority="313" operator="equal">
      <formula>"Folyamatban"</formula>
    </cfRule>
    <cfRule type="cellIs" dxfId="312" priority="314" operator="equal">
      <formula>"Kész"</formula>
    </cfRule>
  </conditionalFormatting>
  <conditionalFormatting sqref="D157">
    <cfRule type="cellIs" dxfId="311" priority="311" operator="equal">
      <formula>"Folyamatban"</formula>
    </cfRule>
    <cfRule type="cellIs" dxfId="310" priority="312" operator="equal">
      <formula>"Kész"</formula>
    </cfRule>
  </conditionalFormatting>
  <conditionalFormatting sqref="D156">
    <cfRule type="cellIs" dxfId="309" priority="309" operator="equal">
      <formula>"Folyamatban"</formula>
    </cfRule>
    <cfRule type="cellIs" dxfId="308" priority="310" operator="equal">
      <formula>"Kész"</formula>
    </cfRule>
  </conditionalFormatting>
  <conditionalFormatting sqref="D155">
    <cfRule type="cellIs" dxfId="307" priority="307" operator="equal">
      <formula>"Folyamatban"</formula>
    </cfRule>
    <cfRule type="cellIs" dxfId="306" priority="308" operator="equal">
      <formula>"Kész"</formula>
    </cfRule>
  </conditionalFormatting>
  <conditionalFormatting sqref="D154">
    <cfRule type="cellIs" dxfId="305" priority="305" operator="equal">
      <formula>"Folyamatban"</formula>
    </cfRule>
    <cfRule type="cellIs" dxfId="304" priority="306" operator="equal">
      <formula>"Kész"</formula>
    </cfRule>
  </conditionalFormatting>
  <conditionalFormatting sqref="D153">
    <cfRule type="cellIs" dxfId="303" priority="303" operator="equal">
      <formula>"Folyamatban"</formula>
    </cfRule>
    <cfRule type="cellIs" dxfId="302" priority="304" operator="equal">
      <formula>"Kész"</formula>
    </cfRule>
  </conditionalFormatting>
  <conditionalFormatting sqref="D152">
    <cfRule type="cellIs" dxfId="301" priority="301" operator="equal">
      <formula>"Folyamatban"</formula>
    </cfRule>
    <cfRule type="cellIs" dxfId="300" priority="302" operator="equal">
      <formula>"Kész"</formula>
    </cfRule>
  </conditionalFormatting>
  <conditionalFormatting sqref="D151">
    <cfRule type="cellIs" dxfId="299" priority="299" operator="equal">
      <formula>"Folyamatban"</formula>
    </cfRule>
    <cfRule type="cellIs" dxfId="298" priority="300" operator="equal">
      <formula>"Kész"</formula>
    </cfRule>
  </conditionalFormatting>
  <conditionalFormatting sqref="D150">
    <cfRule type="cellIs" dxfId="297" priority="297" operator="equal">
      <formula>"Folyamatban"</formula>
    </cfRule>
    <cfRule type="cellIs" dxfId="296" priority="298" operator="equal">
      <formula>"Kész"</formula>
    </cfRule>
  </conditionalFormatting>
  <conditionalFormatting sqref="D149">
    <cfRule type="cellIs" dxfId="295" priority="295" operator="equal">
      <formula>"Folyamatban"</formula>
    </cfRule>
    <cfRule type="cellIs" dxfId="294" priority="296" operator="equal">
      <formula>"Kész"</formula>
    </cfRule>
  </conditionalFormatting>
  <conditionalFormatting sqref="D148">
    <cfRule type="cellIs" dxfId="293" priority="293" operator="equal">
      <formula>"Folyamatban"</formula>
    </cfRule>
    <cfRule type="cellIs" dxfId="292" priority="294" operator="equal">
      <formula>"Kész"</formula>
    </cfRule>
  </conditionalFormatting>
  <conditionalFormatting sqref="D147">
    <cfRule type="cellIs" dxfId="291" priority="291" operator="equal">
      <formula>"Folyamatban"</formula>
    </cfRule>
    <cfRule type="cellIs" dxfId="290" priority="292" operator="equal">
      <formula>"Kész"</formula>
    </cfRule>
  </conditionalFormatting>
  <conditionalFormatting sqref="D146">
    <cfRule type="cellIs" dxfId="289" priority="289" operator="equal">
      <formula>"Folyamatban"</formula>
    </cfRule>
    <cfRule type="cellIs" dxfId="288" priority="290" operator="equal">
      <formula>"Kész"</formula>
    </cfRule>
  </conditionalFormatting>
  <conditionalFormatting sqref="D145">
    <cfRule type="cellIs" dxfId="287" priority="287" operator="equal">
      <formula>"Folyamatban"</formula>
    </cfRule>
    <cfRule type="cellIs" dxfId="286" priority="288" operator="equal">
      <formula>"Kész"</formula>
    </cfRule>
  </conditionalFormatting>
  <conditionalFormatting sqref="D144">
    <cfRule type="cellIs" dxfId="285" priority="285" operator="equal">
      <formula>"Folyamatban"</formula>
    </cfRule>
    <cfRule type="cellIs" dxfId="284" priority="286" operator="equal">
      <formula>"Kész"</formula>
    </cfRule>
  </conditionalFormatting>
  <conditionalFormatting sqref="D143">
    <cfRule type="cellIs" dxfId="283" priority="283" operator="equal">
      <formula>"Folyamatban"</formula>
    </cfRule>
    <cfRule type="cellIs" dxfId="282" priority="284" operator="equal">
      <formula>"Kész"</formula>
    </cfRule>
  </conditionalFormatting>
  <conditionalFormatting sqref="D142">
    <cfRule type="cellIs" dxfId="281" priority="281" operator="equal">
      <formula>"Folyamatban"</formula>
    </cfRule>
    <cfRule type="cellIs" dxfId="280" priority="282" operator="equal">
      <formula>"Kész"</formula>
    </cfRule>
  </conditionalFormatting>
  <conditionalFormatting sqref="D141">
    <cfRule type="cellIs" dxfId="279" priority="279" operator="equal">
      <formula>"Folyamatban"</formula>
    </cfRule>
    <cfRule type="cellIs" dxfId="278" priority="280" operator="equal">
      <formula>"Kész"</formula>
    </cfRule>
  </conditionalFormatting>
  <conditionalFormatting sqref="D140">
    <cfRule type="cellIs" dxfId="277" priority="277" operator="equal">
      <formula>"Folyamatban"</formula>
    </cfRule>
    <cfRule type="cellIs" dxfId="276" priority="278" operator="equal">
      <formula>"Kész"</formula>
    </cfRule>
  </conditionalFormatting>
  <conditionalFormatting sqref="D139">
    <cfRule type="cellIs" dxfId="275" priority="275" operator="equal">
      <formula>"Folyamatban"</formula>
    </cfRule>
    <cfRule type="cellIs" dxfId="274" priority="276" operator="equal">
      <formula>"Kész"</formula>
    </cfRule>
  </conditionalFormatting>
  <conditionalFormatting sqref="D138">
    <cfRule type="cellIs" dxfId="273" priority="273" operator="equal">
      <formula>"Folyamatban"</formula>
    </cfRule>
    <cfRule type="cellIs" dxfId="272" priority="274" operator="equal">
      <formula>"Kész"</formula>
    </cfRule>
  </conditionalFormatting>
  <conditionalFormatting sqref="D137">
    <cfRule type="cellIs" dxfId="271" priority="271" operator="equal">
      <formula>"Folyamatban"</formula>
    </cfRule>
    <cfRule type="cellIs" dxfId="270" priority="272" operator="equal">
      <formula>"Kész"</formula>
    </cfRule>
  </conditionalFormatting>
  <conditionalFormatting sqref="D136">
    <cfRule type="cellIs" dxfId="269" priority="269" operator="equal">
      <formula>"Folyamatban"</formula>
    </cfRule>
    <cfRule type="cellIs" dxfId="268" priority="270" operator="equal">
      <formula>"Kész"</formula>
    </cfRule>
  </conditionalFormatting>
  <conditionalFormatting sqref="D135">
    <cfRule type="cellIs" dxfId="267" priority="267" operator="equal">
      <formula>"Folyamatban"</formula>
    </cfRule>
    <cfRule type="cellIs" dxfId="266" priority="268" operator="equal">
      <formula>"Kész"</formula>
    </cfRule>
  </conditionalFormatting>
  <conditionalFormatting sqref="D134">
    <cfRule type="cellIs" dxfId="265" priority="265" operator="equal">
      <formula>"Folyamatban"</formula>
    </cfRule>
    <cfRule type="cellIs" dxfId="264" priority="266" operator="equal">
      <formula>"Kész"</formula>
    </cfRule>
  </conditionalFormatting>
  <conditionalFormatting sqref="D133">
    <cfRule type="cellIs" dxfId="263" priority="263" operator="equal">
      <formula>"Folyamatban"</formula>
    </cfRule>
    <cfRule type="cellIs" dxfId="262" priority="264" operator="equal">
      <formula>"Kész"</formula>
    </cfRule>
  </conditionalFormatting>
  <conditionalFormatting sqref="D132">
    <cfRule type="cellIs" dxfId="261" priority="261" operator="equal">
      <formula>"Folyamatban"</formula>
    </cfRule>
    <cfRule type="cellIs" dxfId="260" priority="262" operator="equal">
      <formula>"Kész"</formula>
    </cfRule>
  </conditionalFormatting>
  <conditionalFormatting sqref="D131">
    <cfRule type="cellIs" dxfId="259" priority="259" operator="equal">
      <formula>"Folyamatban"</formula>
    </cfRule>
    <cfRule type="cellIs" dxfId="258" priority="260" operator="equal">
      <formula>"Kész"</formula>
    </cfRule>
  </conditionalFormatting>
  <conditionalFormatting sqref="D130">
    <cfRule type="cellIs" dxfId="257" priority="257" operator="equal">
      <formula>"Folyamatban"</formula>
    </cfRule>
    <cfRule type="cellIs" dxfId="256" priority="258" operator="equal">
      <formula>"Kész"</formula>
    </cfRule>
  </conditionalFormatting>
  <conditionalFormatting sqref="D129">
    <cfRule type="cellIs" dxfId="255" priority="255" operator="equal">
      <formula>"Folyamatban"</formula>
    </cfRule>
    <cfRule type="cellIs" dxfId="254" priority="256" operator="equal">
      <formula>"Kész"</formula>
    </cfRule>
  </conditionalFormatting>
  <conditionalFormatting sqref="D128">
    <cfRule type="cellIs" dxfId="253" priority="253" operator="equal">
      <formula>"Folyamatban"</formula>
    </cfRule>
    <cfRule type="cellIs" dxfId="252" priority="254" operator="equal">
      <formula>"Kész"</formula>
    </cfRule>
  </conditionalFormatting>
  <conditionalFormatting sqref="D127">
    <cfRule type="cellIs" dxfId="251" priority="251" operator="equal">
      <formula>"Folyamatban"</formula>
    </cfRule>
    <cfRule type="cellIs" dxfId="250" priority="252" operator="equal">
      <formula>"Kész"</formula>
    </cfRule>
  </conditionalFormatting>
  <conditionalFormatting sqref="D126">
    <cfRule type="cellIs" dxfId="249" priority="249" operator="equal">
      <formula>"Folyamatban"</formula>
    </cfRule>
    <cfRule type="cellIs" dxfId="248" priority="250" operator="equal">
      <formula>"Kész"</formula>
    </cfRule>
  </conditionalFormatting>
  <conditionalFormatting sqref="D125">
    <cfRule type="cellIs" dxfId="247" priority="247" operator="equal">
      <formula>"Folyamatban"</formula>
    </cfRule>
    <cfRule type="cellIs" dxfId="246" priority="248" operator="equal">
      <formula>"Kész"</formula>
    </cfRule>
  </conditionalFormatting>
  <conditionalFormatting sqref="D124">
    <cfRule type="cellIs" dxfId="245" priority="245" operator="equal">
      <formula>"Folyamatban"</formula>
    </cfRule>
    <cfRule type="cellIs" dxfId="244" priority="246" operator="equal">
      <formula>"Kész"</formula>
    </cfRule>
  </conditionalFormatting>
  <conditionalFormatting sqref="D123">
    <cfRule type="cellIs" dxfId="243" priority="243" operator="equal">
      <formula>"Folyamatban"</formula>
    </cfRule>
    <cfRule type="cellIs" dxfId="242" priority="244" operator="equal">
      <formula>"Kész"</formula>
    </cfRule>
  </conditionalFormatting>
  <conditionalFormatting sqref="D122">
    <cfRule type="cellIs" dxfId="241" priority="241" operator="equal">
      <formula>"Folyamatban"</formula>
    </cfRule>
    <cfRule type="cellIs" dxfId="240" priority="242" operator="equal">
      <formula>"Kész"</formula>
    </cfRule>
  </conditionalFormatting>
  <conditionalFormatting sqref="D121">
    <cfRule type="cellIs" dxfId="239" priority="239" operator="equal">
      <formula>"Folyamatban"</formula>
    </cfRule>
    <cfRule type="cellIs" dxfId="238" priority="240" operator="equal">
      <formula>"Kész"</formula>
    </cfRule>
  </conditionalFormatting>
  <conditionalFormatting sqref="D120">
    <cfRule type="cellIs" dxfId="237" priority="237" operator="equal">
      <formula>"Folyamatban"</formula>
    </cfRule>
    <cfRule type="cellIs" dxfId="236" priority="238" operator="equal">
      <formula>"Kész"</formula>
    </cfRule>
  </conditionalFormatting>
  <conditionalFormatting sqref="D119">
    <cfRule type="cellIs" dxfId="235" priority="235" operator="equal">
      <formula>"Folyamatban"</formula>
    </cfRule>
    <cfRule type="cellIs" dxfId="234" priority="236" operator="equal">
      <formula>"Kész"</formula>
    </cfRule>
  </conditionalFormatting>
  <conditionalFormatting sqref="D118">
    <cfRule type="cellIs" dxfId="233" priority="233" operator="equal">
      <formula>"Folyamatban"</formula>
    </cfRule>
    <cfRule type="cellIs" dxfId="232" priority="234" operator="equal">
      <formula>"Kész"</formula>
    </cfRule>
  </conditionalFormatting>
  <conditionalFormatting sqref="D117">
    <cfRule type="cellIs" dxfId="231" priority="231" operator="equal">
      <formula>"Folyamatban"</formula>
    </cfRule>
    <cfRule type="cellIs" dxfId="230" priority="232" operator="equal">
      <formula>"Kész"</formula>
    </cfRule>
  </conditionalFormatting>
  <conditionalFormatting sqref="D116">
    <cfRule type="cellIs" dxfId="229" priority="229" operator="equal">
      <formula>"Folyamatban"</formula>
    </cfRule>
    <cfRule type="cellIs" dxfId="228" priority="230" operator="equal">
      <formula>"Kész"</formula>
    </cfRule>
  </conditionalFormatting>
  <conditionalFormatting sqref="D115">
    <cfRule type="cellIs" dxfId="227" priority="227" operator="equal">
      <formula>"Folyamatban"</formula>
    </cfRule>
    <cfRule type="cellIs" dxfId="226" priority="228" operator="equal">
      <formula>"Kész"</formula>
    </cfRule>
  </conditionalFormatting>
  <conditionalFormatting sqref="D114">
    <cfRule type="cellIs" dxfId="225" priority="225" operator="equal">
      <formula>"Folyamatban"</formula>
    </cfRule>
    <cfRule type="cellIs" dxfId="224" priority="226" operator="equal">
      <formula>"Kész"</formula>
    </cfRule>
  </conditionalFormatting>
  <conditionalFormatting sqref="D113">
    <cfRule type="cellIs" dxfId="223" priority="223" operator="equal">
      <formula>"Folyamatban"</formula>
    </cfRule>
    <cfRule type="cellIs" dxfId="222" priority="224" operator="equal">
      <formula>"Kész"</formula>
    </cfRule>
  </conditionalFormatting>
  <conditionalFormatting sqref="D112">
    <cfRule type="cellIs" dxfId="221" priority="221" operator="equal">
      <formula>"Folyamatban"</formula>
    </cfRule>
    <cfRule type="cellIs" dxfId="220" priority="222" operator="equal">
      <formula>"Kész"</formula>
    </cfRule>
  </conditionalFormatting>
  <conditionalFormatting sqref="D111">
    <cfRule type="cellIs" dxfId="219" priority="219" operator="equal">
      <formula>"Folyamatban"</formula>
    </cfRule>
    <cfRule type="cellIs" dxfId="218" priority="220" operator="equal">
      <formula>"Kész"</formula>
    </cfRule>
  </conditionalFormatting>
  <conditionalFormatting sqref="D110">
    <cfRule type="cellIs" dxfId="217" priority="217" operator="equal">
      <formula>"Folyamatban"</formula>
    </cfRule>
    <cfRule type="cellIs" dxfId="216" priority="218" operator="equal">
      <formula>"Kész"</formula>
    </cfRule>
  </conditionalFormatting>
  <conditionalFormatting sqref="D109">
    <cfRule type="cellIs" dxfId="215" priority="215" operator="equal">
      <formula>"Folyamatban"</formula>
    </cfRule>
    <cfRule type="cellIs" dxfId="214" priority="216" operator="equal">
      <formula>"Kész"</formula>
    </cfRule>
  </conditionalFormatting>
  <conditionalFormatting sqref="D108">
    <cfRule type="cellIs" dxfId="213" priority="213" operator="equal">
      <formula>"Folyamatban"</formula>
    </cfRule>
    <cfRule type="cellIs" dxfId="212" priority="214" operator="equal">
      <formula>"Kész"</formula>
    </cfRule>
  </conditionalFormatting>
  <conditionalFormatting sqref="D107">
    <cfRule type="cellIs" dxfId="211" priority="211" operator="equal">
      <formula>"Folyamatban"</formula>
    </cfRule>
    <cfRule type="cellIs" dxfId="210" priority="212" operator="equal">
      <formula>"Kész"</formula>
    </cfRule>
  </conditionalFormatting>
  <conditionalFormatting sqref="D106">
    <cfRule type="cellIs" dxfId="209" priority="209" operator="equal">
      <formula>"Folyamatban"</formula>
    </cfRule>
    <cfRule type="cellIs" dxfId="208" priority="210" operator="equal">
      <formula>"Kész"</formula>
    </cfRule>
  </conditionalFormatting>
  <conditionalFormatting sqref="D105">
    <cfRule type="cellIs" dxfId="207" priority="207" operator="equal">
      <formula>"Folyamatban"</formula>
    </cfRule>
    <cfRule type="cellIs" dxfId="206" priority="208" operator="equal">
      <formula>"Kész"</formula>
    </cfRule>
  </conditionalFormatting>
  <conditionalFormatting sqref="D104">
    <cfRule type="cellIs" dxfId="205" priority="205" operator="equal">
      <formula>"Folyamatban"</formula>
    </cfRule>
    <cfRule type="cellIs" dxfId="204" priority="206" operator="equal">
      <formula>"Kész"</formula>
    </cfRule>
  </conditionalFormatting>
  <conditionalFormatting sqref="D103">
    <cfRule type="cellIs" dxfId="203" priority="203" operator="equal">
      <formula>"Folyamatban"</formula>
    </cfRule>
    <cfRule type="cellIs" dxfId="202" priority="204" operator="equal">
      <formula>"Kész"</formula>
    </cfRule>
  </conditionalFormatting>
  <conditionalFormatting sqref="D102">
    <cfRule type="cellIs" dxfId="201" priority="201" operator="equal">
      <formula>"Folyamatban"</formula>
    </cfRule>
    <cfRule type="cellIs" dxfId="200" priority="202" operator="equal">
      <formula>"Kész"</formula>
    </cfRule>
  </conditionalFormatting>
  <conditionalFormatting sqref="D101">
    <cfRule type="cellIs" dxfId="199" priority="199" operator="equal">
      <formula>"Folyamatban"</formula>
    </cfRule>
    <cfRule type="cellIs" dxfId="198" priority="200" operator="equal">
      <formula>"Kész"</formula>
    </cfRule>
  </conditionalFormatting>
  <conditionalFormatting sqref="D100">
    <cfRule type="cellIs" dxfId="197" priority="197" operator="equal">
      <formula>"Folyamatban"</formula>
    </cfRule>
    <cfRule type="cellIs" dxfId="196" priority="198" operator="equal">
      <formula>"Kész"</formula>
    </cfRule>
  </conditionalFormatting>
  <conditionalFormatting sqref="D99">
    <cfRule type="cellIs" dxfId="195" priority="195" operator="equal">
      <formula>"Folyamatban"</formula>
    </cfRule>
    <cfRule type="cellIs" dxfId="194" priority="196" operator="equal">
      <formula>"Kész"</formula>
    </cfRule>
  </conditionalFormatting>
  <conditionalFormatting sqref="D98">
    <cfRule type="cellIs" dxfId="193" priority="193" operator="equal">
      <formula>"Folyamatban"</formula>
    </cfRule>
    <cfRule type="cellIs" dxfId="192" priority="194" operator="equal">
      <formula>"Kész"</formula>
    </cfRule>
  </conditionalFormatting>
  <conditionalFormatting sqref="D97">
    <cfRule type="cellIs" dxfId="191" priority="191" operator="equal">
      <formula>"Folyamatban"</formula>
    </cfRule>
    <cfRule type="cellIs" dxfId="190" priority="192" operator="equal">
      <formula>"Kész"</formula>
    </cfRule>
  </conditionalFormatting>
  <conditionalFormatting sqref="D96">
    <cfRule type="cellIs" dxfId="189" priority="189" operator="equal">
      <formula>"Folyamatban"</formula>
    </cfRule>
    <cfRule type="cellIs" dxfId="188" priority="190" operator="equal">
      <formula>"Kész"</formula>
    </cfRule>
  </conditionalFormatting>
  <conditionalFormatting sqref="D95">
    <cfRule type="cellIs" dxfId="187" priority="187" operator="equal">
      <formula>"Folyamatban"</formula>
    </cfRule>
    <cfRule type="cellIs" dxfId="186" priority="188" operator="equal">
      <formula>"Kész"</formula>
    </cfRule>
  </conditionalFormatting>
  <conditionalFormatting sqref="D94">
    <cfRule type="cellIs" dxfId="185" priority="185" operator="equal">
      <formula>"Folyamatban"</formula>
    </cfRule>
    <cfRule type="cellIs" dxfId="184" priority="186" operator="equal">
      <formula>"Kész"</formula>
    </cfRule>
  </conditionalFormatting>
  <conditionalFormatting sqref="D93">
    <cfRule type="cellIs" dxfId="183" priority="183" operator="equal">
      <formula>"Folyamatban"</formula>
    </cfRule>
    <cfRule type="cellIs" dxfId="182" priority="184" operator="equal">
      <formula>"Kész"</formula>
    </cfRule>
  </conditionalFormatting>
  <conditionalFormatting sqref="D92">
    <cfRule type="cellIs" dxfId="181" priority="181" operator="equal">
      <formula>"Folyamatban"</formula>
    </cfRule>
    <cfRule type="cellIs" dxfId="180" priority="182" operator="equal">
      <formula>"Kész"</formula>
    </cfRule>
  </conditionalFormatting>
  <conditionalFormatting sqref="D91">
    <cfRule type="cellIs" dxfId="179" priority="179" operator="equal">
      <formula>"Folyamatban"</formula>
    </cfRule>
    <cfRule type="cellIs" dxfId="178" priority="180" operator="equal">
      <formula>"Kész"</formula>
    </cfRule>
  </conditionalFormatting>
  <conditionalFormatting sqref="D90">
    <cfRule type="cellIs" dxfId="177" priority="177" operator="equal">
      <formula>"Folyamatban"</formula>
    </cfRule>
    <cfRule type="cellIs" dxfId="176" priority="178" operator="equal">
      <formula>"Kész"</formula>
    </cfRule>
  </conditionalFormatting>
  <conditionalFormatting sqref="D89">
    <cfRule type="cellIs" dxfId="175" priority="175" operator="equal">
      <formula>"Folyamatban"</formula>
    </cfRule>
    <cfRule type="cellIs" dxfId="174" priority="176" operator="equal">
      <formula>"Kész"</formula>
    </cfRule>
  </conditionalFormatting>
  <conditionalFormatting sqref="D88">
    <cfRule type="cellIs" dxfId="173" priority="173" operator="equal">
      <formula>"Folyamatban"</formula>
    </cfRule>
    <cfRule type="cellIs" dxfId="172" priority="174" operator="equal">
      <formula>"Kész"</formula>
    </cfRule>
  </conditionalFormatting>
  <conditionalFormatting sqref="D87">
    <cfRule type="cellIs" dxfId="171" priority="171" operator="equal">
      <formula>"Folyamatban"</formula>
    </cfRule>
    <cfRule type="cellIs" dxfId="170" priority="172" operator="equal">
      <formula>"Kész"</formula>
    </cfRule>
  </conditionalFormatting>
  <conditionalFormatting sqref="D86">
    <cfRule type="cellIs" dxfId="169" priority="169" operator="equal">
      <formula>"Folyamatban"</formula>
    </cfRule>
    <cfRule type="cellIs" dxfId="168" priority="170" operator="equal">
      <formula>"Kész"</formula>
    </cfRule>
  </conditionalFormatting>
  <conditionalFormatting sqref="D85">
    <cfRule type="cellIs" dxfId="167" priority="167" operator="equal">
      <formula>"Folyamatban"</formula>
    </cfRule>
    <cfRule type="cellIs" dxfId="166" priority="168" operator="equal">
      <formula>"Kész"</formula>
    </cfRule>
  </conditionalFormatting>
  <conditionalFormatting sqref="D84">
    <cfRule type="cellIs" dxfId="165" priority="165" operator="equal">
      <formula>"Folyamatban"</formula>
    </cfRule>
    <cfRule type="cellIs" dxfId="164" priority="166" operator="equal">
      <formula>"Kész"</formula>
    </cfRule>
  </conditionalFormatting>
  <conditionalFormatting sqref="D83">
    <cfRule type="cellIs" dxfId="163" priority="163" operator="equal">
      <formula>"Folyamatban"</formula>
    </cfRule>
    <cfRule type="cellIs" dxfId="162" priority="164" operator="equal">
      <formula>"Kész"</formula>
    </cfRule>
  </conditionalFormatting>
  <conditionalFormatting sqref="D82">
    <cfRule type="cellIs" dxfId="161" priority="161" operator="equal">
      <formula>"Folyamatban"</formula>
    </cfRule>
    <cfRule type="cellIs" dxfId="160" priority="162" operator="equal">
      <formula>"Kész"</formula>
    </cfRule>
  </conditionalFormatting>
  <conditionalFormatting sqref="D81">
    <cfRule type="cellIs" dxfId="159" priority="159" operator="equal">
      <formula>"Folyamatban"</formula>
    </cfRule>
    <cfRule type="cellIs" dxfId="158" priority="160" operator="equal">
      <formula>"Kész"</formula>
    </cfRule>
  </conditionalFormatting>
  <conditionalFormatting sqref="D80">
    <cfRule type="cellIs" dxfId="157" priority="157" operator="equal">
      <formula>"Folyamatban"</formula>
    </cfRule>
    <cfRule type="cellIs" dxfId="156" priority="158" operator="equal">
      <formula>"Kész"</formula>
    </cfRule>
  </conditionalFormatting>
  <conditionalFormatting sqref="D79">
    <cfRule type="cellIs" dxfId="155" priority="155" operator="equal">
      <formula>"Folyamatban"</formula>
    </cfRule>
    <cfRule type="cellIs" dxfId="154" priority="156" operator="equal">
      <formula>"Kész"</formula>
    </cfRule>
  </conditionalFormatting>
  <conditionalFormatting sqref="D78">
    <cfRule type="cellIs" dxfId="153" priority="153" operator="equal">
      <formula>"Folyamatban"</formula>
    </cfRule>
    <cfRule type="cellIs" dxfId="152" priority="154" operator="equal">
      <formula>"Kész"</formula>
    </cfRule>
  </conditionalFormatting>
  <conditionalFormatting sqref="D77">
    <cfRule type="cellIs" dxfId="151" priority="151" operator="equal">
      <formula>"Folyamatban"</formula>
    </cfRule>
    <cfRule type="cellIs" dxfId="150" priority="152" operator="equal">
      <formula>"Kész"</formula>
    </cfRule>
  </conditionalFormatting>
  <conditionalFormatting sqref="D76">
    <cfRule type="cellIs" dxfId="149" priority="149" operator="equal">
      <formula>"Folyamatban"</formula>
    </cfRule>
    <cfRule type="cellIs" dxfId="148" priority="150" operator="equal">
      <formula>"Kész"</formula>
    </cfRule>
  </conditionalFormatting>
  <conditionalFormatting sqref="D75">
    <cfRule type="cellIs" dxfId="147" priority="147" operator="equal">
      <formula>"Folyamatban"</formula>
    </cfRule>
    <cfRule type="cellIs" dxfId="146" priority="148" operator="equal">
      <formula>"Kész"</formula>
    </cfRule>
  </conditionalFormatting>
  <conditionalFormatting sqref="D74">
    <cfRule type="cellIs" dxfId="145" priority="145" operator="equal">
      <formula>"Folyamatban"</formula>
    </cfRule>
    <cfRule type="cellIs" dxfId="144" priority="146" operator="equal">
      <formula>"Kész"</formula>
    </cfRule>
  </conditionalFormatting>
  <conditionalFormatting sqref="D73">
    <cfRule type="cellIs" dxfId="143" priority="143" operator="equal">
      <formula>"Folyamatban"</formula>
    </cfRule>
    <cfRule type="cellIs" dxfId="142" priority="144" operator="equal">
      <formula>"Kész"</formula>
    </cfRule>
  </conditionalFormatting>
  <conditionalFormatting sqref="D72">
    <cfRule type="cellIs" dxfId="141" priority="141" operator="equal">
      <formula>"Folyamatban"</formula>
    </cfRule>
    <cfRule type="cellIs" dxfId="140" priority="142" operator="equal">
      <formula>"Kész"</formula>
    </cfRule>
  </conditionalFormatting>
  <conditionalFormatting sqref="D71">
    <cfRule type="cellIs" dxfId="139" priority="139" operator="equal">
      <formula>"Folyamatban"</formula>
    </cfRule>
    <cfRule type="cellIs" dxfId="138" priority="140" operator="equal">
      <formula>"Kész"</formula>
    </cfRule>
  </conditionalFormatting>
  <conditionalFormatting sqref="D70">
    <cfRule type="cellIs" dxfId="137" priority="137" operator="equal">
      <formula>"Folyamatban"</formula>
    </cfRule>
    <cfRule type="cellIs" dxfId="136" priority="138" operator="equal">
      <formula>"Kész"</formula>
    </cfRule>
  </conditionalFormatting>
  <conditionalFormatting sqref="D69">
    <cfRule type="cellIs" dxfId="135" priority="135" operator="equal">
      <formula>"Folyamatban"</formula>
    </cfRule>
    <cfRule type="cellIs" dxfId="134" priority="136" operator="equal">
      <formula>"Kész"</formula>
    </cfRule>
  </conditionalFormatting>
  <conditionalFormatting sqref="D68">
    <cfRule type="cellIs" dxfId="133" priority="133" operator="equal">
      <formula>"Folyamatban"</formula>
    </cfRule>
    <cfRule type="cellIs" dxfId="132" priority="134" operator="equal">
      <formula>"Kész"</formula>
    </cfRule>
  </conditionalFormatting>
  <conditionalFormatting sqref="D67">
    <cfRule type="cellIs" dxfId="131" priority="131" operator="equal">
      <formula>"Folyamatban"</formula>
    </cfRule>
    <cfRule type="cellIs" dxfId="130" priority="132" operator="equal">
      <formula>"Kész"</formula>
    </cfRule>
  </conditionalFormatting>
  <conditionalFormatting sqref="D66">
    <cfRule type="cellIs" dxfId="129" priority="129" operator="equal">
      <formula>"Folyamatban"</formula>
    </cfRule>
    <cfRule type="cellIs" dxfId="128" priority="130" operator="equal">
      <formula>"Kész"</formula>
    </cfRule>
  </conditionalFormatting>
  <conditionalFormatting sqref="D65">
    <cfRule type="cellIs" dxfId="127" priority="127" operator="equal">
      <formula>"Folyamatban"</formula>
    </cfRule>
    <cfRule type="cellIs" dxfId="126" priority="128" operator="equal">
      <formula>"Kész"</formula>
    </cfRule>
  </conditionalFormatting>
  <conditionalFormatting sqref="D64">
    <cfRule type="cellIs" dxfId="125" priority="125" operator="equal">
      <formula>"Folyamatban"</formula>
    </cfRule>
    <cfRule type="cellIs" dxfId="124" priority="126" operator="equal">
      <formula>"Kész"</formula>
    </cfRule>
  </conditionalFormatting>
  <conditionalFormatting sqref="D63">
    <cfRule type="cellIs" dxfId="123" priority="123" operator="equal">
      <formula>"Folyamatban"</formula>
    </cfRule>
    <cfRule type="cellIs" dxfId="122" priority="124" operator="equal">
      <formula>"Kész"</formula>
    </cfRule>
  </conditionalFormatting>
  <conditionalFormatting sqref="D62">
    <cfRule type="cellIs" dxfId="121" priority="121" operator="equal">
      <formula>"Folyamatban"</formula>
    </cfRule>
    <cfRule type="cellIs" dxfId="120" priority="122" operator="equal">
      <formula>"Kész"</formula>
    </cfRule>
  </conditionalFormatting>
  <conditionalFormatting sqref="D61">
    <cfRule type="cellIs" dxfId="119" priority="119" operator="equal">
      <formula>"Folyamatban"</formula>
    </cfRule>
    <cfRule type="cellIs" dxfId="118" priority="120" operator="equal">
      <formula>"Kész"</formula>
    </cfRule>
  </conditionalFormatting>
  <conditionalFormatting sqref="D60">
    <cfRule type="cellIs" dxfId="117" priority="117" operator="equal">
      <formula>"Folyamatban"</formula>
    </cfRule>
    <cfRule type="cellIs" dxfId="116" priority="118" operator="equal">
      <formula>"Kész"</formula>
    </cfRule>
  </conditionalFormatting>
  <conditionalFormatting sqref="D59">
    <cfRule type="cellIs" dxfId="115" priority="115" operator="equal">
      <formula>"Folyamatban"</formula>
    </cfRule>
    <cfRule type="cellIs" dxfId="114" priority="116" operator="equal">
      <formula>"Kész"</formula>
    </cfRule>
  </conditionalFormatting>
  <conditionalFormatting sqref="D58">
    <cfRule type="cellIs" dxfId="113" priority="113" operator="equal">
      <formula>"Folyamatban"</formula>
    </cfRule>
    <cfRule type="cellIs" dxfId="112" priority="114" operator="equal">
      <formula>"Kész"</formula>
    </cfRule>
  </conditionalFormatting>
  <conditionalFormatting sqref="D57">
    <cfRule type="cellIs" dxfId="111" priority="111" operator="equal">
      <formula>"Folyamatban"</formula>
    </cfRule>
    <cfRule type="cellIs" dxfId="110" priority="112" operator="equal">
      <formula>"Kész"</formula>
    </cfRule>
  </conditionalFormatting>
  <conditionalFormatting sqref="D56">
    <cfRule type="cellIs" dxfId="109" priority="109" operator="equal">
      <formula>"Folyamatban"</formula>
    </cfRule>
    <cfRule type="cellIs" dxfId="108" priority="110" operator="equal">
      <formula>"Kész"</formula>
    </cfRule>
  </conditionalFormatting>
  <conditionalFormatting sqref="D55">
    <cfRule type="cellIs" dxfId="107" priority="107" operator="equal">
      <formula>"Folyamatban"</formula>
    </cfRule>
    <cfRule type="cellIs" dxfId="106" priority="108" operator="equal">
      <formula>"Kész"</formula>
    </cfRule>
  </conditionalFormatting>
  <conditionalFormatting sqref="D54">
    <cfRule type="cellIs" dxfId="105" priority="105" operator="equal">
      <formula>"Folyamatban"</formula>
    </cfRule>
    <cfRule type="cellIs" dxfId="104" priority="106" operator="equal">
      <formula>"Kész"</formula>
    </cfRule>
  </conditionalFormatting>
  <conditionalFormatting sqref="D53">
    <cfRule type="cellIs" dxfId="103" priority="103" operator="equal">
      <formula>"Folyamatban"</formula>
    </cfRule>
    <cfRule type="cellIs" dxfId="102" priority="104" operator="equal">
      <formula>"Kész"</formula>
    </cfRule>
  </conditionalFormatting>
  <conditionalFormatting sqref="D52">
    <cfRule type="cellIs" dxfId="101" priority="101" operator="equal">
      <formula>"Folyamatban"</formula>
    </cfRule>
    <cfRule type="cellIs" dxfId="100" priority="102" operator="equal">
      <formula>"Kész"</formula>
    </cfRule>
  </conditionalFormatting>
  <conditionalFormatting sqref="D51">
    <cfRule type="cellIs" dxfId="99" priority="99" operator="equal">
      <formula>"Folyamatban"</formula>
    </cfRule>
    <cfRule type="cellIs" dxfId="98" priority="100" operator="equal">
      <formula>"Kész"</formula>
    </cfRule>
  </conditionalFormatting>
  <conditionalFormatting sqref="D50">
    <cfRule type="cellIs" dxfId="97" priority="97" operator="equal">
      <formula>"Folyamatban"</formula>
    </cfRule>
    <cfRule type="cellIs" dxfId="96" priority="98" operator="equal">
      <formula>"Kész"</formula>
    </cfRule>
  </conditionalFormatting>
  <conditionalFormatting sqref="D49">
    <cfRule type="cellIs" dxfId="95" priority="95" operator="equal">
      <formula>"Folyamatban"</formula>
    </cfRule>
    <cfRule type="cellIs" dxfId="94" priority="96" operator="equal">
      <formula>"Kész"</formula>
    </cfRule>
  </conditionalFormatting>
  <conditionalFormatting sqref="D48">
    <cfRule type="cellIs" dxfId="93" priority="93" operator="equal">
      <formula>"Folyamatban"</formula>
    </cfRule>
    <cfRule type="cellIs" dxfId="92" priority="94" operator="equal">
      <formula>"Kész"</formula>
    </cfRule>
  </conditionalFormatting>
  <conditionalFormatting sqref="D47">
    <cfRule type="cellIs" dxfId="91" priority="91" operator="equal">
      <formula>"Folyamatban"</formula>
    </cfRule>
    <cfRule type="cellIs" dxfId="90" priority="92" operator="equal">
      <formula>"Kész"</formula>
    </cfRule>
  </conditionalFormatting>
  <conditionalFormatting sqref="D46">
    <cfRule type="cellIs" dxfId="89" priority="89" operator="equal">
      <formula>"Folyamatban"</formula>
    </cfRule>
    <cfRule type="cellIs" dxfId="88" priority="90" operator="equal">
      <formula>"Kész"</formula>
    </cfRule>
  </conditionalFormatting>
  <conditionalFormatting sqref="D45">
    <cfRule type="cellIs" dxfId="87" priority="87" operator="equal">
      <formula>"Folyamatban"</formula>
    </cfRule>
    <cfRule type="cellIs" dxfId="86" priority="88" operator="equal">
      <formula>"Kész"</formula>
    </cfRule>
  </conditionalFormatting>
  <conditionalFormatting sqref="D44">
    <cfRule type="cellIs" dxfId="85" priority="85" operator="equal">
      <formula>"Folyamatban"</formula>
    </cfRule>
    <cfRule type="cellIs" dxfId="84" priority="86" operator="equal">
      <formula>"Kész"</formula>
    </cfRule>
  </conditionalFormatting>
  <conditionalFormatting sqref="D43">
    <cfRule type="cellIs" dxfId="83" priority="83" operator="equal">
      <formula>"Folyamatban"</formula>
    </cfRule>
    <cfRule type="cellIs" dxfId="82" priority="84" operator="equal">
      <formula>"Kész"</formula>
    </cfRule>
  </conditionalFormatting>
  <conditionalFormatting sqref="D42">
    <cfRule type="cellIs" dxfId="81" priority="81" operator="equal">
      <formula>"Folyamatban"</formula>
    </cfRule>
    <cfRule type="cellIs" dxfId="80" priority="82" operator="equal">
      <formula>"Kész"</formula>
    </cfRule>
  </conditionalFormatting>
  <conditionalFormatting sqref="D41">
    <cfRule type="cellIs" dxfId="79" priority="79" operator="equal">
      <formula>"Folyamatban"</formula>
    </cfRule>
    <cfRule type="cellIs" dxfId="78" priority="80" operator="equal">
      <formula>"Kész"</formula>
    </cfRule>
  </conditionalFormatting>
  <conditionalFormatting sqref="D40">
    <cfRule type="cellIs" dxfId="77" priority="77" operator="equal">
      <formula>"Folyamatban"</formula>
    </cfRule>
    <cfRule type="cellIs" dxfId="76" priority="78" operator="equal">
      <formula>"Kész"</formula>
    </cfRule>
  </conditionalFormatting>
  <conditionalFormatting sqref="D39">
    <cfRule type="cellIs" dxfId="75" priority="75" operator="equal">
      <formula>"Folyamatban"</formula>
    </cfRule>
    <cfRule type="cellIs" dxfId="74" priority="76" operator="equal">
      <formula>"Kész"</formula>
    </cfRule>
  </conditionalFormatting>
  <conditionalFormatting sqref="D38">
    <cfRule type="cellIs" dxfId="73" priority="73" operator="equal">
      <formula>"Folyamatban"</formula>
    </cfRule>
    <cfRule type="cellIs" dxfId="72" priority="74" operator="equal">
      <formula>"Kész"</formula>
    </cfRule>
  </conditionalFormatting>
  <conditionalFormatting sqref="D37">
    <cfRule type="cellIs" dxfId="71" priority="71" operator="equal">
      <formula>"Folyamatban"</formula>
    </cfRule>
    <cfRule type="cellIs" dxfId="70" priority="72" operator="equal">
      <formula>"Kész"</formula>
    </cfRule>
  </conditionalFormatting>
  <conditionalFormatting sqref="D36">
    <cfRule type="cellIs" dxfId="69" priority="69" operator="equal">
      <formula>"Folyamatban"</formula>
    </cfRule>
    <cfRule type="cellIs" dxfId="68" priority="70" operator="equal">
      <formula>"Kész"</formula>
    </cfRule>
  </conditionalFormatting>
  <conditionalFormatting sqref="D35">
    <cfRule type="cellIs" dxfId="67" priority="67" operator="equal">
      <formula>"Folyamatban"</formula>
    </cfRule>
    <cfRule type="cellIs" dxfId="66" priority="68" operator="equal">
      <formula>"Kész"</formula>
    </cfRule>
  </conditionalFormatting>
  <conditionalFormatting sqref="D34">
    <cfRule type="cellIs" dxfId="65" priority="65" operator="equal">
      <formula>"Folyamatban"</formula>
    </cfRule>
    <cfRule type="cellIs" dxfId="64" priority="66" operator="equal">
      <formula>"Kész"</formula>
    </cfRule>
  </conditionalFormatting>
  <conditionalFormatting sqref="D33">
    <cfRule type="cellIs" dxfId="63" priority="63" operator="equal">
      <formula>"Folyamatban"</formula>
    </cfRule>
    <cfRule type="cellIs" dxfId="62" priority="64" operator="equal">
      <formula>"Kész"</formula>
    </cfRule>
  </conditionalFormatting>
  <conditionalFormatting sqref="D32">
    <cfRule type="cellIs" dxfId="61" priority="61" operator="equal">
      <formula>"Folyamatban"</formula>
    </cfRule>
    <cfRule type="cellIs" dxfId="60" priority="62" operator="equal">
      <formula>"Kész"</formula>
    </cfRule>
  </conditionalFormatting>
  <conditionalFormatting sqref="D31">
    <cfRule type="cellIs" dxfId="59" priority="59" operator="equal">
      <formula>"Folyamatban"</formula>
    </cfRule>
    <cfRule type="cellIs" dxfId="58" priority="60" operator="equal">
      <formula>"Kész"</formula>
    </cfRule>
  </conditionalFormatting>
  <conditionalFormatting sqref="D30">
    <cfRule type="cellIs" dxfId="57" priority="57" operator="equal">
      <formula>"Folyamatban"</formula>
    </cfRule>
    <cfRule type="cellIs" dxfId="56" priority="58" operator="equal">
      <formula>"Kész"</formula>
    </cfRule>
  </conditionalFormatting>
  <conditionalFormatting sqref="D29">
    <cfRule type="cellIs" dxfId="55" priority="55" operator="equal">
      <formula>"Folyamatban"</formula>
    </cfRule>
    <cfRule type="cellIs" dxfId="54" priority="56" operator="equal">
      <formula>"Kész"</formula>
    </cfRule>
  </conditionalFormatting>
  <conditionalFormatting sqref="D28">
    <cfRule type="cellIs" dxfId="53" priority="53" operator="equal">
      <formula>"Folyamatban"</formula>
    </cfRule>
    <cfRule type="cellIs" dxfId="52" priority="54" operator="equal">
      <formula>"Kész"</formula>
    </cfRule>
  </conditionalFormatting>
  <conditionalFormatting sqref="D27">
    <cfRule type="cellIs" dxfId="51" priority="51" operator="equal">
      <formula>"Folyamatban"</formula>
    </cfRule>
    <cfRule type="cellIs" dxfId="50" priority="52" operator="equal">
      <formula>"Kész"</formula>
    </cfRule>
  </conditionalFormatting>
  <conditionalFormatting sqref="D26">
    <cfRule type="cellIs" dxfId="49" priority="49" operator="equal">
      <formula>"Folyamatban"</formula>
    </cfRule>
    <cfRule type="cellIs" dxfId="48" priority="50" operator="equal">
      <formula>"Kész"</formula>
    </cfRule>
  </conditionalFormatting>
  <conditionalFormatting sqref="D25">
    <cfRule type="cellIs" dxfId="47" priority="47" operator="equal">
      <formula>"Folyamatban"</formula>
    </cfRule>
    <cfRule type="cellIs" dxfId="46" priority="48" operator="equal">
      <formula>"Kész"</formula>
    </cfRule>
  </conditionalFormatting>
  <conditionalFormatting sqref="D24">
    <cfRule type="cellIs" dxfId="45" priority="45" operator="equal">
      <formula>"Folyamatban"</formula>
    </cfRule>
    <cfRule type="cellIs" dxfId="44" priority="46" operator="equal">
      <formula>"Kész"</formula>
    </cfRule>
  </conditionalFormatting>
  <conditionalFormatting sqref="D23">
    <cfRule type="cellIs" dxfId="43" priority="43" operator="equal">
      <formula>"Folyamatban"</formula>
    </cfRule>
    <cfRule type="cellIs" dxfId="42" priority="44" operator="equal">
      <formula>"Kész"</formula>
    </cfRule>
  </conditionalFormatting>
  <conditionalFormatting sqref="D22">
    <cfRule type="cellIs" dxfId="41" priority="41" operator="equal">
      <formula>"Folyamatban"</formula>
    </cfRule>
    <cfRule type="cellIs" dxfId="40" priority="42" operator="equal">
      <formula>"Kész"</formula>
    </cfRule>
  </conditionalFormatting>
  <conditionalFormatting sqref="D21">
    <cfRule type="cellIs" dxfId="39" priority="39" operator="equal">
      <formula>"Folyamatban"</formula>
    </cfRule>
    <cfRule type="cellIs" dxfId="38" priority="40" operator="equal">
      <formula>"Kész"</formula>
    </cfRule>
  </conditionalFormatting>
  <conditionalFormatting sqref="D20">
    <cfRule type="cellIs" dxfId="37" priority="37" operator="equal">
      <formula>"Folyamatban"</formula>
    </cfRule>
    <cfRule type="cellIs" dxfId="36" priority="38" operator="equal">
      <formula>"Kész"</formula>
    </cfRule>
  </conditionalFormatting>
  <conditionalFormatting sqref="D19">
    <cfRule type="cellIs" dxfId="35" priority="35" operator="equal">
      <formula>"Folyamatban"</formula>
    </cfRule>
    <cfRule type="cellIs" dxfId="34" priority="36" operator="equal">
      <formula>"Kész"</formula>
    </cfRule>
  </conditionalFormatting>
  <conditionalFormatting sqref="D18">
    <cfRule type="cellIs" dxfId="33" priority="33" operator="equal">
      <formula>"Folyamatban"</formula>
    </cfRule>
    <cfRule type="cellIs" dxfId="32" priority="34" operator="equal">
      <formula>"Kész"</formula>
    </cfRule>
  </conditionalFormatting>
  <conditionalFormatting sqref="D17">
    <cfRule type="cellIs" dxfId="31" priority="31" operator="equal">
      <formula>"Folyamatban"</formula>
    </cfRule>
    <cfRule type="cellIs" dxfId="30" priority="32" operator="equal">
      <formula>"Kész"</formula>
    </cfRule>
  </conditionalFormatting>
  <conditionalFormatting sqref="D16">
    <cfRule type="cellIs" dxfId="29" priority="29" operator="equal">
      <formula>"Folyamatban"</formula>
    </cfRule>
    <cfRule type="cellIs" dxfId="28" priority="30" operator="equal">
      <formula>"Kész"</formula>
    </cfRule>
  </conditionalFormatting>
  <conditionalFormatting sqref="D15">
    <cfRule type="cellIs" dxfId="27" priority="27" operator="equal">
      <formula>"Folyamatban"</formula>
    </cfRule>
    <cfRule type="cellIs" dxfId="26" priority="28" operator="equal">
      <formula>"Kész"</formula>
    </cfRule>
  </conditionalFormatting>
  <conditionalFormatting sqref="D14">
    <cfRule type="cellIs" dxfId="25" priority="25" operator="equal">
      <formula>"Folyamatban"</formula>
    </cfRule>
    <cfRule type="cellIs" dxfId="24" priority="26" operator="equal">
      <formula>"Kész"</formula>
    </cfRule>
  </conditionalFormatting>
  <conditionalFormatting sqref="D13">
    <cfRule type="cellIs" dxfId="23" priority="23" operator="equal">
      <formula>"Folyamatban"</formula>
    </cfRule>
    <cfRule type="cellIs" dxfId="22" priority="24" operator="equal">
      <formula>"Kész"</formula>
    </cfRule>
  </conditionalFormatting>
  <conditionalFormatting sqref="D12">
    <cfRule type="cellIs" dxfId="21" priority="21" operator="equal">
      <formula>"Folyamatban"</formula>
    </cfRule>
    <cfRule type="cellIs" dxfId="20" priority="22" operator="equal">
      <formula>"Kész"</formula>
    </cfRule>
  </conditionalFormatting>
  <conditionalFormatting sqref="D11">
    <cfRule type="cellIs" dxfId="19" priority="19" operator="equal">
      <formula>"Folyamatban"</formula>
    </cfRule>
    <cfRule type="cellIs" dxfId="18" priority="20" operator="equal">
      <formula>"Kész"</formula>
    </cfRule>
  </conditionalFormatting>
  <conditionalFormatting sqref="D10">
    <cfRule type="cellIs" dxfId="17" priority="17" operator="equal">
      <formula>"Folyamatban"</formula>
    </cfRule>
    <cfRule type="cellIs" dxfId="16" priority="18" operator="equal">
      <formula>"Kész"</formula>
    </cfRule>
  </conditionalFormatting>
  <conditionalFormatting sqref="D9">
    <cfRule type="cellIs" dxfId="15" priority="15" operator="equal">
      <formula>"Folyamatban"</formula>
    </cfRule>
    <cfRule type="cellIs" dxfId="14" priority="16" operator="equal">
      <formula>"Kész"</formula>
    </cfRule>
  </conditionalFormatting>
  <conditionalFormatting sqref="D8">
    <cfRule type="cellIs" dxfId="13" priority="13" operator="equal">
      <formula>"Folyamatban"</formula>
    </cfRule>
    <cfRule type="cellIs" dxfId="12" priority="14" operator="equal">
      <formula>"Kész"</formula>
    </cfRule>
  </conditionalFormatting>
  <conditionalFormatting sqref="D7">
    <cfRule type="cellIs" dxfId="11" priority="11" operator="equal">
      <formula>"Folyamatban"</formula>
    </cfRule>
    <cfRule type="cellIs" dxfId="10" priority="12" operator="equal">
      <formula>"Kész"</formula>
    </cfRule>
  </conditionalFormatting>
  <conditionalFormatting sqref="D6">
    <cfRule type="cellIs" dxfId="9" priority="9" operator="equal">
      <formula>"Folyamatban"</formula>
    </cfRule>
    <cfRule type="cellIs" dxfId="8" priority="10" operator="equal">
      <formula>"Kész"</formula>
    </cfRule>
  </conditionalFormatting>
  <conditionalFormatting sqref="D5">
    <cfRule type="cellIs" dxfId="7" priority="7" operator="equal">
      <formula>"Folyamatban"</formula>
    </cfRule>
    <cfRule type="cellIs" dxfId="6" priority="8" operator="equal">
      <formula>"Kész"</formula>
    </cfRule>
  </conditionalFormatting>
  <conditionalFormatting sqref="D4">
    <cfRule type="cellIs" dxfId="5" priority="5" operator="equal">
      <formula>"Folyamatban"</formula>
    </cfRule>
    <cfRule type="cellIs" dxfId="4" priority="6" operator="equal">
      <formula>"Kész"</formula>
    </cfRule>
  </conditionalFormatting>
  <conditionalFormatting sqref="D3">
    <cfRule type="cellIs" dxfId="3" priority="3" operator="equal">
      <formula>"Folyamatban"</formula>
    </cfRule>
    <cfRule type="cellIs" dxfId="2" priority="4" operator="equal">
      <formula>"Kész"</formula>
    </cfRule>
  </conditionalFormatting>
  <conditionalFormatting sqref="D2">
    <cfRule type="cellIs" dxfId="1" priority="1" operator="equal">
      <formula>"Folyamatban"</formula>
    </cfRule>
    <cfRule type="cellIs" dxfId="0" priority="2" operator="equal">
      <formula>"Kész"</formula>
    </cfRule>
  </conditionalFormatting>
  <dataValidations count="2">
    <dataValidation type="list" allowBlank="1" showInputMessage="1" showErrorMessage="1" sqref="D2:D532">
      <formula1>todo</formula1>
    </dataValidation>
    <dataValidation type="list" allowBlank="1" showInputMessage="1" showErrorMessage="1" sqref="B2:B532">
      <formula1>list01</formula1>
    </dataValidation>
  </dataValidations>
  <pageMargins left="0.7" right="0.7" top="0.75" bottom="0.75" header="0.3" footer="0.3"/>
  <pageSetup paperSize="9" scale="10" orientation="landscape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2</xdr:col>
                <xdr:colOff>457200</xdr:colOff>
                <xdr:row>0</xdr:row>
                <xdr:rowOff>76200</xdr:rowOff>
              </from>
              <to>
                <xdr:col>2</xdr:col>
                <xdr:colOff>1800225</xdr:colOff>
                <xdr:row>0</xdr:row>
                <xdr:rowOff>438150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19</vt:i4>
      </vt:variant>
      <vt:variant>
        <vt:lpstr>Névvel ellátott tartományok</vt:lpstr>
      </vt:variant>
      <vt:variant>
        <vt:i4>18</vt:i4>
      </vt:variant>
    </vt:vector>
  </HeadingPairs>
  <TitlesOfParts>
    <vt:vector size="37" baseType="lpstr">
      <vt:lpstr>To Do List</vt:lpstr>
      <vt:lpstr>Munka4</vt:lpstr>
      <vt:lpstr>Munka1</vt:lpstr>
      <vt:lpstr>copy</vt:lpstr>
      <vt:lpstr>Po Igazolás</vt:lpstr>
      <vt:lpstr>2024 Heineken Po</vt:lpstr>
      <vt:lpstr>lista2</vt:lpstr>
      <vt:lpstr>2024 szoftver állítás</vt:lpstr>
      <vt:lpstr>Szervíz</vt:lpstr>
      <vt:lpstr>Szimering csere 2024</vt:lpstr>
      <vt:lpstr>Tűzoltó készülék!</vt:lpstr>
      <vt:lpstr>Kamerák és Monitorok</vt:lpstr>
      <vt:lpstr>Új abroncs</vt:lpstr>
      <vt:lpstr>Lista</vt:lpstr>
      <vt:lpstr>2024</vt:lpstr>
      <vt:lpstr>2023</vt:lpstr>
      <vt:lpstr>2023 Heineken Po</vt:lpstr>
      <vt:lpstr>Munka2</vt:lpstr>
      <vt:lpstr>To Do List (2)</vt:lpstr>
      <vt:lpstr>'To Do List (2)'!akklist</vt:lpstr>
      <vt:lpstr>akklist</vt:lpstr>
      <vt:lpstr>List</vt:lpstr>
      <vt:lpstr>'2023'!list01</vt:lpstr>
      <vt:lpstr>'2023 Heineken Po'!list01</vt:lpstr>
      <vt:lpstr>'2024'!list01</vt:lpstr>
      <vt:lpstr>'2024 Heineken Po'!list01</vt:lpstr>
      <vt:lpstr>list01</vt:lpstr>
      <vt:lpstr>okvsnok</vt:lpstr>
      <vt:lpstr>podone</vt:lpstr>
      <vt:lpstr>ponope</vt:lpstr>
      <vt:lpstr>poprice</vt:lpstr>
      <vt:lpstr>targlist</vt:lpstr>
      <vt:lpstr>targlist02</vt:lpstr>
      <vt:lpstr>targoncalista</vt:lpstr>
      <vt:lpstr>targoncalista2</vt:lpstr>
      <vt:lpstr>time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2024-10-25T17:09:28Z</dcterms:modified>
</cp:coreProperties>
</file>